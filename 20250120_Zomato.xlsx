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codeName="ThisWorkbook" defaultThemeVersion="166925"/>
  <mc:AlternateContent xmlns:mc="http://schemas.openxmlformats.org/markup-compatibility/2006">
    <mc:Choice Requires="x15">
      <x15ac:absPath xmlns:x15ac="http://schemas.microsoft.com/office/spreadsheetml/2010/11/ac" url="https://d.docs.live.net/0683c48a199f71f6/Desktop/Finance guy/"/>
    </mc:Choice>
  </mc:AlternateContent>
  <xr:revisionPtr revIDLastSave="3" documentId="8_{5126F873-B6E6-44C0-AEC0-97EE61B9273D}" xr6:coauthVersionLast="47" xr6:coauthVersionMax="47" xr10:uidLastSave="{B5CD55FD-64D7-468C-B678-9CE825C0C35C}"/>
  <bookViews>
    <workbookView xWindow="-110" yWindow="-110" windowWidth="19420" windowHeight="10300" firstSheet="6" activeTab="9" xr2:uid="{D76C8113-FF3C-43E7-B858-2AB9C8FB14CC}"/>
  </bookViews>
  <sheets>
    <sheet name="Cover" sheetId="105" r:id="rId1"/>
    <sheet name="Table of contents" sheetId="103" r:id="rId2"/>
    <sheet name="C. Reconciliation appendix" sheetId="99" r:id="rId3"/>
    <sheet name="D. Glossary" sheetId="106" r:id="rId4"/>
    <sheet name="Key data collection" sheetId="107" r:id="rId5"/>
    <sheet name="Swiggy Quarterly numbers" sheetId="116" r:id="rId6"/>
    <sheet name="A. Quarterly data" sheetId="94" r:id="rId7"/>
    <sheet name="B. Annual data" sheetId="97" r:id="rId8"/>
    <sheet name="Valuation" sheetId="114" r:id="rId9"/>
    <sheet name="DCF - Perpetuity Growth" sheetId="115" r:id="rId10"/>
  </sheets>
  <externalReferences>
    <externalReference r:id="rId11"/>
  </externalReferences>
  <definedNames>
    <definedName name="__1__123Graph_BCHART_1" hidden="1">#REF!</definedName>
    <definedName name="__123Graph_A" hidden="1">#REF!</definedName>
    <definedName name="__123Graph_AFIX_CAP" hidden="1">#REF!</definedName>
    <definedName name="__123Graph_ANPV_CAPACITY" hidden="1">#REF!</definedName>
    <definedName name="__123Graph_AOVERHAUL" hidden="1">#REF!</definedName>
    <definedName name="__123Graph_APROCEEDS" hidden="1">#REF!</definedName>
    <definedName name="__123Graph_AVAR_ENG" hidden="1">#REF!</definedName>
    <definedName name="__123Graph_AYIELD1" hidden="1">#REF!</definedName>
    <definedName name="__123Graph_B" hidden="1">#REF!</definedName>
    <definedName name="__123Graph_BFIX_CAP" hidden="1">#REF!</definedName>
    <definedName name="__123Graph_BNPV_CAPACITY" hidden="1">#REF!</definedName>
    <definedName name="__123Graph_BOVERHAUL" hidden="1">#REF!</definedName>
    <definedName name="__123Graph_BPROCEEDS" hidden="1">#REF!</definedName>
    <definedName name="__123Graph_BVAR_ENG" hidden="1">#REF!</definedName>
    <definedName name="__123Graph_BYIELD1" hidden="1">#REF!</definedName>
    <definedName name="__123Graph_C" hidden="1">#REF!</definedName>
    <definedName name="__123Graph_CFIX_CAP" hidden="1">#REF!</definedName>
    <definedName name="__123Graph_CNPV_CAPACITY" hidden="1">#REF!</definedName>
    <definedName name="__123Graph_COVERHAUL" hidden="1">#REF!</definedName>
    <definedName name="__123Graph_CPROCEEDS" hidden="1">#REF!</definedName>
    <definedName name="__123Graph_D" hidden="1">#REF!</definedName>
    <definedName name="__123Graph_DFIX_CAP" hidden="1">#REF!</definedName>
    <definedName name="__123Graph_DOVERHAUL" hidden="1">#REF!</definedName>
    <definedName name="__123Graph_FOVERHAUL" hidden="1">#REF!</definedName>
    <definedName name="__123Graph_X" hidden="1">#REF!</definedName>
    <definedName name="__123Graph_XOVERHAUL" hidden="1">#REF!</definedName>
    <definedName name="__123Graph_XPROCEEDS" hidden="1">#REF!</definedName>
    <definedName name="__123Graph_XVAR_ENG" hidden="1">#REF!</definedName>
    <definedName name="__2__123Graph_ECHART_6" hidden="1">#REF!</definedName>
    <definedName name="__FDS_HYPERLINK_TOGGLE_STATE__" hidden="1">"ON"</definedName>
    <definedName name="__IntlFixup" hidden="1">TRUE</definedName>
    <definedName name="_1___123Graph_BCHART_1" hidden="1">#REF!</definedName>
    <definedName name="_1__123Graph_BCHART_1" hidden="1">#REF!</definedName>
    <definedName name="_10__123Graph_AALL_IN_COSTS" hidden="1">#REF!</definedName>
    <definedName name="_11__123Graph_ACHART_1" hidden="1">#REF!</definedName>
    <definedName name="_12__123Graph_BALL_IN_COSTS" hidden="1">#REF!</definedName>
    <definedName name="_12__123Graph_BCHART_1" hidden="1">#REF!</definedName>
    <definedName name="_123Graph" hidden="1">#REF!</definedName>
    <definedName name="_13__123Graph_BCHART_1" hidden="1">#REF!</definedName>
    <definedName name="_14__123Graph_CCHART_1" hidden="1">#REF!</definedName>
    <definedName name="_15__123Graph_DCHART_1" hidden="1">#REF!</definedName>
    <definedName name="_16__123Graph_XALL_IN_COSTS" hidden="1">#REF!</definedName>
    <definedName name="_17__123Graph_XCHART_1" hidden="1">#REF!</definedName>
    <definedName name="_2___123Graph_ECHART_6" hidden="1">#REF!</definedName>
    <definedName name="_2__123Graph_ECHART_6" hidden="1">#REF!</definedName>
    <definedName name="_2_123Grap" hidden="1">#REF!</definedName>
    <definedName name="_20_0__123Grap" hidden="1">#REF!</definedName>
    <definedName name="_21_0__123Grap" hidden="1">#REF!</definedName>
    <definedName name="_3__123Graph_BCHART_1" hidden="1">#REF!</definedName>
    <definedName name="_4__123Graph_BCHART_1" hidden="1">#REF!</definedName>
    <definedName name="_4__123Graph_ECHART_6" hidden="1">#REF!</definedName>
    <definedName name="_4_123Grap" hidden="1">#REF!</definedName>
    <definedName name="_7__123Graph_BCHART_1" hidden="1">#REF!</definedName>
    <definedName name="_8__123Graph_BCHART_1" hidden="1">#REF!</definedName>
    <definedName name="_8__123Graph_ECHART_6" hidden="1">#REF!</definedName>
    <definedName name="_bdm.0063e14a32244430bcff00761bc3ca5e.edm" hidden="1">#REF!</definedName>
    <definedName name="_bdm.046d51a937714e598ced06b6a1e469a0.edm" hidden="1">#REF!</definedName>
    <definedName name="_bdm.05b70943e523416b95f1254413502d9f.edm" hidden="1">#REF!</definedName>
    <definedName name="_bdm.0ba9075ff6514f7ab47b486271a74b86.edm" hidden="1">#REF!</definedName>
    <definedName name="_bdm.20db57d6cc4e483b80406c31a2933961.edm" hidden="1">#REF!</definedName>
    <definedName name="_bdm.288547a673f34665aa742e2c6d45c3d3.edm" hidden="1">#REF!</definedName>
    <definedName name="_bdm.301d0ed101c143fba1d51105a6f392fc.edm" hidden="1">#REF!</definedName>
    <definedName name="_bdm.34b61f81c37c43be866d643e96413e11.edm" hidden="1">#REF!</definedName>
    <definedName name="_bdm.3da34619ba5b4bc88cf0b4160fccd121.edm" hidden="1">#REF!</definedName>
    <definedName name="_bdm.499e44db46de4cfd917401802df95185.edm" hidden="1">#REF!</definedName>
    <definedName name="_bdm.515cd1be8679442dbe9ce0366a83751c.edm" hidden="1">#REF!</definedName>
    <definedName name="_bdm.519984729611405e969c46602e7eb49e.edm" hidden="1">#REF!</definedName>
    <definedName name="_bdm.573785b0685943ccbf2ee5394e13674e.edm" hidden="1">#REF!</definedName>
    <definedName name="_bdm.6633e6bdcc6740bfa3c4e45df48fa30f.edm" hidden="1">#REF!</definedName>
    <definedName name="_bdm.6d2603c0684c439a856a79c306bc9f1c.edm" hidden="1">#REF!</definedName>
    <definedName name="_bdm.6d2ab89f8a1242d2a45b5efe078de6fc.edm" hidden="1">#REF!</definedName>
    <definedName name="_bdm.6e5f66c63afa4ca89f2a530dc4d03f3b.edm" hidden="1">#REF!</definedName>
    <definedName name="_bdm.799cd170501647aeb464bff750d9e1cb.edm" hidden="1">#REF!</definedName>
    <definedName name="_bdm.79ceec88e7dc41158504d7a815443c22.edm" hidden="1">#REF!</definedName>
    <definedName name="_bdm.7c3bfc147e314a1796cf1a05417b55b8.edm" hidden="1">#REF!</definedName>
    <definedName name="_bdm.7f57eb04dfaa4fb78ecbe933514a0907.edm" hidden="1">#REF!</definedName>
    <definedName name="_bdm.89524fa1f8db4502b950791886d2704d.edm" hidden="1">#REF!</definedName>
    <definedName name="_bdm.a0613571dfb24b798342a2816d574bd8.edm" hidden="1">#REF!</definedName>
    <definedName name="_bdm.a716ca918d814e03b709d8bd2535c8e5.edm" hidden="1">#REF!</definedName>
    <definedName name="_bdm.aa2e7fd764f84ee0ba273a02236ebc40.edm" hidden="1">#REF!</definedName>
    <definedName name="_bdm.af01911d851346b8b06277d82257fee0.edm" hidden="1">#REF!</definedName>
    <definedName name="_bdm.b313d2b4327a4d1c87d45f2c64f0920f.edm" hidden="1">#REF!</definedName>
    <definedName name="_bdm.b61dc96f120e4e3d957cb37e5e5ef3b9.edm" hidden="1">#REF!</definedName>
    <definedName name="_bdm.b984ab8357a74fc9b2eccc057af11557.edm" hidden="1">#REF!</definedName>
    <definedName name="_bdm.bc3e1871ae5c4ed1a507754406e91d44.edm" hidden="1">#REF!</definedName>
    <definedName name="_bdm.bc61fdf0ee5940f6b40ef67340befaa1.edm" hidden="1">#REF!</definedName>
    <definedName name="_bdm.cc7390144fea45048d263ea6715c81a5.edm" hidden="1">#REF!</definedName>
    <definedName name="_bdm.d0fe50fd7916464b8d3f1fd41f7fedfe.edm" hidden="1">#REF!</definedName>
    <definedName name="_bdm.d2776d3492544d7eb34456b5f3549609.edm" hidden="1">#REF!</definedName>
    <definedName name="_bdm.d83fbd48295844abbbecf71dce1838fd.edm" hidden="1">#REF!</definedName>
    <definedName name="_bdm.d89af1bcd52546069230735235dabef5.edm" hidden="1">#REF!</definedName>
    <definedName name="_bdm.d9739244619e4c428d40c4118cbea825.edm" hidden="1">#REF!</definedName>
    <definedName name="_bdm.ddec2229cab34fa187255e8ff3aa3137.edm" hidden="1">#REF!</definedName>
    <definedName name="_bdm.e0d3e851c90f440f96816a1ebed1bca2.edm" hidden="1">#REF!</definedName>
    <definedName name="_bdm.e43b5c36964a4b64a45f8812b00aeb8e.edm" hidden="1">#REF!</definedName>
    <definedName name="_bdm.e5a14ccf60b942af9ccc0b4a8533adac.edm" hidden="1">#REF!</definedName>
    <definedName name="_bdm.eccef34853304b6f92cce306d729641d.edm" hidden="1">#REF!</definedName>
    <definedName name="_bdm.FastTrackBookmark.11_16_2016_3_00_47_PM.edm" hidden="1">#REF!</definedName>
    <definedName name="_bdm.fdfea7ad1a7a47b38b68d26b122e7dbf.edm" hidden="1">#REF!</definedName>
    <definedName name="_bdm.ff5b970a914a47b3b1878b4132099833.edm" hidden="1">#REF!</definedName>
    <definedName name="_dcf1" hidden="1">{#N/A,#N/A,FALSE,"Tar-Ass";#N/A,#N/A,FALSE,"Tar-IS";#N/A,#N/A,FALSE,"Tar-BS";#N/A,#N/A,FALSE,"Tar-Adg BS";#N/A,#N/A,FALSE,"Tar-CF"}</definedName>
    <definedName name="_dcf1_1" hidden="1">{#N/A,#N/A,FALSE,"Tar-Ass";#N/A,#N/A,FALSE,"Tar-IS";#N/A,#N/A,FALSE,"Tar-BS";#N/A,#N/A,FALSE,"Tar-Adg BS";#N/A,#N/A,FALSE,"Tar-CF"}</definedName>
    <definedName name="_Fill" hidden="1">#REF!</definedName>
    <definedName name="_xlnm._FilterDatabase" localSheetId="9" hidden="1">'DCF - Perpetuity Growth'!$E$10:$K$24</definedName>
    <definedName name="_xlnm._FilterDatabase" hidden="1">#REF!</definedName>
    <definedName name="_Key2" hidden="1">#REF!</definedName>
    <definedName name="_MRG2" hidden="1">{"INCOME",#N/A,FALSE,"ProNet";"VALUE",#N/A,FALSE,"ProNet"}</definedName>
    <definedName name="_MRG2_1" hidden="1">{"INCOME",#N/A,FALSE,"ProNet";"VALUE",#N/A,FALSE,"ProNet"}</definedName>
    <definedName name="_Order1" hidden="1">255</definedName>
    <definedName name="_Order2" hidden="1">255</definedName>
    <definedName name="_Regression_Int" hidden="1">1</definedName>
    <definedName name="_Table1_In1" hidden="1">#REF!</definedName>
    <definedName name="_Table1_Out" hidden="1">#REF!</definedName>
    <definedName name="_Table2_In1" hidden="1">#REF!</definedName>
    <definedName name="_Table2_In1a" hidden="1">#REF!</definedName>
    <definedName name="_Table2_In2" hidden="1">#REF!</definedName>
    <definedName name="_Table2_In2a" hidden="1">#REF!</definedName>
    <definedName name="_Table2_Out"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BC" hidden="1">{"CHART",#N/A,FALSE,"Arch Communications"}</definedName>
    <definedName name="ABC_1" hidden="1">{"CHART",#N/A,FALSE,"Arch Communications"}</definedName>
    <definedName name="AccessDatabase" hidden="1">"K:\UEG_Mep\Analysis &amp; Structuring\Year 2002 Projects\Model Standardization\Crossroads\Valuation Model\Base Model\08.29.02 Project Crossroads Valuation_Base temp.mdb"</definedName>
    <definedName name="ad" hidden="1">{"CHART",#N/A,FALSE,"Arch Communications"}</definedName>
    <definedName name="ad_1" hidden="1">{"CHART",#N/A,FALSE,"Arch Communications"}</definedName>
    <definedName name="AGE_CURR_YEAR">#REF!</definedName>
    <definedName name="anscount" hidden="1">1</definedName>
    <definedName name="AS2DocOpenMode" hidden="1">"AS2DocumentEdit"</definedName>
    <definedName name="Assets_Closing">#REF!</definedName>
    <definedName name="Assets_Opening">#REF!</definedName>
    <definedName name="ATTRITION">#REF!</definedName>
    <definedName name="AttritionBracket">#REF!</definedName>
    <definedName name="Benefit_Paid">#REF!</definedName>
    <definedName name="BLPH1" hidden="1">#REF!</definedName>
    <definedName name="BLPH10" hidden="1">#REF!</definedName>
    <definedName name="BLPH11" hidden="1">#REF!</definedName>
    <definedName name="BLPH12" hidden="1">#REF!</definedName>
    <definedName name="BLPH13" hidden="1">#REF!</definedName>
    <definedName name="BLPH14" hidden="1">#REF!</definedName>
    <definedName name="BLPH15" hidden="1">#REF!</definedName>
    <definedName name="BLPH16" hidden="1">#REF!</definedName>
    <definedName name="BLPH17" hidden="1">#REF!</definedName>
    <definedName name="BLPH18" hidden="1">#REF!</definedName>
    <definedName name="BLPH19" hidden="1">#REF!</definedName>
    <definedName name="BLPH2" hidden="1">#REF!</definedName>
    <definedName name="BLPH20" hidden="1">#REF!</definedName>
    <definedName name="BLPH21" hidden="1">#REF!</definedName>
    <definedName name="BLPH22" hidden="1">#REF!</definedName>
    <definedName name="BLPH23" hidden="1">#REF!</definedName>
    <definedName name="BLPH24" hidden="1">#REF!</definedName>
    <definedName name="BLPH25" hidden="1">#REF!</definedName>
    <definedName name="BLPH3" hidden="1">#REF!</definedName>
    <definedName name="BLPH30" hidden="1">#REF!</definedName>
    <definedName name="BLPH34" hidden="1">#REF!</definedName>
    <definedName name="BLPH35" hidden="1">#REF!</definedName>
    <definedName name="BLPH6" hidden="1">#REF!</definedName>
    <definedName name="BLPH8" hidden="1">#REF!</definedName>
    <definedName name="BLPH9" hidden="1">#REF!</definedName>
    <definedName name="bull" hidden="1">{#N/A,#N/A,FALSE,"Combo-Ass ";#N/A,#N/A,FALSE,"Combo-AD sum";#N/A,#N/A,FALSE,"Combo-Syn Sens";#N/A,#N/A,FALSE,"Combo-Contr";#N/A,#N/A,FALSE,"Combo-Credit Sum";#N/A,#N/A,FALSE,"Combo-Credit";#N/A,#N/A,FALSE,"Combo-AD";#N/A,#N/A,FALSE,"Combo-AD CF"}</definedName>
    <definedName name="bull_1" hidden="1">{#N/A,#N/A,FALSE,"Combo-Ass ";#N/A,#N/A,FALSE,"Combo-AD sum";#N/A,#N/A,FALSE,"Combo-Syn Sens";#N/A,#N/A,FALSE,"Combo-Contr";#N/A,#N/A,FALSE,"Combo-Credit Sum";#N/A,#N/A,FALSE,"Combo-Credit";#N/A,#N/A,FALSE,"Combo-AD";#N/A,#N/A,FALSE,"Combo-AD CF"}</definedName>
    <definedName name="bullsf" hidden="1">{#N/A,#N/A,TRUE,"Tar-Ass";#N/A,#N/A,TRUE,"Tar-Ass LBO";#N/A,#N/A,TRUE,"LBO Ret";#N/A,#N/A,TRUE,"Tar-BS LBO";#N/A,#N/A,TRUE,"Tar-IS LBO";#N/A,#N/A,TRUE,"Tar-CF LBO";#N/A,#N/A,TRUE,"Tar-Debt LBO";#N/A,#N/A,TRUE,"Tar-Int LBO";#N/A,#N/A,TRUE,"Tar-Taxes LBO";#N/A,#N/A,TRUE,"Tar-Val LBO"}</definedName>
    <definedName name="bullsf_1" hidden="1">{#N/A,#N/A,TRUE,"Tar-Ass";#N/A,#N/A,TRUE,"Tar-Ass LBO";#N/A,#N/A,TRUE,"LBO Ret";#N/A,#N/A,TRUE,"Tar-BS LBO";#N/A,#N/A,TRUE,"Tar-IS LBO";#N/A,#N/A,TRUE,"Tar-CF LBO";#N/A,#N/A,TRUE,"Tar-Debt LBO";#N/A,#N/A,TRUE,"Tar-Int LBO";#N/A,#N/A,TRUE,"Tar-Taxes LBO";#N/A,#N/A,TRUE,"Tar-Val LBO"}</definedName>
    <definedName name="Case">[1]Assumptions!$C$6</definedName>
    <definedName name="Category">#REF!</definedName>
    <definedName name="CF">#REF!</definedName>
    <definedName name="cghj" hidden="1">{"ReportTop",#N/A,FALSE,"report top"}</definedName>
    <definedName name="cghj_1" hidden="1">{"ReportTop",#N/A,FALSE,"report top"}</definedName>
    <definedName name="CH">#REF!</definedName>
    <definedName name="CIQWBGuid" hidden="1">"Zomato Business Plan - 14th Mar_GS 31.xlsx"</definedName>
    <definedName name="CIQWBGuid_1" hidden="1">"4d243e63-634c-403e-ada2-70432afb88f0"</definedName>
    <definedName name="Circ">[1]Assumptions!$G$6</definedName>
    <definedName name="comp" hidden="1">{#N/A,#N/A,TRUE,"COVER";#N/A,#N/A,TRUE,"BS";#N/A,#N/A,TRUE,"APR-01";#N/A,#N/A,TRUE,"CF"}</definedName>
    <definedName name="comp_1" hidden="1">{#N/A,#N/A,TRUE,"COVER";#N/A,#N/A,TRUE,"BS";#N/A,#N/A,TRUE,"APR-01";#N/A,#N/A,TRUE,"CF"}</definedName>
    <definedName name="CompanyName">#REF!</definedName>
    <definedName name="compare" hidden="1">{#N/A,#N/A,TRUE,"COVER";#N/A,#N/A,TRUE,"BS";#N/A,#N/A,TRUE,"APR-01";#N/A,#N/A,TRUE,"CF"}</definedName>
    <definedName name="compare_1" hidden="1">{#N/A,#N/A,TRUE,"COVER";#N/A,#N/A,TRUE,"BS";#N/A,#N/A,TRUE,"APR-01";#N/A,#N/A,TRUE,"CF"}</definedName>
    <definedName name="Completed_Year_CY">#REF!</definedName>
    <definedName name="CURR_SER_COST">#REF!</definedName>
    <definedName name="CurrentCY">#REF!</definedName>
    <definedName name="dag" hidden="1">{"Total",#N/A,FALSE,"Six Fields";"PDP",#N/A,FALSE,"Six Fields";"PNP",#N/A,FALSE,"Six Fields";"PUD",#N/A,FALSE,"Six Fields";"Prob",#N/A,FALSE,"Six Fields"}</definedName>
    <definedName name="dag_1" hidden="1">{"Total",#N/A,FALSE,"Six Fields";"PDP",#N/A,FALSE,"Six Fields";"PNP",#N/A,FALSE,"Six Fields";"PUD",#N/A,FALSE,"Six Fields";"Prob",#N/A,FALSE,"Six Fields"}</definedName>
    <definedName name="debt_ratedBBB" hidden="1">{#N/A,#N/A,FALSE,"Aging Summary";#N/A,#N/A,FALSE,"Ratio Analysis";#N/A,#N/A,FALSE,"Test 120 Day Accts";#N/A,#N/A,FALSE,"Tickmarks"}</definedName>
    <definedName name="debt_ratedBBB_1" hidden="1">{#N/A,#N/A,FALSE,"Aging Summary";#N/A,#N/A,FALSE,"Ratio Analysis";#N/A,#N/A,FALSE,"Test 120 Day Accts";#N/A,#N/A,FALSE,"Tickmarks"}</definedName>
    <definedName name="dfd" hidden="1">{"CSheet",#N/A,FALSE,"C";"SmCap",#N/A,FALSE,"VAL1";"GulfCoast",#N/A,FALSE,"VAL1";"nav",#N/A,FALSE,"NAV";"Summary",#N/A,FALSE,"NAV"}</definedName>
    <definedName name="dfd_1" hidden="1">{"CSheet",#N/A,FALSE,"C";"SmCap",#N/A,FALSE,"VAL1";"GulfCoast",#N/A,FALSE,"VAL1";"nav",#N/A,FALSE,"NAV";"Summary",#N/A,FALSE,"NAV"}</definedName>
    <definedName name="dfere" hidden="1">{"ReportTop",#N/A,FALSE,"report top"}</definedName>
    <definedName name="dfere_1" hidden="1">{"ReportTop",#N/A,FALSE,"report top"}</definedName>
    <definedName name="dfsafd"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_1"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_1"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hdh" hidden="1">{#N/A,#N/A,TRUE,"Table1";#N/A,#N/A,TRUE,"Table2";#N/A,#N/A,TRUE,"Table3";#N/A,#N/A,TRUE,"Table4";#N/A,#N/A,TRUE,"Table5";#N/A,#N/A,TRUE,"Table6";#N/A,#N/A,TRUE,"Table7";#N/A,#N/A,TRUE,"Table8";#N/A,#N/A,TRUE,"Table9";#N/A,#N/A,TRUE,"Table10";#N/A,#N/A,TRUE,"Table11";#N/A,#N/A,TRUE,"Table12";#N/A,#N/A,TRUE,"Table13";#N/A,#N/A,TRUE,"Table14"}</definedName>
    <definedName name="dhdh_1" hidden="1">{#N/A,#N/A,TRUE,"Table1";#N/A,#N/A,TRUE,"Table2";#N/A,#N/A,TRUE,"Table3";#N/A,#N/A,TRUE,"Table4";#N/A,#N/A,TRUE,"Table5";#N/A,#N/A,TRUE,"Table6";#N/A,#N/A,TRUE,"Table7";#N/A,#N/A,TRUE,"Table8";#N/A,#N/A,TRUE,"Table9";#N/A,#N/A,TRUE,"Table10";#N/A,#N/A,TRUE,"Table11";#N/A,#N/A,TRUE,"Table12";#N/A,#N/A,TRUE,"Table13";#N/A,#N/A,TRUE,"Table14"}</definedName>
    <definedName name="Disc_Rate_Curr">#REF!</definedName>
    <definedName name="Disc_Rate_Pre">#REF!</definedName>
    <definedName name="Disclosure">#REF!</definedName>
    <definedName name="DOB">#REF!</definedName>
    <definedName name="dsafd"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safd_1"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SHiddenYear1" hidden="1">#REF!</definedName>
    <definedName name="DSHiddenYear2" hidden="1">#REF!</definedName>
    <definedName name="DSHiddenYear3" hidden="1">#REF!</definedName>
    <definedName name="DSHiddenYear4" hidden="1">#REF!</definedName>
    <definedName name="DSIndHiddenYear1" hidden="1">#REF!</definedName>
    <definedName name="DSIndHiddenYear2" hidden="1">#REF!</definedName>
    <definedName name="DSIndHiddenYear3" hidden="1">#REF!</definedName>
    <definedName name="DSIndHiddenYear4" hidden="1">#REF!</definedName>
    <definedName name="DSIndHistHiddenYear1" hidden="1">#REF!</definedName>
    <definedName name="DSIndHistHiddenYear2" hidden="1">#REF!</definedName>
    <definedName name="DSIndHistHiddenYear3" hidden="1">#REF!</definedName>
    <definedName name="DSIndHistHiddenYear4" hidden="1">#REF!</definedName>
    <definedName name="DSIndHistHiddenYear5" hidden="1">#REF!</definedName>
    <definedName name="egfh"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gfh_1"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jejejej" hidden="1">{#N/A,#N/A,FALSE,"COVER";#N/A,#N/A,FALSE,"SUMMARY";#N/A,#N/A,FALSE,"INCOME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ejejejej_1" hidden="1">{#N/A,#N/A,FALSE,"COVER";#N/A,#N/A,FALSE,"SUMMARY";#N/A,#N/A,FALSE,"INCOME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er"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_1"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e"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e_1"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er" hidden="1">{"Total",#N/A,FALSE,"Six Fields";"PDP",#N/A,FALSE,"Six Fields";"PNP",#N/A,FALSE,"Six Fields";"PUD",#N/A,FALSE,"Six Fields";"Prob",#N/A,FALSE,"Six Fields"}</definedName>
    <definedName name="erer_1" hidden="1">{"Total",#N/A,FALSE,"Six Fields";"PDP",#N/A,FALSE,"Six Fields";"PNP",#N/A,FALSE,"Six Fields";"PUD",#N/A,FALSE,"Six Fields";"Prob",#N/A,FALSE,"Six Fields"}</definedName>
    <definedName name="erghr" hidden="1">{"graph",#N/A,FALSE,"WWJU";"graph",#N/A,FALSE,"WWSEM";"graph",#N/A,FALSE,"GOMJU";"graph",#N/A,FALSE,"GOMSEM";"graph",#N/A,FALSE,"NSJU";"graph",#N/A,FALSE,"NSSEM";"graph",#N/A,FALSE,"WAJU";"graph",#N/A,FALSE,"STOCKPRI";"graph",#N/A,FALSE,"CFTEV";"graph",#N/A,FALSE,"NAV-RCV";"graph",#N/A,FALSE,"CRUDEWW"}</definedName>
    <definedName name="erghr_1" hidden="1">{"graph",#N/A,FALSE,"WWJU";"graph",#N/A,FALSE,"WWSEM";"graph",#N/A,FALSE,"GOMJU";"graph",#N/A,FALSE,"GOMSEM";"graph",#N/A,FALSE,"NSJU";"graph",#N/A,FALSE,"NSSEM";"graph",#N/A,FALSE,"WAJU";"graph",#N/A,FALSE,"STOCKPRI";"graph",#N/A,FALSE,"CFTEV";"graph",#N/A,FALSE,"NAV-RCV";"graph",#N/A,FALSE,"CRUDEWW"}</definedName>
    <definedName name="ev.Calculation" hidden="1">-4135</definedName>
    <definedName name="ev.Initialized" hidden="1">FALSE</definedName>
    <definedName name="fgh"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fgh_1"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FinancialMetricScale">#REF!</definedName>
    <definedName name="Fixed_Asset_Detail">#REF!</definedName>
    <definedName name="ForwardCY">#REF!</definedName>
    <definedName name="fsdsfafd" hidden="1">{"CSheet",#N/A,FALSE,"C";"SmCap",#N/A,FALSE,"VAL1";"GulfCoast",#N/A,FALSE,"VAL1";"nav",#N/A,FALSE,"NAV";"Summary",#N/A,FALSE,"NAV"}</definedName>
    <definedName name="fsdsfafd_1" hidden="1">{"CSheet",#N/A,FALSE,"C";"SmCap",#N/A,FALSE,"VAL1";"GulfCoast",#N/A,FALSE,"VAL1";"nav",#N/A,FALSE,"NAV";"Summary",#N/A,FALSE,"NAV"}</definedName>
    <definedName name="Funded?">#REF!</definedName>
    <definedName name="gary" hidden="1">{#N/A,#N/A,TRUE,"Tar-Ass";#N/A,#N/A,TRUE,"Tar-Ass LBO";#N/A,#N/A,TRUE,"LBO Ret";#N/A,#N/A,TRUE,"Tar-BS LBO";#N/A,#N/A,TRUE,"Tar-IS LBO";#N/A,#N/A,TRUE,"Tar-CF LBO";#N/A,#N/A,TRUE,"Tar-Debt LBO";#N/A,#N/A,TRUE,"Tar-Int LBO";#N/A,#N/A,TRUE,"Tar-Taxes LBO";#N/A,#N/A,TRUE,"Tar-Val LBO"}</definedName>
    <definedName name="gary_1" hidden="1">{#N/A,#N/A,TRUE,"Tar-Ass";#N/A,#N/A,TRUE,"Tar-Ass LBO";#N/A,#N/A,TRUE,"LBO Ret";#N/A,#N/A,TRUE,"Tar-BS LBO";#N/A,#N/A,TRUE,"Tar-IS LBO";#N/A,#N/A,TRUE,"Tar-CF LBO";#N/A,#N/A,TRUE,"Tar-Debt LBO";#N/A,#N/A,TRUE,"Tar-Int LBO";#N/A,#N/A,TRUE,"Tar-Taxes LBO";#N/A,#N/A,TRUE,"Tar-Val LBO"}</definedName>
    <definedName name="gfh" hidden="1">{"CSheet",#N/A,FALSE,"C";"SmCap",#N/A,FALSE,"VAL1";"GulfCoast",#N/A,FALSE,"VAL1";"nav",#N/A,FALSE,"NAV";"Summary",#N/A,FALSE,"NAV"}</definedName>
    <definedName name="gfh_1" hidden="1">{"CSheet",#N/A,FALSE,"C";"SmCap",#N/A,FALSE,"VAL1";"GulfCoast",#N/A,FALSE,"VAL1";"nav",#N/A,FALSE,"NAV";"Summary",#N/A,FALSE,"NAV"}</definedName>
    <definedName name="ghh" hidden="1">{"cred comp",#N/A,FALSE,"Comparable Credit Analysis";"IS",#N/A,FALSE,"IS";"Sensitivity",#N/A,FALSE,"Sensitivity";"BS",#N/A,FALSE,"BS";"Bond Summary",#N/A,FALSE,"B Summary";"AD",#N/A,FALSE,"Accretion";"NAV",#N/A,FALSE,"NAV";"SU",#N/A,FALSE,"S&amp;U";"acq. study",#N/A,FALSE,"Acq. Study";"F Charges",#N/A,FALSE,"Fixed Charges"}</definedName>
    <definedName name="ghh_1" hidden="1">{"cred comp",#N/A,FALSE,"Comparable Credit Analysis";"IS",#N/A,FALSE,"IS";"Sensitivity",#N/A,FALSE,"Sensitivity";"BS",#N/A,FALSE,"BS";"Bond Summary",#N/A,FALSE,"B Summary";"AD",#N/A,FALSE,"Accretion";"NAV",#N/A,FALSE,"NAV";"SU",#N/A,FALSE,"S&amp;U";"acq. study",#N/A,FALSE,"Acq. Study";"F Charges",#N/A,FALSE,"Fixed Charges"}</definedName>
    <definedName name="ghj" hidden="1">{"CSheet",#N/A,FALSE,"C";"SmCap",#N/A,FALSE,"VAL1";"GulfCoast",#N/A,FALSE,"VAL1";"nav",#N/A,FALSE,"NAV";"Summary",#N/A,FALSE,"NAV"}</definedName>
    <definedName name="ghj_1" hidden="1">{"CSheet",#N/A,FALSE,"C";"SmCap",#N/A,FALSE,"VAL1";"GulfCoast",#N/A,FALSE,"VAL1";"nav",#N/A,FALSE,"NAV";"Summary",#N/A,FALSE,"NAV"}</definedName>
    <definedName name="ghu"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hu_1"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jio" hidden="1">{"cred comp",#N/A,FALSE,"Comparable Credit Analysis";"IS",#N/A,FALSE,"IS";"Sensitivity",#N/A,FALSE,"Sensitivity";"BS",#N/A,FALSE,"BS";"Bond Summary",#N/A,FALSE,"B Summary";"AD",#N/A,FALSE,"Accretion";"NAV",#N/A,FALSE,"NAV";"SU",#N/A,FALSE,"S&amp;U";"acq. study",#N/A,FALSE,"Acq. Study";"F Charges",#N/A,FALSE,"Fixed Charges"}</definedName>
    <definedName name="gjio_1" hidden="1">{"cred comp",#N/A,FALSE,"Comparable Credit Analysis";"IS",#N/A,FALSE,"IS";"Sensitivity",#N/A,FALSE,"Sensitivity";"BS",#N/A,FALSE,"BS";"Bond Summary",#N/A,FALSE,"B Summary";"AD",#N/A,FALSE,"Accretion";"NAV",#N/A,FALSE,"NAV";"SU",#N/A,FALSE,"S&amp;U";"acq. study",#N/A,FALSE,"Acq. Study";"F Charges",#N/A,FALSE,"Fixed Charges"}</definedName>
    <definedName name="grtr" hidden="1">{"graph",#N/A,FALSE,"WWJU";"graph",#N/A,FALSE,"WWSEM";"graph",#N/A,FALSE,"GOMJU";"graph",#N/A,FALSE,"GOMSEM";"graph",#N/A,FALSE,"NSJU";"graph",#N/A,FALSE,"NSSEM";"graph",#N/A,FALSE,"WAJU";"graph",#N/A,FALSE,"STOCKPRI";"graph",#N/A,FALSE,"CFTEV";"graph",#N/A,FALSE,"NAV-RCV";"graph",#N/A,FALSE,"CRUDEWW"}</definedName>
    <definedName name="grtr_1" hidden="1">{"graph",#N/A,FALSE,"WWJU";"graph",#N/A,FALSE,"WWSEM";"graph",#N/A,FALSE,"GOMJU";"graph",#N/A,FALSE,"GOMSEM";"graph",#N/A,FALSE,"NSJU";"graph",#N/A,FALSE,"NSSEM";"graph",#N/A,FALSE,"WAJU";"graph",#N/A,FALSE,"STOCKPRI";"graph",#N/A,FALSE,"CFTEV";"graph",#N/A,FALSE,"NAV-RCV";"graph",#N/A,FALSE,"CRUDEWW"}</definedName>
    <definedName name="gyhui" hidden="1">{"CSheet",#N/A,FALSE,"C";"SmCap",#N/A,FALSE,"VAL1";"GulfCoast",#N/A,FALSE,"VAL1";"nav",#N/A,FALSE,"NAV";"Summary",#N/A,FALSE,"NAV"}</definedName>
    <definedName name="gyhui_1" hidden="1">{"CSheet",#N/A,FALSE,"C";"SmCap",#N/A,FALSE,"VAL1";"GulfCoast",#N/A,FALSE,"VAL1";"nav",#N/A,FALSE,"NAV";"Summary",#N/A,FALSE,"NAV"}</definedName>
    <definedName name="hghg"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ghg_1"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ide_Avail_Sal">#REF!</definedName>
    <definedName name="Hide_Proportion">#REF!</definedName>
    <definedName name="Hide_Sick">#REF!</definedName>
    <definedName name="HideBifur">#REF!</definedName>
    <definedName name="HideContINDCH">#REF!</definedName>
    <definedName name="HideIns1INDCH">#REF!</definedName>
    <definedName name="HideIns2INDCH">#REF!</definedName>
    <definedName name="HideIns3INDCH">#REF!</definedName>
    <definedName name="HideIns4INDCH">#REF!</definedName>
    <definedName name="HideLeaves_Report">#REF!</definedName>
    <definedName name="HideName">#REF!</definedName>
    <definedName name="HTML_CodePage" hidden="1">1252</definedName>
    <definedName name="HTML_Control" hidden="1">{"'Bellville Acetylene'!$A$1:$L$99"}</definedName>
    <definedName name="HTML_Control_1" hidden="1">{"'Bellville Acetylene'!$A$1:$L$99"}</definedName>
    <definedName name="HTML_Description" hidden="1">""</definedName>
    <definedName name="HTML_Email" hidden="1">"jaymckeown@westernintl.com"</definedName>
    <definedName name="HTML_Header" hidden="1">"Western Summary"</definedName>
    <definedName name="HTML_LastUpdate" hidden="1">"3/13/02"</definedName>
    <definedName name="HTML_LineAfter" hidden="1">FALSE</definedName>
    <definedName name="HTML_LineBefore" hidden="1">FALSE</definedName>
    <definedName name="HTML_Name" hidden="1">"Jay McKeown"</definedName>
    <definedName name="HTML_OBDlg2" hidden="1">TRUE</definedName>
    <definedName name="HTML_OBDlg4" hidden="1">TRUE</definedName>
    <definedName name="HTML_OS" hidden="1">0</definedName>
    <definedName name="HTML_PathFile" hidden="1">"W:\JayM\Excel\Western\Financial Statements\2002\Western Summary.htm"</definedName>
    <definedName name="HTML_Title" hidden="1">"February 2002 Department Financial Statement"</definedName>
    <definedName name="HTML1_1" hidden="1">"[TB9.XLS]St_tot_94_95!$A$1:$J$428"</definedName>
    <definedName name="HTML1_10" hidden="1">""</definedName>
    <definedName name="HTML1_11" hidden="1">1</definedName>
    <definedName name="HTML1_12" hidden="1">"F:\USERS\ECON\Census95\Int\T9ST.htm"</definedName>
    <definedName name="HTML1_2" hidden="1">1</definedName>
    <definedName name="HTML1_3" hidden="1">""</definedName>
    <definedName name="HTML1_4" hidden="1">""</definedName>
    <definedName name="HTML1_5" hidden="1">""</definedName>
    <definedName name="HTML1_6" hidden="1">-4146</definedName>
    <definedName name="HTML1_7" hidden="1">-4146</definedName>
    <definedName name="HTML1_8" hidden="1">"2/17/98"</definedName>
    <definedName name="HTML1_9" hidden="1">"BPH"</definedName>
    <definedName name="HTML2_1" hidden="1">"[TB9.XLS]St_tot_94_95!$A$1:$J$427"</definedName>
    <definedName name="HTML2_10" hidden="1">""</definedName>
    <definedName name="HTML2_11" hidden="1">1</definedName>
    <definedName name="HTML2_12" hidden="1">"F:\USERS\ECON\Census95\Int\T9ST.htm"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"2/17/98"</definedName>
    <definedName name="HTML2_9" hidden="1">"BPH"</definedName>
    <definedName name="HTML3_1" hidden="1">"[TB9.XLS]St_tot_94_95!$A$1:$H$427"</definedName>
    <definedName name="HTML3_10" hidden="1">""</definedName>
    <definedName name="HTML3_11" hidden="1">1</definedName>
    <definedName name="HTML3_12" hidden="1">"F:\USERS\ECON\Census95\Int\T9st.htm"</definedName>
    <definedName name="HTML3_2" hidden="1">1</definedName>
    <definedName name="HTML3_3" hidden="1">""</definedName>
    <definedName name="HTML3_4" hidden="1">""</definedName>
    <definedName name="HTML3_5" hidden="1">""</definedName>
    <definedName name="HTML3_6" hidden="1">-4146</definedName>
    <definedName name="HTML3_7" hidden="1">-4146</definedName>
    <definedName name="HTML3_8" hidden="1">"2/17/98"</definedName>
    <definedName name="HTML3_9" hidden="1">"BPH"</definedName>
    <definedName name="HTMLCount" hidden="1">3</definedName>
    <definedName name="hu" hidden="1">{"Total",#N/A,FALSE,"Six Fields";"PDP",#N/A,FALSE,"Six Fields";"PNP",#N/A,FALSE,"Six Fields";"PUD",#N/A,FALSE,"Six Fields";"Prob",#N/A,FALSE,"Six Fields"}</definedName>
    <definedName name="hu_1" hidden="1">{"Total",#N/A,FALSE,"Six Fields";"PDP",#N/A,FALSE,"Six Fields";"PNP",#N/A,FALSE,"Six Fields";"PUD",#N/A,FALSE,"Six Fields";"Prob",#N/A,FALSE,"Six Fields"}</definedName>
    <definedName name="hui" hidden="1">{"Sum1",#N/A,FALSE,"Reserve Report";"Sum2",#N/A,FALSE,"Reserve Report";"Sum3",#N/A,FALSE,"Reserve Report";"Sum4",#N/A,FALSE,"Reserve Report"}</definedName>
    <definedName name="hui_1" hidden="1">{"Sum1",#N/A,FALSE,"Reserve Report";"Sum2",#N/A,FALSE,"Reserve Report";"Sum3",#N/A,FALSE,"Reserve Report";"Sum4",#N/A,FALSE,"Reserve Report"}</definedName>
    <definedName name="IALM_NEW">#REF!</definedName>
    <definedName name="IALM_OLD">#REF!</definedName>
    <definedName name="InsurancePolicy">#REF!</definedName>
    <definedName name="io"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io_1"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iouu" hidden="1">{"Total",#N/A,FALSE,"Total Proved + Probable";"PDP",#N/A,FALSE,"Total Proved + Probable";"PNP",#N/A,FALSE,"Total Proved + Probable";"PUD",#N/A,FALSE,"Total Proved + Probable";"Prob",#N/A,FALSE,"Total Proved + Probable"}</definedName>
    <definedName name="iouu_1" hidden="1">{"Total",#N/A,FALSE,"Total Proved + Probable";"PDP",#N/A,FALSE,"Total Proved + Probable";"PNP",#N/A,FALSE,"Total Proved + Probable";"PUD",#N/A,FALSE,"Total Proved + Probable";"Prob",#N/A,FALSE,"Total Proved + Probable"}</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ONDRATING_FITCH" hidden="1">"IQ_BONDRATING_FITCH"</definedName>
    <definedName name="IQ_BONDRATING_MOODYS" hidden="1">"IQ_BONDRATING_MOODYS"</definedName>
    <definedName name="IQ_BONDRATING_SP" hidden="1">"IQ_BONDRATING_SP"</definedName>
    <definedName name="IQ_BOOK_VALUE" hidden="1">"IQ_BOOK_VALUE"</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ASH_OPER_ACT_OR_EST" hidden="1">"c4164"</definedName>
    <definedName name="IQ_CCE_FDIC" hidden="1">"c6296"</definedName>
    <definedName name="IQ_CH" hidden="1">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 hidden="1">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 hidden="1">10000</definedName>
    <definedName name="IQ_DA_BR" hidden="1">"c248"</definedName>
    <definedName name="IQ_DA_CF_BR" hidden="1">"c251"</definedName>
    <definedName name="IQ_DA_SUPPL_BR" hidden="1">"c260"</definedName>
    <definedName name="IQ_DA_SUPPL_CF_BR" hidden="1">"c263"</definedName>
    <definedName name="IQ_DAILY" hidden="1">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IT_10K" hidden="1">"IQ_EBIT_10K"</definedName>
    <definedName name="IQ_EBIT_10Q" hidden="1">"IQ_EBIT_10Q"</definedName>
    <definedName name="IQ_EBIT_10Q1" hidden="1">"IQ_EBIT_10Q1"</definedName>
    <definedName name="IQ_EBIT_GROWTH_1" hidden="1">"IQ_EBIT_GROWTH_1"</definedName>
    <definedName name="IQ_EBIT_GROWTH_2" hidden="1">"IQ_EBIT_GROWTH_2"</definedName>
    <definedName name="IQ_EBITDA_10K" hidden="1">"IQ_EBITDA_10K"</definedName>
    <definedName name="IQ_EBITDA_10Q" hidden="1">"IQ_EBITDA_10Q"</definedName>
    <definedName name="IQ_EBITDA_10Q1" hidden="1">"IQ_EBITDA_10Q1"</definedName>
    <definedName name="IQ_EBITDA_GROWTH_1" hidden="1">"IQ_EBITDA_GROWTH_1"</definedName>
    <definedName name="IQ_EBITDA_GROWTH_2" hidden="1">"IQ_EBITDA_GROWTH_2"</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PS_10K" hidden="1">"IQ_EPS_10K"</definedName>
    <definedName name="IQ_EPS_10Q" hidden="1">"IQ_EPS_10Q"</definedName>
    <definedName name="IQ_EPS_10Q1" hidden="1">"IQ_EPS_10Q1"</definedName>
    <definedName name="IQ_EPS_EST_1" hidden="1">"IQ_EPS_EST_1"</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IMATED_ASSESSABLE_DEPOSITS_FDIC" hidden="1">"c6490"</definedName>
    <definedName name="IQ_ESTIMATED_INSURED_DEPOSITS_FDIC" hidden="1">"c6491"</definedName>
    <definedName name="IQ_EV_OVER_REVENUE_EST" hidden="1">"IQ_EV_OVER_REVENUE_EST"</definedName>
    <definedName name="IQ_EV_OVER_REVENUE_EST_1" hidden="1">"IQ_EV_OVER_REVENUE_EST_1"</definedName>
    <definedName name="IQ_EXPENSE_CODE_" hidden="1">100</definedName>
    <definedName name="IQ_EXPENSE_CODE__1" hidden="1">100</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 hidden="1">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 hidden="1">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 hidden="1">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INC_10K" hidden="1">"IQ_INTEREST_INC_10K"</definedName>
    <definedName name="IQ_INTEREST_INC_10Q" hidden="1">"IQ_INTEREST_INC_10Q"</definedName>
    <definedName name="IQ_INTEREST_INC_10Q1" hidden="1">"IQ_INTEREST_INC_10Q1"</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 hidden="1">2000</definedName>
    <definedName name="IQ_LTM_DATE" hidden="1">"IQ_LTM_DATE"</definedName>
    <definedName name="IQ_LTMMONTH" hidden="1">120000</definedName>
    <definedName name="IQ_MAINT_CAPEX_ACT_OR_EST" hidden="1">"c4458"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 hidden="1">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43757.5257060185</definedName>
    <definedName name="IQ_NAMES_REVISION_DATE__1" hidden="1">40581.4643981481</definedName>
    <definedName name="IQ_NAMES_REVISION_DATE__2" hidden="1">42028.7438310185</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_10K" hidden="1">"IQ_NET_INC_10K"</definedName>
    <definedName name="IQ_NET_INC_10Q" hidden="1">"IQ_NET_INC_10Q"</definedName>
    <definedName name="IQ_NET_INC_10Q1" hidden="1">"IQ_NET_INC_10Q1"</definedName>
    <definedName name="IQ_NET_INC_GROWTH_1" hidden="1">"IQ_NET_INC_GROWTH_1"</definedName>
    <definedName name="IQ_NET_INC_GROWTH_2" hidden="1">"IQ_NET_INC_GROWTH_2"</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 hidden="1">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RETURN_ASSETS_FDIC" hidden="1">"c6731"</definedName>
    <definedName name="IQ_PRICE_OVER_EPS_EST" hidden="1">"IQ_PRICE_OVER_EPS_EST"</definedName>
    <definedName name="IQ_PRICE_OVER_EPS_EST_1" hidden="1">"IQ_PRICE_OVER_EPS_EST_1"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EVENUE_10K" hidden="1">"IQ_REVENUE_10K"</definedName>
    <definedName name="IQ_REVENUE_10Q" hidden="1">"IQ_REVENUE_10Q"</definedName>
    <definedName name="IQ_REVENUE_10Q1" hidden="1">"IQ_REVENUE_10Q1"</definedName>
    <definedName name="IQ_REVENUE_EST_1" hidden="1">"IQ_REVENUE_EST_1"</definedName>
    <definedName name="IQ_REVENUE_GROWTH_1" hidden="1">"IQ_REVENUE_GROWTH_1"</definedName>
    <definedName name="IQ_REVENUE_GROWTH_2" hidden="1">"IQ_REVENUE_GROWTH_2"</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 hidden="1">50000</definedName>
    <definedName name="IQ_WRITTEN_OPTION_CONTRACTS_FDIC" hidden="1">"c6509"</definedName>
    <definedName name="IQ_WRITTEN_OPTION_CONTRACTS_FX_RISK_FDIC" hidden="1">"c6514"</definedName>
    <definedName name="IQ_WRITTEN_OPTION_CONTRACTS_NON_FX_IR_FDIC" hidden="1">"c6519"</definedName>
    <definedName name="IQ_YTD" hidden="1">3000</definedName>
    <definedName name="IQ_YTDMONTH" hidden="1">130000</definedName>
    <definedName name="IQB_BOOKMARK_COUNT" hidden="1">0</definedName>
    <definedName name="IQRB2" hidden="1">"$B$3:$B$1261"</definedName>
    <definedName name="IQRC12" hidden="1">"$C$13"</definedName>
    <definedName name="IQRC2" hidden="1">"$C$3:$C$1261"</definedName>
    <definedName name="IQRCompaniesH100" hidden="1">#REF!</definedName>
    <definedName name="IQRCompaniesH101" hidden="1">#REF!</definedName>
    <definedName name="IQRCompaniesH102" hidden="1">#REF!</definedName>
    <definedName name="IQRCompaniesH103" hidden="1">#REF!</definedName>
    <definedName name="IQRCompaniesH104" hidden="1">#REF!</definedName>
    <definedName name="IQRCompaniesH105" hidden="1">#REF!</definedName>
    <definedName name="IQRCompaniesH106" hidden="1">#REF!</definedName>
    <definedName name="IQRCompaniesH107" hidden="1">#REF!</definedName>
    <definedName name="IQRCompaniesH108" hidden="1">#REF!</definedName>
    <definedName name="IQRCompaniesH109" hidden="1">#REF!</definedName>
    <definedName name="IQRCompaniesH110" hidden="1">#REF!</definedName>
    <definedName name="IQRCompaniesH111" hidden="1">#REF!</definedName>
    <definedName name="IQRCompaniesH112" hidden="1">#REF!</definedName>
    <definedName name="IQRCompaniesH113" hidden="1">#REF!</definedName>
    <definedName name="IQRCompaniesH114" hidden="1">#REF!</definedName>
    <definedName name="IQRCompaniesH115" hidden="1">#REF!</definedName>
    <definedName name="IQRCompaniesH12" hidden="1">#REF!</definedName>
    <definedName name="IQRCompaniesH13" hidden="1">#REF!</definedName>
    <definedName name="IQRCompaniesH14" hidden="1">#REF!</definedName>
    <definedName name="IQRCompaniesH15" hidden="1">#REF!</definedName>
    <definedName name="IQRCompaniesH16" hidden="1">#REF!</definedName>
    <definedName name="IQRCompaniesH17" hidden="1">#REF!</definedName>
    <definedName name="IQRCompaniesH18" hidden="1">#REF!</definedName>
    <definedName name="IQRCompaniesH19" hidden="1">#REF!</definedName>
    <definedName name="IQRCompaniesH78" hidden="1">#REF!</definedName>
    <definedName name="IQRCompaniesH80" hidden="1">#REF!</definedName>
    <definedName name="IQRCompaniesH82" hidden="1">#REF!</definedName>
    <definedName name="IQRCompaniesH84" hidden="1">#REF!</definedName>
    <definedName name="IQRCompaniesH85" hidden="1">#REF!</definedName>
    <definedName name="IQRCompaniesH86" hidden="1">#REF!</definedName>
    <definedName name="IQRCompaniesH87" hidden="1">#REF!</definedName>
    <definedName name="IQRCompaniesH88" hidden="1">#REF!</definedName>
    <definedName name="IQRCompaniesH89" hidden="1">#REF!</definedName>
    <definedName name="IQRCompaniesH90" hidden="1">#REF!</definedName>
    <definedName name="IQRCompaniesH91" hidden="1">#REF!</definedName>
    <definedName name="IQRCompaniesH92" hidden="1">#REF!</definedName>
    <definedName name="IQRCompaniesH93" hidden="1">#REF!</definedName>
    <definedName name="IQRCompaniesH94" hidden="1">#REF!</definedName>
    <definedName name="IQRCompaniesH95" hidden="1">#REF!</definedName>
    <definedName name="IQRCompaniesH96" hidden="1">#REF!</definedName>
    <definedName name="IQRCompaniesH97" hidden="1">#REF!</definedName>
    <definedName name="IQRCompaniesH98" hidden="1">#REF!</definedName>
    <definedName name="IQRCompaniesH99" hidden="1">#REF!</definedName>
    <definedName name="IQRCompaniesN100" hidden="1">#REF!</definedName>
    <definedName name="IQRCompaniesN101" hidden="1">#REF!</definedName>
    <definedName name="IQRCompaniesN102" hidden="1">#REF!</definedName>
    <definedName name="IQRCompaniesN103" hidden="1">#REF!</definedName>
    <definedName name="IQRCompaniesN104" hidden="1">#REF!</definedName>
    <definedName name="IQRCompaniesN105" hidden="1">#REF!</definedName>
    <definedName name="IQRCompaniesN106" hidden="1">#REF!</definedName>
    <definedName name="IQRCompaniesN107" hidden="1">#REF!</definedName>
    <definedName name="IQRCompaniesN108" hidden="1">#REF!</definedName>
    <definedName name="IQRCompaniesN109" hidden="1">#REF!</definedName>
    <definedName name="IQRCompaniesN110" hidden="1">#REF!</definedName>
    <definedName name="IQRCompaniesN111" hidden="1">#REF!</definedName>
    <definedName name="IQRCompaniesN112" hidden="1">#REF!</definedName>
    <definedName name="IQRCompaniesN113" hidden="1">#REF!</definedName>
    <definedName name="IQRCompaniesN114" hidden="1">#REF!</definedName>
    <definedName name="IQRCompaniesN115" hidden="1">#REF!</definedName>
    <definedName name="IQRCompaniesN12" hidden="1">#REF!</definedName>
    <definedName name="IQRCompaniesN13" hidden="1">#REF!</definedName>
    <definedName name="IQRCompaniesN14" hidden="1">#REF!</definedName>
    <definedName name="IQRCompaniesN15" hidden="1">#REF!</definedName>
    <definedName name="IQRCompaniesN16" hidden="1">#REF!</definedName>
    <definedName name="IQRCompaniesN17" hidden="1">#REF!</definedName>
    <definedName name="IQRCompaniesN18" hidden="1">#REF!</definedName>
    <definedName name="IQRCompaniesN19" hidden="1">#REF!</definedName>
    <definedName name="IQRCompaniesN78" hidden="1">#REF!</definedName>
    <definedName name="IQRCompaniesN80" hidden="1">#REF!</definedName>
    <definedName name="IQRCompaniesN82" hidden="1">#REF!</definedName>
    <definedName name="IQRCompaniesN84" hidden="1">#REF!</definedName>
    <definedName name="IQRCompaniesN85" hidden="1">#REF!</definedName>
    <definedName name="IQRCompaniesN86" hidden="1">#REF!</definedName>
    <definedName name="IQRCompaniesN87" hidden="1">#REF!</definedName>
    <definedName name="IQRCompaniesN88" hidden="1">#REF!</definedName>
    <definedName name="IQRCompaniesN89" hidden="1">#REF!</definedName>
    <definedName name="IQRCompaniesN90" hidden="1">#REF!</definedName>
    <definedName name="IQRCompaniesN91" hidden="1">#REF!</definedName>
    <definedName name="IQRCompaniesN92" hidden="1">#REF!</definedName>
    <definedName name="IQRCompaniesN93" hidden="1">#REF!</definedName>
    <definedName name="IQRCompaniesN94" hidden="1">#REF!</definedName>
    <definedName name="IQRCompaniesN95" hidden="1">#REF!</definedName>
    <definedName name="IQRCompaniesN96" hidden="1">#REF!</definedName>
    <definedName name="IQRCompaniesN97" hidden="1">#REF!</definedName>
    <definedName name="IQRCompaniesN98" hidden="1">#REF!</definedName>
    <definedName name="IQRCompaniesN99" hidden="1">#REF!</definedName>
    <definedName name="IQRG12" hidden="1">"$H$12:$L$12"</definedName>
    <definedName name="IQRH12" hidden="1">"$I$12:$J$12"</definedName>
    <definedName name="IQRH13" hidden="1">"$I$13:$M$13"</definedName>
    <definedName name="IQRH14" hidden="1">"$I$14"</definedName>
    <definedName name="IQRH15" hidden="1">"$I$15:$M$15"</definedName>
    <definedName name="IQRH16" hidden="1">"$I$16:$M$16"</definedName>
    <definedName name="IQRH17" hidden="1">"$I$17:$M$17"</definedName>
    <definedName name="IQRH18" hidden="1">"$I$18:$M$18"</definedName>
    <definedName name="IQRH19" hidden="1">"$I$19:$M$19"</definedName>
    <definedName name="IQRH20" hidden="1">"$I$20:$M$20"</definedName>
    <definedName name="IQRH21" hidden="1">"$I$21"</definedName>
    <definedName name="IQRH22" hidden="1">"$I$22"</definedName>
    <definedName name="IQRH23" hidden="1">"$I$23"</definedName>
    <definedName name="IQRH24" hidden="1">"$I$24"</definedName>
    <definedName name="IQRH25" hidden="1">"$I$25"</definedName>
    <definedName name="IQRH26" hidden="1">"$I$26"</definedName>
    <definedName name="IQRH27" hidden="1">"$I$27"</definedName>
    <definedName name="IQRH28" hidden="1">"$I$28"</definedName>
    <definedName name="IQRM12" hidden="1">"$N$12:$R$12"</definedName>
    <definedName name="IQRN12" hidden="1">"$O$12:$P$12"</definedName>
    <definedName name="IQRN13" hidden="1">"$O$13:$S$13"</definedName>
    <definedName name="IQRN14" hidden="1">"$O$14"</definedName>
    <definedName name="IQRN15" hidden="1">"$O$15:$S$15"</definedName>
    <definedName name="IQRN16" hidden="1">"$O$16:$S$16"</definedName>
    <definedName name="IQRN17" hidden="1">"$O$17:$S$17"</definedName>
    <definedName name="IQRN18" hidden="1">"$O$18:$S$18"</definedName>
    <definedName name="IQRN19" hidden="1">"$O$19:$S$19"</definedName>
    <definedName name="IQRN20" hidden="1">"$O$20:$S$20"</definedName>
    <definedName name="IQRN21" hidden="1">"$O$21"</definedName>
    <definedName name="IQRN22" hidden="1">"$O$22"</definedName>
    <definedName name="IQRN23" hidden="1">"$O$23"</definedName>
    <definedName name="IQRN24" hidden="1">"$O$24"</definedName>
    <definedName name="IQRN25" hidden="1">"$O$25"</definedName>
    <definedName name="IQRN26" hidden="1">"$O$26"</definedName>
    <definedName name="IQRN27" hidden="1">"$O$27"</definedName>
    <definedName name="IQRN28" hidden="1">"$O$28"</definedName>
    <definedName name="IQRPeopleH12" hidden="1">#REF!</definedName>
    <definedName name="IQRPeopleH13" hidden="1">#REF!</definedName>
    <definedName name="IQRPeopleH14" hidden="1">#REF!</definedName>
    <definedName name="IQRPeopleH15" hidden="1">#REF!</definedName>
    <definedName name="IQRPeopleN12" hidden="1">#REF!</definedName>
    <definedName name="IQRPeopleN13" hidden="1">#REF!</definedName>
    <definedName name="IQRPeopleN14" hidden="1">#REF!</definedName>
    <definedName name="IQRPeopleN15" hidden="1">#REF!</definedName>
    <definedName name="jfjfjf" hidden="1">{"'Bellville Acetylene'!$A$1:$L$99"}</definedName>
    <definedName name="jfjfjf_1" hidden="1">{"'Bellville Acetylene'!$A$1:$L$99"}</definedName>
    <definedName name="jk" hidden="1">{"Total",#N/A,FALSE,"Total Proved";"PDP",#N/A,FALSE,"Total Proved";"PNP",#N/A,FALSE,"Total Proved";"PUD",#N/A,FALSE,"Total Proved"}</definedName>
    <definedName name="jk_1" hidden="1">{"Total",#N/A,FALSE,"Total Proved";"PDP",#N/A,FALSE,"Total Proved";"PNP",#N/A,FALSE,"Total Proved";"PUD",#N/A,FALSE,"Total Proved"}</definedName>
    <definedName name="jkl" hidden="1">{"ReportTop",#N/A,FALSE,"report top"}</definedName>
    <definedName name="jkl_1" hidden="1">{"ReportTop",#N/A,FALSE,"report top"}</definedName>
    <definedName name="jklkj" hidden="1">{"Sum1",#N/A,FALSE,"Reserve Report";"Sum2",#N/A,FALSE,"Reserve Report";"Sum3",#N/A,FALSE,"Reserve Report";"Sum4",#N/A,FALSE,"Reserve Report"}</definedName>
    <definedName name="jklkj_1" hidden="1">{"Sum1",#N/A,FALSE,"Reserve Report";"Sum2",#N/A,FALSE,"Reserve Report";"Sum3",#N/A,FALSE,"Reserve Report";"Sum4",#N/A,FALSE,"Reserve Report"}</definedName>
    <definedName name="Joining_Date">#REF!</definedName>
    <definedName name="kjkk" hidden="1">{"Sum1",#N/A,FALSE,"Reserve Report";"Sum2",#N/A,FALSE,"Reserve Report";"Sum3",#N/A,FALSE,"Reserve Report";"Sum4",#N/A,FALSE,"Reserve Report"}</definedName>
    <definedName name="kjkk_1" hidden="1">{"Sum1",#N/A,FALSE,"Reserve Report";"Sum2",#N/A,FALSE,"Reserve Report";"Sum3",#N/A,FALSE,"Reserve Report";"Sum4",#N/A,FALSE,"Reserve Report"}</definedName>
    <definedName name="kli" hidden="1">{"Total",#N/A,FALSE,"Total Proved";"PDP",#N/A,FALSE,"Total Proved";"PNP",#N/A,FALSE,"Total Proved";"PUD",#N/A,FALSE,"Total Proved"}</definedName>
    <definedName name="kli_1" hidden="1">{"Total",#N/A,FALSE,"Total Proved";"PDP",#N/A,FALSE,"Total Proved";"PNP",#N/A,FALSE,"Total Proved";"PUD",#N/A,FALSE,"Total Proved"}</definedName>
    <definedName name="kyd.ChngCell.01." hidden="1">#REF!</definedName>
    <definedName name="kyd.ChngCell.02." hidden="1">#REF!</definedName>
    <definedName name="kyd.CounterLimitCell.01." hidden="1">"x"</definedName>
    <definedName name="kyd.CounterLimitCell.02." hidden="1">"x"</definedName>
    <definedName name="kyd.Dim.01." hidden="1">"chandept"</definedName>
    <definedName name="kyd.Dim.02." hidden="1">"chandep#"</definedName>
    <definedName name="kyd.ElementList.01." hidden="1">"x"</definedName>
    <definedName name="kyd.ElementList.02." hidden="1">#REF!</definedName>
    <definedName name="kyd.ElementType.01." hidden="1">1</definedName>
    <definedName name="kyd.ElementType.02." hidden="1">1</definedName>
    <definedName name="kyd.ItemType.01." hidden="1">1</definedName>
    <definedName name="kyd.ItemType.02." hidden="1">2</definedName>
    <definedName name="kyd.NumLevels.01." hidden="1">999</definedName>
    <definedName name="kyd.NumLevels.02." hidden="1">999</definedName>
    <definedName name="kyd.ParentName.01." hidden="1">"TOTAL PRODUCTION"</definedName>
    <definedName name="kyd.ParentName.02." hidden="1">""</definedName>
    <definedName name="kyd.PrintParent.01." hidden="1">FALSE</definedName>
    <definedName name="kyd.PrintParent.02." hidden="1">TRUE</definedName>
    <definedName name="kyd.SelectString.01." hidden="1">"*"</definedName>
    <definedName name="kyd.SelectString.02." hidden="1">"*"</definedName>
    <definedName name="LEAVE_AVAIL_RATIO">#REF!</definedName>
    <definedName name="LEAVE_AVAILMNT_ASSMP">#REF!</definedName>
    <definedName name="LEAVE_BAL_CY">#REF!</definedName>
    <definedName name="LEAVE_BAL_PY">#REF!</definedName>
    <definedName name="Limit">#REF!</definedName>
    <definedName name="milner" hidden="1">{#N/A,#N/A,FALSE,"Aging Summary";#N/A,#N/A,FALSE,"Ratio Analysis";#N/A,#N/A,FALSE,"Test 120 Day Accts";#N/A,#N/A,FALSE,"Tickmarks"}</definedName>
    <definedName name="milner_1" hidden="1">{#N/A,#N/A,FALSE,"Aging Summary";#N/A,#N/A,FALSE,"Ratio Analysis";#N/A,#N/A,FALSE,"Test 120 Day Accts";#N/A,#N/A,FALSE,"Tickmarks"}</definedName>
    <definedName name="ModelUpdateDate">#REF!</definedName>
    <definedName name="MONTH">#REF!</definedName>
    <definedName name="MONTH_PREVIOUS">#REF!</definedName>
    <definedName name="Mort_Curr">#REF!</definedName>
    <definedName name="MOVED" hidden="1">{"CHART",#N/A,FALSE,"Arch Communications"}</definedName>
    <definedName name="MOVED_1" hidden="1">{"CHART",#N/A,FALSE,"Arch Communications"}</definedName>
    <definedName name="MP_NO">#REF!</definedName>
    <definedName name="MRG" hidden="1">{"INCOME",#N/A,FALSE,"ProNet";"VALUE",#N/A,FALSE,"ProNet"}</definedName>
    <definedName name="MRG_1" hidden="1">{"INCOME",#N/A,FALSE,"ProNet";"VALUE",#N/A,FALSE,"ProNet"}</definedName>
    <definedName name="MTHLY_CTC_CY">#REF!</definedName>
    <definedName name="MTHLY_SALARY_CY">#REF!</definedName>
    <definedName name="NextYear_CSC">#REF!</definedName>
    <definedName name="NextYearLiability">#REF!</definedName>
    <definedName name="Nope" hidden="1">{"'Bellville Acetylene'!$A$1:$L$99"}</definedName>
    <definedName name="Nope_1" hidden="1">{"'Bellville Acetylene'!$A$1:$L$99"}</definedName>
    <definedName name="NRD">#REF!</definedName>
    <definedName name="oldname" hidden="1">{#N/A,#N/A,FALSE,"Index";#N/A,#N/A,FALSE,"IncStmt";#N/A,#N/A,FALSE,"Ratios";#N/A,#N/A,FALSE,"CashFlows";#N/A,#N/A,FALSE,"Ins1";#N/A,#N/A,FALSE,"Ins2";#N/A,#N/A,FALSE,"SelfFund";#N/A,#N/A,FALSE,"SGA";#N/A,#N/A,FALSE,"Recon";#N/A,#N/A,FALSE,"Earnings";#N/A,#N/A,FALSE,"Earnings (2)";#N/A,#N/A,FALSE,"Stock";#N/A,#N/A,FALSE,"Stock (2)";#N/A,#N/A,FALSE,"PeerRatios";#N/A,#N/A,FALSE,"PeerRanks"}</definedName>
    <definedName name="oldname_1" hidden="1">{#N/A,#N/A,FALSE,"Index";#N/A,#N/A,FALSE,"IncStmt";#N/A,#N/A,FALSE,"Ratios";#N/A,#N/A,FALSE,"CashFlows";#N/A,#N/A,FALSE,"Ins1";#N/A,#N/A,FALSE,"Ins2";#N/A,#N/A,FALSE,"SelfFund";#N/A,#N/A,FALSE,"SGA";#N/A,#N/A,FALSE,"Recon";#N/A,#N/A,FALSE,"Earnings";#N/A,#N/A,FALSE,"Earnings (2)";#N/A,#N/A,FALSE,"Stock";#N/A,#N/A,FALSE,"Stock (2)";#N/A,#N/A,FALSE,"PeerRatios";#N/A,#N/A,FALSE,"PeerRanks"}</definedName>
    <definedName name="OpeningProvision?">#REF!</definedName>
    <definedName name="OpenProIndAS">#REF!</definedName>
    <definedName name="OPT_1">#REF!</definedName>
    <definedName name="OPT_2">#REF!</definedName>
    <definedName name="PJAM3Yr" hidden="1">{"INCOME",#N/A,FALSE,"ProNet";"VALUE",#N/A,FALSE,"ProNet"}</definedName>
    <definedName name="PJAM3Yr_1" hidden="1">{"INCOME",#N/A,FALSE,"ProNet";"VALUE",#N/A,FALSE,"ProNet"}</definedName>
    <definedName name="_xlnm.Print_Area" localSheetId="9">'DCF - Perpetuity Growth'!$A$1:$Y$105</definedName>
    <definedName name="pvdsk" hidden="1">{#N/A,#N/A,FALSE,"COVER";#N/A,#N/A,FALSE,"SUMMARY";#N/A,#N/A,FALSE,"INCOME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pvdsk_1" hidden="1">{#N/A,#N/A,FALSE,"COVER";#N/A,#N/A,FALSE,"SUMMARY";#N/A,#N/A,FALSE,"INCOME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PVO_Closing">#REF!</definedName>
    <definedName name="PVO_Opening">#REF!</definedName>
    <definedName name="QLGC" hidden="1">{"CHART",#N/A,FALSE,"Arch Communications"}</definedName>
    <definedName name="QLGC_1" hidden="1">{"CHART",#N/A,FALSE,"Arch Communications"}</definedName>
    <definedName name="QofE2" hidden="1">{#N/A,#N/A,FALSE,"COVER";#N/A,#N/A,FALSE,"SUMMARY";#N/A,#N/A,FALSE,"INCOME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QofE2_1" hidden="1">{#N/A,#N/A,FALSE,"COVER";#N/A,#N/A,FALSE,"SUMMARY";#N/A,#N/A,FALSE,"INCOME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qw" hidden="1">{"Total",#N/A,FALSE,"Total Proved + Probable";"PDP",#N/A,FALSE,"Total Proved + Probable";"PNP",#N/A,FALSE,"Total Proved + Probable";"PUD",#N/A,FALSE,"Total Proved + Probable";"Prob",#N/A,FALSE,"Total Proved + Probable"}</definedName>
    <definedName name="qw_1" hidden="1">{"Total",#N/A,FALSE,"Total Proved + Probable";"PDP",#N/A,FALSE,"Total Proved + Probable";"PNP",#N/A,FALSE,"Total Proved + Probable";"PUD",#N/A,FALSE,"Total Proved + Probable";"Prob",#N/A,FALSE,"Total Proved + Probable"}</definedName>
    <definedName name="RETIREMENT_DATE">#REF!</definedName>
    <definedName name="Return_Assts_Curr">#REF!</definedName>
    <definedName name="Return_Assts_Pre">#REF!</definedName>
    <definedName name="rgr" hidden="1">{"ReportTop",#N/A,FALSE,"report top"}</definedName>
    <definedName name="rgr_1" hidden="1">{"ReportTop",#N/A,FALSE,"report top"}</definedName>
    <definedName name="rustey" hidden="1">{#N/A,#N/A,FALSE,"COVER";#N/A,#N/A,FALSE,"SUMMARY";#N/A,#N/A,FALSE,"INCOME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rustey_1" hidden="1">{#N/A,#N/A,FALSE,"COVER";#N/A,#N/A,FALSE,"SUMMARY";#N/A,#N/A,FALSE,"INCOME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ScaleLabels">#REF!</definedName>
    <definedName name="scott" hidden="1">{#N/A,#N/A,TRUE,"Val - sum";#N/A,#N/A,TRUE,"Val - Sum1";#N/A,#N/A,TRUE,"Val - sum2";#N/A,#N/A,TRUE,"Val - Sum3";#N/A,#N/A,TRUE,"Tar-DCF";#N/A,#N/A,TRUE,"Tar-Val LBO";#N/A,#N/A,TRUE,"Tar-Mult Val"}</definedName>
    <definedName name="scott_1" hidden="1">{#N/A,#N/A,TRUE,"Val - sum";#N/A,#N/A,TRUE,"Val - Sum1";#N/A,#N/A,TRUE,"Val - sum2";#N/A,#N/A,TRUE,"Val - Sum3";#N/A,#N/A,TRUE,"Tar-DCF";#N/A,#N/A,TRUE,"Tar-Val LBO";#N/A,#N/A,TRUE,"Tar-Mult Val"}</definedName>
    <definedName name="sd" hidden="1">{#N/A,#N/A,TRUE,"Table1";#N/A,#N/A,TRUE,"Table2";#N/A,#N/A,TRUE,"Table3";#N/A,#N/A,TRUE,"Table4";#N/A,#N/A,TRUE,"Table5";#N/A,#N/A,TRUE,"Table6";#N/A,#N/A,TRUE,"Table7";#N/A,#N/A,TRUE,"Table8";#N/A,#N/A,TRUE,"Table9";#N/A,#N/A,TRUE,"Table10";#N/A,#N/A,TRUE,"Table11";#N/A,#N/A,TRUE,"Table12";#N/A,#N/A,TRUE,"Table13";#N/A,#N/A,TRUE,"Table14"}</definedName>
    <definedName name="sd_1" hidden="1">{#N/A,#N/A,TRUE,"Table1";#N/A,#N/A,TRUE,"Table2";#N/A,#N/A,TRUE,"Table3";#N/A,#N/A,TRUE,"Table4";#N/A,#N/A,TRUE,"Table5";#N/A,#N/A,TRUE,"Table6";#N/A,#N/A,TRUE,"Table7";#N/A,#N/A,TRUE,"Table8";#N/A,#N/A,TRUE,"Table9";#N/A,#N/A,TRUE,"Table10";#N/A,#N/A,TRUE,"Table11";#N/A,#N/A,TRUE,"Table12";#N/A,#N/A,TRUE,"Table13";#N/A,#N/A,TRUE,"Table14"}</definedName>
    <definedName name="sdas" hidden="1">{"Total",#N/A,FALSE,"Six Fields";"PDP",#N/A,FALSE,"Six Fields";"PNP",#N/A,FALSE,"Six Fields";"PUD",#N/A,FALSE,"Six Fields";"Prob",#N/A,FALSE,"Six Fields"}</definedName>
    <definedName name="sdas_1" hidden="1">{"Total",#N/A,FALSE,"Six Fields";"PDP",#N/A,FALSE,"Six Fields";"PNP",#N/A,FALSE,"Six Fields";"PUD",#N/A,FALSE,"Six Fields";"Prob",#N/A,FALSE,"Six Fields"}</definedName>
    <definedName name="SENS_DISC_RATE">#REF!</definedName>
    <definedName name="SENS_EMP_TURNOVR">#REF!</definedName>
    <definedName name="SENS_MORT">#REF!</definedName>
    <definedName name="Sens_Sal">#REF!</definedName>
    <definedName name="SGR_Disclaimer">#REF!</definedName>
    <definedName name="shaci" hidden="1">{#N/A,#N/A,FALSE,"Combo-Ass ";#N/A,#N/A,FALSE,"Combo-AD sum";#N/A,#N/A,FALSE,"Combo-Syn Sens";#N/A,#N/A,FALSE,"Combo-Contr";#N/A,#N/A,FALSE,"Combo-Credit Sum";#N/A,#N/A,FALSE,"Combo-Credit";#N/A,#N/A,FALSE,"Combo-AD";#N/A,#N/A,FALSE,"Combo-AD CF"}</definedName>
    <definedName name="shaci_1" hidden="1">{#N/A,#N/A,FALSE,"Combo-Ass ";#N/A,#N/A,FALSE,"Combo-AD sum";#N/A,#N/A,FALSE,"Combo-Syn Sens";#N/A,#N/A,FALSE,"Combo-Contr";#N/A,#N/A,FALSE,"Combo-Credit Sum";#N/A,#N/A,FALSE,"Combo-Credit";#N/A,#N/A,FALSE,"Combo-AD";#N/A,#N/A,FALSE,"Combo-AD CF"}</definedName>
    <definedName name="shamrock" hidden="1">{#N/A,#N/A,TRUE,"Val - sum";#N/A,#N/A,TRUE,"Val - Sum1";#N/A,#N/A,TRUE,"Val - sum2";#N/A,#N/A,TRUE,"Val - Sum3";#N/A,#N/A,TRUE,"Tar-DCF";#N/A,#N/A,TRUE,"Tar-Val LBO";#N/A,#N/A,TRUE,"Tar-Mult Val"}</definedName>
    <definedName name="shamrock_1" hidden="1">{#N/A,#N/A,TRUE,"Val - sum";#N/A,#N/A,TRUE,"Val - Sum1";#N/A,#N/A,TRUE,"Val - sum2";#N/A,#N/A,TRUE,"Val - Sum3";#N/A,#N/A,TRUE,"Tar-DCF";#N/A,#N/A,TRUE,"Tar-Val LBO";#N/A,#N/A,TRUE,"Tar-Mult Val"}</definedName>
    <definedName name="slfdkj">#REF!</definedName>
    <definedName name="stuff" hidden="1">#REF!</definedName>
    <definedName name="supp" hidden="1">{#N/A,#N/A,FALSE,"Comp Balance";#N/A,#N/A,FALSE,"Sum Balance ";#N/A,#N/A,FALSE,"Balance Trend";#N/A,#N/A,FALSE,"Comp PL";#N/A,#N/A,FALSE,"PL";#N/A,#N/A,FALSE,"Sum PL";#N/A,#N/A,FALSE,"PL Trend";#N/A,#N/A,FALSE,"Change"}</definedName>
    <definedName name="supp_1" hidden="1">{#N/A,#N/A,FALSE,"Comp Balance";#N/A,#N/A,FALSE,"Sum Balance ";#N/A,#N/A,FALSE,"Balance Trend";#N/A,#N/A,FALSE,"Comp PL";#N/A,#N/A,FALSE,"PL";#N/A,#N/A,FALSE,"Sum PL";#N/A,#N/A,FALSE,"PL Trend";#N/A,#N/A,FALSE,"Change"}</definedName>
    <definedName name="Test" hidden="1">{"'Bellville Acetylene'!$A$1:$L$99"}</definedName>
    <definedName name="Test_1" hidden="1">{"'Bellville Acetylene'!$A$1:$L$99"}</definedName>
    <definedName name="Test2" hidden="1">{"INCOME",#N/A,FALSE,"ProNet";"VALUE",#N/A,FALSE,"ProNet"}</definedName>
    <definedName name="Test2_1" hidden="1">{"INCOME",#N/A,FALSE,"ProNet";"VALUE",#N/A,FALSE,"ProNet"}</definedName>
    <definedName name="Test3" hidden="1">{"INCOME",#N/A,FALSE,"ProNet";"VALUE",#N/A,FALSE,"ProNet"}</definedName>
    <definedName name="Test3_1" hidden="1">{"INCOME",#N/A,FALSE,"ProNet";"VALUE",#N/A,FALSE,"ProNet"}</definedName>
    <definedName name="test4" hidden="1">{"CHART",#N/A,FALSE,"Arch Communications"}</definedName>
    <definedName name="test4_1" hidden="1">{"CHART",#N/A,FALSE,"Arch Communications"}</definedName>
    <definedName name="TextRefCopyRangeCount" hidden="1">38</definedName>
    <definedName name="tfill" hidden="1">#REF!</definedName>
    <definedName name="Toggle">#REF!</definedName>
    <definedName name="trtyr" hidden="1">{"graph",#N/A,FALSE,"WWJU";"graph",#N/A,FALSE,"WWSEM";"graph",#N/A,FALSE,"GOMJU";"graph",#N/A,FALSE,"GOMSEM";"graph",#N/A,FALSE,"NSJU";"graph",#N/A,FALSE,"NSSEM";"graph",#N/A,FALSE,"WAJU";"graph",#N/A,FALSE,"STOCKPRI";"graph",#N/A,FALSE,"CFTEV";"graph",#N/A,FALSE,"NAV-RCV";"graph",#N/A,FALSE,"CRUDEWW"}</definedName>
    <definedName name="trtyr_1" hidden="1">{"graph",#N/A,FALSE,"WWJU";"graph",#N/A,FALSE,"WWSEM";"graph",#N/A,FALSE,"GOMJU";"graph",#N/A,FALSE,"GOMSEM";"graph",#N/A,FALSE,"NSJU";"graph",#N/A,FALSE,"NSSEM";"graph",#N/A,FALSE,"WAJU";"graph",#N/A,FALSE,"STOCKPRI";"graph",#N/A,FALSE,"CFTEV";"graph",#N/A,FALSE,"NAV-RCV";"graph",#N/A,FALSE,"CRUDEWW"}</definedName>
    <definedName name="ui" hidden="1">{"Total",#N/A,FALSE,"Total Proved";"PDP",#N/A,FALSE,"Total Proved";"PNP",#N/A,FALSE,"Total Proved";"PUD",#N/A,FALSE,"Total Proved"}</definedName>
    <definedName name="ui_1" hidden="1">{"Total",#N/A,FALSE,"Total Proved";"PDP",#N/A,FALSE,"Total Proved";"PNP",#N/A,FALSE,"Total Proved";"PUD",#N/A,FALSE,"Total Proved"}</definedName>
    <definedName name="Val_Date_Current">#REF!</definedName>
    <definedName name="Val_Date_Previous">#REF!</definedName>
    <definedName name="ValuationMetric">#REF!</definedName>
    <definedName name="ValuationMetricTitle">#REF!</definedName>
    <definedName name="ValuationScaleFactor">#REF!</definedName>
    <definedName name="ValuationScaleLabel">#REF!</definedName>
    <definedName name="Vesting_Period">#REF!</definedName>
    <definedName name="WACC">#REF!</definedName>
    <definedName name="wer" hidden="1">{"Total",#N/A,FALSE,"Six Fields";"PDP",#N/A,FALSE,"Six Fields";"PNP",#N/A,FALSE,"Six Fields";"PUD",#N/A,FALSE,"Six Fields";"Prob",#N/A,FALSE,"Six Fields"}</definedName>
    <definedName name="wer_1" hidden="1">{"Total",#N/A,FALSE,"Six Fields";"PDP",#N/A,FALSE,"Six Fields";"PNP",#N/A,FALSE,"Six Fields";"PUD",#N/A,FALSE,"Six Fields";"Prob",#N/A,FALSE,"Six Fields"}</definedName>
    <definedName name="wet" hidden="1">{"CSheet",#N/A,FALSE,"C";"SmCap",#N/A,FALSE,"VAL1";"GulfCoast",#N/A,FALSE,"VAL1";"nav",#N/A,FALSE,"NAV";"Summary",#N/A,FALSE,"NAV"}</definedName>
    <definedName name="wet_1" hidden="1">{"CSheet",#N/A,FALSE,"C";"SmCap",#N/A,FALSE,"VAL1";"GulfCoast",#N/A,FALSE,"VAL1";"nav",#N/A,FALSE,"NAV";"Summary",#N/A,FALSE,"NAV"}</definedName>
    <definedName name="wrn.1998._.FINANCIAL._.STATEMENTS." hidden="1">{"QTR2PGIBS",#N/A,FALSE,"Qtr 2 PGI";"QTR2PGIPL",#N/A,FALSE,"Qtr 2 PGI";"QTR2PGICF",#N/A,FALSE,"Qtr 2 PGI";"98QTR2BS",#N/A,FALSE,"Qtr 2";"98QTR2PL",#N/A,FALSE,"Qtr 2";"98QTR2CF",#N/A,FALSE,"Qtr 2";"QTR3PGIBS",#N/A,FALSE,"Qtr 3 PGI";"QTR3PGIPL",#N/A,FALSE,"Qtr 3 PGI";"QTR3PGICF",#N/A,FALSE,"Qtr 3 PGI";"98QTR3BS",#N/A,FALSE,"Qtr 3";"98QTR3PL",#N/A,FALSE,"Qtr 3";"98QTR3CF",#N/A,FALSE,"Qtr 3";"QTR4PGIBS",#N/A,FALSE,"Qtr 4 PGI";"QTR4PGIPL",#N/A,FALSE,"Qtr 4 PGI";"QTR4PGIPLYTD",#N/A,FALSE,"Qtr 4 PGI";"QTR4PGICF",#N/A,FALSE,"Qtr 4 PGI";"QTR4PGICFYTD",#N/A,FALSE,"Qtr 4 PGI";"98QTR4BS",#N/A,FALSE,"Qtr 4";"98QTR4PL",#N/A,FALSE,"Qtr 4";"98QTR4CF",#N/A,FALSE,"Qtr 4";"98QTR4PLYTD",#N/A,FALSE,"Qtr 4";"98QTR4CFYTD",#N/A,FALSE,"Qtr 4"}</definedName>
    <definedName name="wrn.1998._.FINANCIAL._.STATEMENTS._1" hidden="1">{"QTR2PGIBS",#N/A,FALSE,"Qtr 2 PGI";"QTR2PGIPL",#N/A,FALSE,"Qtr 2 PGI";"QTR2PGICF",#N/A,FALSE,"Qtr 2 PGI";"98QTR2BS",#N/A,FALSE,"Qtr 2";"98QTR2PL",#N/A,FALSE,"Qtr 2";"98QTR2CF",#N/A,FALSE,"Qtr 2";"QTR3PGIBS",#N/A,FALSE,"Qtr 3 PGI";"QTR3PGIPL",#N/A,FALSE,"Qtr 3 PGI";"QTR3PGICF",#N/A,FALSE,"Qtr 3 PGI";"98QTR3BS",#N/A,FALSE,"Qtr 3";"98QTR3PL",#N/A,FALSE,"Qtr 3";"98QTR3CF",#N/A,FALSE,"Qtr 3";"QTR4PGIBS",#N/A,FALSE,"Qtr 4 PGI";"QTR4PGIPL",#N/A,FALSE,"Qtr 4 PGI";"QTR4PGIPLYTD",#N/A,FALSE,"Qtr 4 PGI";"QTR4PGICF",#N/A,FALSE,"Qtr 4 PGI";"QTR4PGICFYTD",#N/A,FALSE,"Qtr 4 PGI";"98QTR4BS",#N/A,FALSE,"Qtr 4";"98QTR4PL",#N/A,FALSE,"Qtr 4";"98QTR4CF",#N/A,FALSE,"Qtr 4";"98QTR4PLYTD",#N/A,FALSE,"Qtr 4";"98QTR4CFYTD",#N/A,FALSE,"Qtr 4"}</definedName>
    <definedName name="wrn.abc" hidden="1">{#N/A,#N/A,FALSE,"Index";#N/A,#N/A,FALSE,"IncStmt";#N/A,#N/A,FALSE,"Ratios";#N/A,#N/A,FALSE,"CashFlows";#N/A,#N/A,FALSE,"Ins1";#N/A,#N/A,FALSE,"Ins2";#N/A,#N/A,FALSE,"SelfFund";#N/A,#N/A,FALSE,"SGA";#N/A,#N/A,FALSE,"Recon";#N/A,#N/A,FALSE,"Earnings";#N/A,#N/A,FALSE,"Earnings (2)";#N/A,#N/A,FALSE,"Stock";#N/A,#N/A,FALSE,"Stock (2)";#N/A,#N/A,FALSE,"PeerRatios";#N/A,#N/A,FALSE,"PeerRanks"}</definedName>
    <definedName name="wrn.abc_1" hidden="1">{#N/A,#N/A,FALSE,"Index";#N/A,#N/A,FALSE,"IncStmt";#N/A,#N/A,FALSE,"Ratios";#N/A,#N/A,FALSE,"CashFlows";#N/A,#N/A,FALSE,"Ins1";#N/A,#N/A,FALSE,"Ins2";#N/A,#N/A,FALSE,"SelfFund";#N/A,#N/A,FALSE,"SGA";#N/A,#N/A,FALSE,"Recon";#N/A,#N/A,FALSE,"Earnings";#N/A,#N/A,FALSE,"Earnings (2)";#N/A,#N/A,FALSE,"Stock";#N/A,#N/A,FALSE,"Stock (2)";#N/A,#N/A,FALSE,"PeerRatios";#N/A,#N/A,FALSE,"PeerRanks"}</definedName>
    <definedName name="wrn.ACCRUALS." hidden="1">{"ACCRUALS",#N/A,FALSE,"ACCRUALS"}</definedName>
    <definedName name="wrn.ACCRUALS._1" hidden="1">{"ACCRUALS",#N/A,FALSE,"ACCRUALS"}</definedName>
    <definedName name="wrn.AcqState." hidden="1">{#N/A,#N/A,TRUE,"Acq-Ass";#N/A,#N/A,TRUE,"Acq-IS";#N/A,#N/A,TRUE,"Acq-BS";#N/A,#N/A,TRUE,"Acq-CF"}</definedName>
    <definedName name="wrn.AcqState._1" hidden="1">{#N/A,#N/A,TRUE,"Acq-Ass";#N/A,#N/A,TRUE,"Acq-IS";#N/A,#N/A,TRUE,"Acq-BS";#N/A,#N/A,TRUE,"Acq-CF"}</definedName>
    <definedName name="wrn.Acquiror." hidden="1">{#N/A,#N/A,TRUE,"Acq-Ass";#N/A,#N/A,TRUE,"Acq-IS";#N/A,#N/A,TRUE,"Acq-BS";#N/A,#N/A,TRUE,"Acq-CF";#N/A,#N/A,TRUE,"Acq-Proj";#N/A,#N/A,TRUE,"Acq-CapEx";#N/A,#N/A,TRUE,"Acq-Debt";#N/A,#N/A,TRUE,"Acq-Int";#N/A,#N/A,TRUE,"Acq-BD";#N/A,#N/A,TRUE,"Acq-TD";#N/A,#N/A,TRUE,"Acq-Taxes";#N/A,#N/A,TRUE,"Acq-Credit";#N/A,#N/A,TRUE,"Acq-Val";#N/A,#N/A,TRUE,"Acq-Mult Val"}</definedName>
    <definedName name="wrn.Acquiror._1" hidden="1">{#N/A,#N/A,TRUE,"Acq-Ass";#N/A,#N/A,TRUE,"Acq-IS";#N/A,#N/A,TRUE,"Acq-BS";#N/A,#N/A,TRUE,"Acq-CF";#N/A,#N/A,TRUE,"Acq-Proj";#N/A,#N/A,TRUE,"Acq-CapEx";#N/A,#N/A,TRUE,"Acq-Debt";#N/A,#N/A,TRUE,"Acq-Int";#N/A,#N/A,TRUE,"Acq-BD";#N/A,#N/A,TRUE,"Acq-TD";#N/A,#N/A,TRUE,"Acq-Taxes";#N/A,#N/A,TRUE,"Acq-Credit";#N/A,#N/A,TRUE,"Acq-Val";#N/A,#N/A,TRUE,"Acq-Mult Val"}</definedName>
    <definedName name="wrn.AcqVal." hidden="1">{#N/A,#N/A,FALSE,"Acq-Val";#N/A,#N/A,FALSE,"Acq-Mult Val"}</definedName>
    <definedName name="wrn.AcqVal._1" hidden="1">{#N/A,#N/A,FALSE,"Acq-Val";#N/A,#N/A,FALSE,"Acq-Mult Val"}</definedName>
    <definedName name="wrn.Aging._.and._.Trend._.Analysis."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LL." hidden="1">{"CONTENTS",#N/A,FALSE,"CONTENTS";"BALSHEET",#N/A,FALSE,"BALSHEET";"INCSTMT",#N/A,FALSE,"INCSTMT";"INCSTMTQTR",#N/A,FALSE,"INCSTMTQTR";"CASHFLOW",#N/A,FALSE,"CASHFLOW";"CONSOLGP",#N/A,FALSE,"CONSOLGP";"CONSOLQTD",#N/A,FALSE,"CONSOLQTD";"CONSOLGPYTD",#N/A,FALSE,"CONSOLGPYTD";"PROJECTS",#N/A,FALSE,"PROJECTS";"DASHBOARD",#N/A,FALSE,"DASHBOARD";"RECAP",#N/A,FALSE,"RECAP";"MONTHLY SALES",#N/A,FALSE,"Monthly Sales";"YTD Sales",#N/A,FALSE,"YTD Sales";"BW SALES",#N/A,FALSE,"BW Sales";"Overall Summary Inv",#N/A,FALSE,"Overall";"Overall Summary of Activity",#N/A,FALSE,"Overall";"Overall Lo-Cat and Cobalt Summary",#N/A,FALSE,"Overall";"Overall Ending Balance Summary",#N/A,FALSE,"Overall"}</definedName>
    <definedName name="wrn.ALL._.OFF._.QTR." hidden="1">{#N/A,#N/A,FALSE,"Contents";"CAUSTIC SERV IS",#N/A,FALSE,"CAUSTIC SERV IS"}</definedName>
    <definedName name="wrn.ALL._.OFF._.QTR._1" hidden="1">{#N/A,#N/A,FALSE,"Contents";"CAUSTIC SERV IS",#N/A,FALSE,"CAUSTIC SERV IS"}</definedName>
    <definedName name="wrn.ALL._.QTR." hidden="1">{"CONTENTS",#N/A,FALSE,"Contents";"CAUSTIC SERV IS",#N/A,FALSE,"CAUSTIC SERV IS";"CAUSTIC SERV QTR",#N/A,FALSE,"CAUSTIC SERV QTR";"Balance Sheet",#N/A,FALSE,"Balance Sheet";"Cash Flow",#N/A,FALSE,"Cash Flow";"Dashboard",#N/A,FALSE,"Dashboard"}</definedName>
    <definedName name="wrn.ALL._.QTR._1" hidden="1">{"CONTENTS",#N/A,FALSE,"Contents";"CAUSTIC SERV IS",#N/A,FALSE,"CAUSTIC SERV IS";"CAUSTIC SERV QTR",#N/A,FALSE,"CAUSTIC SERV QTR";"Balance Sheet",#N/A,FALSE,"Balance Sheet";"Cash Flow",#N/A,FALSE,"Cash Flow";"Dashboard",#N/A,FALSE,"Dashboard"}</definedName>
    <definedName name="wrn.ALL._1" hidden="1">{"CONTENTS",#N/A,FALSE,"CONTENTS";"BALSHEET",#N/A,FALSE,"BALSHEET";"INCSTMT",#N/A,FALSE,"INCSTMT";"INCSTMTQTR",#N/A,FALSE,"INCSTMTQTR";"CASHFLOW",#N/A,FALSE,"CASHFLOW";"CONSOLGP",#N/A,FALSE,"CONSOLGP";"CONSOLQTD",#N/A,FALSE,"CONSOLQTD";"CONSOLGPYTD",#N/A,FALSE,"CONSOLGPYTD";"PROJECTS",#N/A,FALSE,"PROJECTS";"DASHBOARD",#N/A,FALSE,"DASHBOARD";"RECAP",#N/A,FALSE,"RECAP";"MONTHLY SALES",#N/A,FALSE,"Monthly Sales";"YTD Sales",#N/A,FALSE,"YTD Sales";"BW SALES",#N/A,FALSE,"BW Sales";"Overall Summary Inv",#N/A,FALSE,"Overall";"Overall Summary of Activity",#N/A,FALSE,"Overall";"Overall Lo-Cat and Cobalt Summary",#N/A,FALSE,"Overall";"Overall Ending Balance Summary",#N/A,FALSE,"Overall"}</definedName>
    <definedName name="wrn.ALLOCATIONS." hidden="1">{"ALLOCATIONS",#N/A,FALSE,"ALLOCATIONS"}</definedName>
    <definedName name="wrn.ALLOCATIONS._1" hidden="1">{"ALLOCATIONS",#N/A,FALSE,"ALLOCATIONS"}</definedName>
    <definedName name="wrn.BALSHEET." hidden="1">{"BALSHEET",#N/A,FALSE,"BALSHEET"}</definedName>
    <definedName name="wrn.BALSHEET._1" hidden="1">{"BALSHEET",#N/A,FALSE,"BALSHEET"}</definedName>
    <definedName name="wrn.Bankers." hidden="1">{#N/A,#N/A,FALSE,"COVER";#N/A,#N/A,FALSE,"SUMMARY";#N/A,#N/A,FALSE,"INCOME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wrn.Bankers._1" hidden="1">{#N/A,#N/A,FALSE,"COVER";#N/A,#N/A,FALSE,"SUMMARY";#N/A,#N/A,FALSE,"INCOME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wrn.Basic." hidden="1">{#N/A,#N/A,FALSE,"Cover";#N/A,#N/A,FALSE,"Assumptions";#N/A,#N/A,FALSE,"Acquirer";#N/A,#N/A,FALSE,"Target";#N/A,#N/A,FALSE,"Income Statement";#N/A,#N/A,FALSE,"Summary Tables"}</definedName>
    <definedName name="wrn.Basic._1" hidden="1">{#N/A,#N/A,FALSE,"Cover";#N/A,#N/A,FALSE,"Assumptions";#N/A,#N/A,FALSE,"Acquirer";#N/A,#N/A,FALSE,"Target";#N/A,#N/A,FALSE,"Income Statement";#N/A,#N/A,FALSE,"Summary Tables"}</definedName>
    <definedName name="wrn.BILLINGS." hidden="1">{"BILLINGS",#N/A,FALSE,"BILLINGS"}</definedName>
    <definedName name="wrn.BILLINGS._1" hidden="1">{"BILLINGS",#N/A,FALSE,"BILLINGS"}</definedName>
    <definedName name="wrn.CASHFLOW." hidden="1">{"CASHFLOW",#N/A,FALSE,"CASHFLOW"}</definedName>
    <definedName name="wrn.CASHFLOW._1" hidden="1">{"CASHFLOW",#N/A,FALSE,"CASHFLOW"}</definedName>
    <definedName name="wrn.CHART." hidden="1">{"CHART",#N/A,FALSE,"Arch Communications"}</definedName>
    <definedName name="wrn.CHART._1" hidden="1">{"CHART",#N/A,FALSE,"Arch Communications"}</definedName>
    <definedName name="wrn.Combination." hidden="1">{#N/A,#N/A,FALSE,"Combo-Ass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Combination._1" hidden="1">{#N/A,#N/A,FALSE,"Combo-Ass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ComboResults." hidden="1">{#N/A,#N/A,FALSE,"Combo-Ass ";#N/A,#N/A,FALSE,"Combo-AD sum";#N/A,#N/A,FALSE,"Combo-Syn Sens";#N/A,#N/A,FALSE,"Combo-Contr";#N/A,#N/A,FALSE,"Combo-Credit Sum";#N/A,#N/A,FALSE,"Combo-Credit";#N/A,#N/A,FALSE,"Combo-AD";#N/A,#N/A,FALSE,"Combo-AD CF"}</definedName>
    <definedName name="wrn.ComboResults._1" hidden="1">{#N/A,#N/A,FALSE,"Combo-Ass ";#N/A,#N/A,FALSE,"Combo-AD sum";#N/A,#N/A,FALSE,"Combo-Syn Sens";#N/A,#N/A,FALSE,"Combo-Contr";#N/A,#N/A,FALSE,"Combo-Credit Sum";#N/A,#N/A,FALSE,"Combo-Credit";#N/A,#N/A,FALSE,"Combo-AD";#N/A,#N/A,FALSE,"Combo-AD CF"}</definedName>
    <definedName name="wrn.ComboState." hidden="1">{#N/A,#N/A,FALSE,"Combo-Ass ";#N/A,#N/A,FALSE,"Combo-IS";#N/A,#N/A,FALSE,"Combo-BS";#N/A,#N/A,FALSE,"Combo-CF"}</definedName>
    <definedName name="wrn.ComboState._1" hidden="1">{#N/A,#N/A,FALSE,"Combo-Ass ";#N/A,#N/A,FALSE,"Combo-IS";#N/A,#N/A,FALSE,"Combo-BS";#N/A,#N/A,FALSE,"Combo-CF"}</definedName>
    <definedName name="wrn.Complete._.Report." hidden="1">{#N/A,#N/A,FALSE,"Title Page";#N/A,#N/A,FALSE,"Assumptions";#N/A,#N/A,FALSE,"EBITDA";#N/A,#N/A,FALSE,"Debt";#N/A,#N/A,FALSE,"Cov";#N/A,#N/A,FALSE,"ERET";#N/A,#N/A,FALSE,"DRET";#N/A,#N/A,FALSE,"Balance Sheet";#N/A,#N/A,FALSE,"Plan Summary"}</definedName>
    <definedName name="wrn.Complete._.Report._1" hidden="1">{#N/A,#N/A,FALSE,"Title Page";#N/A,#N/A,FALSE,"Assumptions";#N/A,#N/A,FALSE,"EBITDA";#N/A,#N/A,FALSE,"Debt";#N/A,#N/A,FALSE,"Cov";#N/A,#N/A,FALSE,"ERET";#N/A,#N/A,FALSE,"DRET";#N/A,#N/A,FALSE,"Balance Sheet";#N/A,#N/A,FALSE,"Plan Summary"}</definedName>
    <definedName name="wrn.CONSOL._.INCOME._._._.CF." hidden="1">{"CONSOL INCOME &amp; CF",#N/A,FALSE,"CONSOL INCOME &amp; CF"}</definedName>
    <definedName name="wrn.CONSOL._.INCOME._._._.CF._1" hidden="1">{"CONSOL INCOME &amp; CF",#N/A,FALSE,"CONSOL INCOME &amp; CF"}</definedName>
    <definedName name="wrn.CONSOLGP." hidden="1">{"CONSOLGP",#N/A,FALSE,"CONSOLGP"}</definedName>
    <definedName name="wrn.CONSOLGP._1" hidden="1">{"CONSOLGP",#N/A,FALSE,"CONSOLGP"}</definedName>
    <definedName name="wrn.CONSOLGPYTD." hidden="1">{"CONSOLGPYTD",#N/A,FALSE,"CONSOLGPYTD"}</definedName>
    <definedName name="wrn.CONSOLGPYTD._1" hidden="1">{"CONSOLGPYTD",#N/A,FALSE,"CONSOLGPYTD"}</definedName>
    <definedName name="wrn.cotop." hidden="1">{"ReportTop",#N/A,FALSE,"report top"}</definedName>
    <definedName name="wrn.cotop._1" hidden="1">{"ReportTop",#N/A,FALSE,"report top"}</definedName>
    <definedName name="wrn.dcf" hidden="1">{#N/A,#N/A,FALSE,"Combo-Ass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dcf_1" hidden="1">{#N/A,#N/A,FALSE,"Combo-Ass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dcfiii" hidden="1">{#N/A,#N/A,FALSE,"Combo-Ass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dcfiii_1" hidden="1">{#N/A,#N/A,FALSE,"Combo-Ass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fdb1_Imprime_Print." hidden="1">{"fdb1_Rapport_Report",#N/A,FALSE,"Report"}</definedName>
    <definedName name="wrn.fdb1_Imprime_Print._1" hidden="1">{"fdb1_Rapport_Report",#N/A,FALSE,"Report"}</definedName>
    <definedName name="wrn.fdb2_print_rpt." hidden="1">{"fdb2_print",#N/A,FALSE,"Report"}</definedName>
    <definedName name="wrn.fdb2_print_rpt._1" hidden="1">{"fdb2_print",#N/A,FALSE,"Report"}</definedName>
    <definedName name="wrn.Financial._.Statements." hidden="1">{#N/A,#N/A,TRUE,"COVER";#N/A,#N/A,TRUE,"BS";#N/A,#N/A,TRUE,"IS";#N/A,#N/A,TRUE,"CF"}</definedName>
    <definedName name="wrn.Financial._.Statements._1" hidden="1">{#N/A,#N/A,TRUE,"COVER";#N/A,#N/A,TRUE,"BS";#N/A,#N/A,TRUE,"IS";#N/A,#N/A,TRUE,"CF"}</definedName>
    <definedName name="wrn.Forecast." hidden="1">{#N/A,#N/A,TRUE,"Preface";#N/A,#N/A,TRUE,"Summary by Year";#N/A,#N/A,TRUE,"Summary by Quarter";#N/A,#N/A,TRUE,"Forecast Assumptions";#N/A,#N/A,TRUE,"Income Statement";#N/A,#N/A,TRUE,"Balance Sheet";#N/A,#N/A,TRUE,"Allowance &amp; Shareholders Equity";#N/A,#N/A,TRUE,"Net Interest Margin"}</definedName>
    <definedName name="wrn.Forecast._1" hidden="1">{#N/A,#N/A,TRUE,"Preface";#N/A,#N/A,TRUE,"Summary by Year";#N/A,#N/A,TRUE,"Summary by Quarter";#N/A,#N/A,TRUE,"Forecast Assumptions";#N/A,#N/A,TRUE,"Income Statement";#N/A,#N/A,TRUE,"Balance Sheet";#N/A,#N/A,TRUE,"Allowance &amp; Shareholders Equity";#N/A,#N/A,TRUE,"Net Interest Margin"}</definedName>
    <definedName name="wrn.Freq_Res." hidden="1">{#N/A,#N/A,TRUE,"FR_HC";#N/A,#N/A,TRUE,"FR_REST";#N/A,#N/A,TRUE,"FR_RETA";#N/A,#N/A,TRUE,"FR_TECSOF";#N/A,#N/A,TRUE,"FR_NETTEC";#N/A,#N/A,TRUE,"FR_CLISER"}</definedName>
    <definedName name="wrn.Freq_Res._1" hidden="1">{#N/A,#N/A,TRUE,"FR_HC";#N/A,#N/A,TRUE,"FR_REST";#N/A,#N/A,TRUE,"FR_RETA";#N/A,#N/A,TRUE,"FR_TECSOF";#N/A,#N/A,TRUE,"FR_NETTEC";#N/A,#N/A,TRUE,"FR_CLISER"}</definedName>
    <definedName name="wrn.FSAPR." hidden="1">{#N/A,#N/A,TRUE,"COVER";#N/A,#N/A,TRUE,"BS";#N/A,#N/A,TRUE,"APR-01";#N/A,#N/A,TRUE,"CF"}</definedName>
    <definedName name="wrn.FSAPR._1" hidden="1">{#N/A,#N/A,TRUE,"COVER";#N/A,#N/A,TRUE,"BS";#N/A,#N/A,TRUE,"APR-01";#N/A,#N/A,TRUE,"CF"}</definedName>
    <definedName name="wrn.gary" hidden="1">{#N/A,#N/A,TRUE,"Tar-Ass";#N/A,#N/A,TRUE,"Tar-Ass LBO";#N/A,#N/A,TRUE,"LBO Ret";#N/A,#N/A,TRUE,"Tar-BS LBO";#N/A,#N/A,TRUE,"Tar-IS LBO";#N/A,#N/A,TRUE,"Tar-CF LBO";#N/A,#N/A,TRUE,"Tar-Debt LBO";#N/A,#N/A,TRUE,"Tar-Int LBO";#N/A,#N/A,TRUE,"Tar-Taxes LBO";#N/A,#N/A,TRUE,"Tar-Val LBO"}</definedName>
    <definedName name="wrn.gary_1" hidden="1">{#N/A,#N/A,TRUE,"Tar-Ass";#N/A,#N/A,TRUE,"Tar-Ass LBO";#N/A,#N/A,TRUE,"LBO Ret";#N/A,#N/A,TRUE,"Tar-BS LBO";#N/A,#N/A,TRUE,"Tar-IS LBO";#N/A,#N/A,TRUE,"Tar-CF LBO";#N/A,#N/A,TRUE,"Tar-Debt LBO";#N/A,#N/A,TRUE,"Tar-Int LBO";#N/A,#N/A,TRUE,"Tar-Taxes LBO";#N/A,#N/A,TRUE,"Tar-Val LBO"}</definedName>
    <definedName name="wrn.GEER_report." hidden="1">{#N/A,#N/A,FALSE,"Table_Ass.";#N/A,#N/A,FALSE,"# of cust";#N/A,#N/A,FALSE,"Res_Report";#N/A,#N/A,FALSE,"Income Statement";"Qtr Cust",#N/A,FALSE,"Qtrly Proj"}</definedName>
    <definedName name="wrn.GEER_report._1" hidden="1">{#N/A,#N/A,FALSE,"Table_Ass.";#N/A,#N/A,FALSE,"# of cust";#N/A,#N/A,FALSE,"Res_Report";#N/A,#N/A,FALSE,"Income Statement";"Qtr Cust",#N/A,FALSE,"Qtrly Proj"}</definedName>
    <definedName name="wrn.gth." hidden="1">{#N/A,#N/A,FALSE,"Title Page";#N/A,#N/A,FALSE,"Summary Sheet"}</definedName>
    <definedName name="wrn.gth._1" hidden="1">{#N/A,#N/A,FALSE,"Title Page";#N/A,#N/A,FALSE,"Summary Sheet"}</definedName>
    <definedName name="wrn.INCSTMT." hidden="1">{"INCSTMT",#N/A,FALSE,"INCSTMT"}</definedName>
    <definedName name="wrn.INCSTMT._1" hidden="1">{"INCSTMT",#N/A,FALSE,"INCSTMT"}</definedName>
    <definedName name="wrn.Internal." hidden="1">{#N/A,#N/A,TRUE,"COVER INT";#N/A,#N/A,TRUE,"SUMMARY INT";#N/A,#N/A,TRUE,"INCOME STMT INT";#N/A,#N/A,TRUE,"IS TREND";#N/A,#N/A,TRUE,"BALANCE SHEET INT";#N/A,#N/A,TRUE,"BS TREND";#N/A,#N/A,TRUE,"CASH FLOW INT";#N/A,#N/A,TRUE,"CF TREND";#N/A,#N/A,TRUE,"SALES BY TERR INT";#N/A,#N/A,TRUE,"UNITS INT";#N/A,#N/A,TRUE,"PRODUCT SALES INT";#N/A,#N/A,TRUE,"ASP's INT";#N/A,#N/A,TRUE,"GROSS MARGINS INT";#N/A,#N/A,TRUE,"MARGINS PER UNIT INT";#N/A,#N/A,TRUE,"INVENTORY INT";#N/A,#N/A,TRUE,"HEADCOUNT INT";#N/A,#N/A,TRUE,"DEBT STRUCTURE Int";#N/A,#N/A,TRUE," AR"}</definedName>
    <definedName name="wrn.Internal._1" hidden="1">{#N/A,#N/A,TRUE,"COVER INT";#N/A,#N/A,TRUE,"SUMMARY INT";#N/A,#N/A,TRUE,"INCOME STMT INT";#N/A,#N/A,TRUE,"IS TREND";#N/A,#N/A,TRUE,"BALANCE SHEET INT";#N/A,#N/A,TRUE,"BS TREND";#N/A,#N/A,TRUE,"CASH FLOW INT";#N/A,#N/A,TRUE,"CF TREND";#N/A,#N/A,TRUE,"SALES BY TERR INT";#N/A,#N/A,TRUE,"UNITS INT";#N/A,#N/A,TRUE,"PRODUCT SALES INT";#N/A,#N/A,TRUE,"ASP's INT";#N/A,#N/A,TRUE,"GROSS MARGINS INT";#N/A,#N/A,TRUE,"MARGINS PER UNIT INT";#N/A,#N/A,TRUE,"INVENTORY INT";#N/A,#N/A,TRUE,"HEADCOUNT INT";#N/A,#N/A,TRUE,"DEBT STRUCTURE Int";#N/A,#N/A,TRUE," AR"}</definedName>
    <definedName name="wrn.IVTI_Rep." hidden="1">{#N/A,#N/A,FALSE,"Title Page";#N/A,#N/A,FALSE,"Summary Sheet";#N/A,#N/A,FALSE,"Fiscal Year Income Statement";#N/A,#N/A,FALSE,"Valuation Summary";#N/A,#N/A,FALSE,"Comps with IVT";#N/A,#N/A,FALSE,"Comps without IVT"}</definedName>
    <definedName name="wrn.IVTI_Rep._1" hidden="1">{#N/A,#N/A,FALSE,"Title Page";#N/A,#N/A,FALSE,"Summary Sheet";#N/A,#N/A,FALSE,"Fiscal Year Income Statement";#N/A,#N/A,FALSE,"Valuation Summary";#N/A,#N/A,FALSE,"Comps with IVT";#N/A,#N/A,FALSE,"Comps without IVT"}</definedName>
    <definedName name="wrn.jim." hidden="1">{"Inc_standard",#N/A,TRUE,"Inc"}</definedName>
    <definedName name="wrn.jim._1" hidden="1">{"Inc_standard",#N/A,TRUE,"Inc"}</definedName>
    <definedName name="wrn.JODM._.Graphs." hidden="1">{"graph",#N/A,FALSE,"WWJU";"graph",#N/A,FALSE,"WWSEM";"graph",#N/A,FALSE,"GOMJU";"graph",#N/A,FALSE,"GOMSEM";"graph",#N/A,FALSE,"NSJU";"graph",#N/A,FALSE,"NSSEM";"graph",#N/A,FALSE,"WAJU";"graph",#N/A,FALSE,"STOCKPRI";"graph",#N/A,FALSE,"CFTEV";"graph",#N/A,FALSE,"NAV-RCV";"graph",#N/A,FALSE,"CRUDEWW"}</definedName>
    <definedName name="wrn.JODM._.Graphs._1" hidden="1">{"graph",#N/A,FALSE,"WWJU";"graph",#N/A,FALSE,"WWSEM";"graph",#N/A,FALSE,"GOMJU";"graph",#N/A,FALSE,"GOMSEM";"graph",#N/A,FALSE,"NSJU";"graph",#N/A,FALSE,"NSSEM";"graph",#N/A,FALSE,"WAJU";"graph",#N/A,FALSE,"STOCKPRI";"graph",#N/A,FALSE,"CFTEV";"graph",#N/A,FALSE,"NAV-RCV";"graph",#N/A,FALSE,"CRUDEWW"}</definedName>
    <definedName name="wrn.Main._.Fields."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_.Fields._1"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onth." hidden="1">{#N/A,#N/A,FALSE,"Comp Balance";#N/A,#N/A,FALSE,"Sum Balance ";#N/A,#N/A,FALSE,"Balance Trend";#N/A,#N/A,FALSE,"Comp PL";#N/A,#N/A,FALSE,"PL";#N/A,#N/A,FALSE,"Sum PL";#N/A,#N/A,FALSE,"PL Trend";#N/A,#N/A,FALSE,"Change"}</definedName>
    <definedName name="wrn.Month._.End._.Reports." hidden="1">{"CONTENTS",#N/A,FALSE,"CONTENTS";"CP1",#N/A,FALSE,"CP1";"N1",#N/A,FALSE,"N1";"C1",#N/A,FALSE,"C1";"Imidazoline",#N/A,FALSE,"I1";"CAT",#N/A,FALSE,"CAT";"Cobalt",#N/A,FALSE,"Cobalt";"LOCAT",#N/A,FALSE,"LOCAT"}</definedName>
    <definedName name="wrn.Month._.End._.Reports._1" hidden="1">{"CONTENTS",#N/A,FALSE,"CONTENTS";"CP1",#N/A,FALSE,"CP1";"N1",#N/A,FALSE,"N1";"C1",#N/A,FALSE,"C1";"Imidazoline",#N/A,FALSE,"I1";"CAT",#N/A,FALSE,"CAT";"Cobalt",#N/A,FALSE,"Cobalt";"LOCAT",#N/A,FALSE,"LOCAT"}</definedName>
    <definedName name="wrn.Month._1" hidden="1">{#N/A,#N/A,FALSE,"Comp Balance";#N/A,#N/A,FALSE,"Sum Balance ";#N/A,#N/A,FALSE,"Balance Trend";#N/A,#N/A,FALSE,"Comp PL";#N/A,#N/A,FALSE,"PL";#N/A,#N/A,FALSE,"Sum PL";#N/A,#N/A,FALSE,"PL Trend";#N/A,#N/A,FALSE,"Change"}</definedName>
    <definedName name="wrn.Munsell." hidden="1">{#N/A,#N/A,FALSE,"Index";#N/A,#N/A,FALSE,"IncStmt";#N/A,#N/A,FALSE,"Ratios";#N/A,#N/A,FALSE,"CashFlows";#N/A,#N/A,FALSE,"Ins1";#N/A,#N/A,FALSE,"Ins2";#N/A,#N/A,FALSE,"SelfFund";#N/A,#N/A,FALSE,"SGA";#N/A,#N/A,FALSE,"Recon";#N/A,#N/A,FALSE,"Earnings";#N/A,#N/A,FALSE,"Earnings (2)";#N/A,#N/A,FALSE,"Stock";#N/A,#N/A,FALSE,"Stock (2)";#N/A,#N/A,FALSE,"PeerRatios";#N/A,#N/A,FALSE,"PeerRanks"}</definedName>
    <definedName name="wrn.Munsell._1" hidden="1">{#N/A,#N/A,FALSE,"Index";#N/A,#N/A,FALSE,"IncStmt";#N/A,#N/A,FALSE,"Ratios";#N/A,#N/A,FALSE,"CashFlows";#N/A,#N/A,FALSE,"Ins1";#N/A,#N/A,FALSE,"Ins2";#N/A,#N/A,FALSE,"SelfFund";#N/A,#N/A,FALSE,"SGA";#N/A,#N/A,FALSE,"Recon";#N/A,#N/A,FALSE,"Earnings";#N/A,#N/A,FALSE,"Earnings (2)";#N/A,#N/A,FALSE,"Stock";#N/A,#N/A,FALSE,"Stock (2)";#N/A,#N/A,FALSE,"PeerRatios";#N/A,#N/A,FALSE,"PeerRanks"}</definedName>
    <definedName name="wrn.newdcf" hidden="1">{#N/A,#N/A,FALSE,"Combo-Ass ";#N/A,#N/A,FALSE,"Combo-AD sum";#N/A,#N/A,FALSE,"Combo-Syn Sens";#N/A,#N/A,FALSE,"Combo-Contr";#N/A,#N/A,FALSE,"Combo-Credit Sum";#N/A,#N/A,FALSE,"Combo-Credit";#N/A,#N/A,FALSE,"Combo-AD";#N/A,#N/A,FALSE,"Combo-AD CF"}</definedName>
    <definedName name="wrn.newdcf_1" hidden="1">{#N/A,#N/A,FALSE,"Combo-Ass ";#N/A,#N/A,FALSE,"Combo-AD sum";#N/A,#N/A,FALSE,"Combo-Syn Sens";#N/A,#N/A,FALSE,"Combo-Contr";#N/A,#N/A,FALSE,"Combo-Credit Sum";#N/A,#N/A,FALSE,"Combo-Credit";#N/A,#N/A,FALSE,"Combo-AD";#N/A,#N/A,FALSE,"Combo-AD CF"}</definedName>
    <definedName name="wrn.ONTK." hidden="1">{#N/A,#N/A,FALSE,"Title Page";#N/A,#N/A,FALSE,"Summary Sheet";#N/A,#N/A,FALSE,"Quarterly Income Statement";#N/A,#N/A,FALSE,"Proforma QTR Income Statement";#N/A,#N/A,FALSE,"Fiscal Year Income Statement";#N/A,#N/A,FALSE,"Valuation Summary";#N/A,#N/A,FALSE,"Comps Without";#N/A,#N/A,FALSE,"Comps With"}</definedName>
    <definedName name="wrn.ONTK._1" hidden="1">{#N/A,#N/A,FALSE,"Title Page";#N/A,#N/A,FALSE,"Summary Sheet";#N/A,#N/A,FALSE,"Quarterly Income Statement";#N/A,#N/A,FALSE,"Proforma QTR Income Statement";#N/A,#N/A,FALSE,"Fiscal Year Income Statement";#N/A,#N/A,FALSE,"Valuation Summary";#N/A,#N/A,FALSE,"Comps Without";#N/A,#N/A,FALSE,"Comps With"}</definedName>
    <definedName name="wrn.PLX." hidden="1">{"cred comp",#N/A,FALSE,"Comparable Credit Analysis";"IS",#N/A,FALSE,"IS";"Sensitivity",#N/A,FALSE,"Sensitivity";"BS",#N/A,FALSE,"BS";"Bond Summary",#N/A,FALSE,"B Summary";"AD",#N/A,FALSE,"Accretion";"NAV",#N/A,FALSE,"NAV";"SU",#N/A,FALSE,"S&amp;U";"acq. study",#N/A,FALSE,"Acq. Study";"F Charges",#N/A,FALSE,"Fixed Charges"}</definedName>
    <definedName name="wrn.PLX._1" hidden="1">{"cred comp",#N/A,FALSE,"Comparable Credit Analysis";"IS",#N/A,FALSE,"IS";"Sensitivity",#N/A,FALSE,"Sensitivity";"BS",#N/A,FALSE,"BS";"Bond Summary",#N/A,FALSE,"B Summary";"AD",#N/A,FALSE,"Accretion";"NAV",#N/A,FALSE,"NAV";"SU",#N/A,FALSE,"S&amp;U";"acq. study",#N/A,FALSE,"Acq. Study";"F Charges",#N/A,FALSE,"Fixed Charges"}</definedName>
    <definedName name="wrn.Print._.All." hidden="1">{"Str Model",#N/A,TRUE,"Store Model";"RevProj By QTR",#N/A,TRUE,"Rev Proj";"RevProj By Yr",#N/A,TRUE,"Rev Proj";"Qtr Model",#N/A,TRUE,"Model";"Bal Sheet",#N/A,TRUE,"Bal Sheet";"Cash Flow",#N/A,TRUE,"Cash Flow";"Yrly Model",#N/A,TRUE,"Income Year"}</definedName>
    <definedName name="wrn.Print._.All._.Worksheets." hidden="1">{#N/A,#N/A,FALSE,"Capitaliztion Matrix";#N/A,#N/A,FALSE,"4YR P&amp;L";#N/A,#N/A,FALSE,"Program Contributions";#N/A,#N/A,FALSE,"P&amp;L Trans YR 2";#N/A,#N/A,FALSE,"Rev &amp; EBITDA YR2";#N/A,#N/A,FALSE,"P&amp;L Trans YR 1";#N/A,#N/A,FALSE,"Rev &amp; EBITDA YR1"}</definedName>
    <definedName name="wrn.Print._.All._.Worksheets._1" hidden="1">{#N/A,#N/A,FALSE,"Capitaliztion Matrix";#N/A,#N/A,FALSE,"4YR P&amp;L";#N/A,#N/A,FALSE,"Program Contributions";#N/A,#N/A,FALSE,"P&amp;L Trans YR 2";#N/A,#N/A,FALSE,"Rev &amp; EBITDA YR2";#N/A,#N/A,FALSE,"P&amp;L Trans YR 1";#N/A,#N/A,FALSE,"Rev &amp; EBITDA YR1"}</definedName>
    <definedName name="wrn.Print._.All._1" hidden="1">{"Str Model",#N/A,TRUE,"Store Model";"RevProj By QTR",#N/A,TRUE,"Rev Proj";"RevProj By Yr",#N/A,TRUE,"Rev Proj";"Qtr Model",#N/A,TRUE,"Model";"Bal Sheet",#N/A,TRUE,"Bal Sheet";"Cash Flow",#N/A,TRUE,"Cash Flow";"Yrly Model",#N/A,TRUE,"Income Year"}</definedName>
    <definedName name="wrn.PRINT2." hidden="1">{"PAGE1",#N/A,FALSE,"ADJMODL";"PAGE2",#N/A,FALSE,"ADJMODL";"PAGE3",#N/A,FALSE,"ADJMODL";"PAGE4",#N/A,FALSE,"ADJMODL";"PAGE5",#N/A,FALSE,"ADJMODL";"PAGE6",#N/A,FALSE,"ADJMODL";"PAGE7",#N/A,FALSE,"ADJMODL";"PAGE8",#N/A,FALSE,"ADJMODL"}</definedName>
    <definedName name="wrn.PRINT2._1" hidden="1">{"PAGE1",#N/A,FALSE,"ADJMODL";"PAGE2",#N/A,FALSE,"ADJMODL";"PAGE3",#N/A,FALSE,"ADJMODL";"PAGE4",#N/A,FALSE,"ADJMODL";"PAGE5",#N/A,FALSE,"ADJMODL";"PAGE6",#N/A,FALSE,"ADJMODL";"PAGE7",#N/A,FALSE,"ADJMODL";"PAGE8",#N/A,FALSE,"ADJMODL"}</definedName>
    <definedName name="wrn.printall." hidden="1">{"ngcpv",#N/A,TRUE,"NGC Summary";"insum1",#N/A,TRUE,"Inputs Summary";"insum2",#N/A,TRUE,"Inputs Summary";"insum3",#N/A,TRUE,"Inputs Summary";"revsum1",#N/A,TRUE,"RevExp";"revsum2",#N/A,TRUE,"RevExp";"debtin1",#N/A,TRUE,"Debt Inputs";"debtin2",#N/A,TRUE,"Debt Inputs";"opprn1",#N/A,TRUE,"OPS";"opprn2",#N/A,TRUE,"OPS";"opprn3",#N/A,TRUE,"OPS";"deprn1",#N/A,TRUE,"DeprAlloc";"deprn2",#N/A,TRUE,"DeprAlloc";"finp1",#N/A,TRUE,"Financials";"finp2",#N/A,TRUE,"Financials";"finp3",#N/A,TRUE,"Financials";"finp4",#N/A,TRUE,"Financials";"dei12c",#N/A,TRUE,"Destec";"deip3",#N/A,TRUE,"Destec";"ddpv",#N/A,TRUE,"Drawdown"}</definedName>
    <definedName name="wrn.printall._1" hidden="1">{"ngcpv",#N/A,TRUE,"NGC Summary";"insum1",#N/A,TRUE,"Inputs Summary";"insum2",#N/A,TRUE,"Inputs Summary";"insum3",#N/A,TRUE,"Inputs Summary";"revsum1",#N/A,TRUE,"RevExp";"revsum2",#N/A,TRUE,"RevExp";"debtin1",#N/A,TRUE,"Debt Inputs";"debtin2",#N/A,TRUE,"Debt Inputs";"opprn1",#N/A,TRUE,"OPS";"opprn2",#N/A,TRUE,"OPS";"opprn3",#N/A,TRUE,"OPS";"deprn1",#N/A,TRUE,"DeprAlloc";"deprn2",#N/A,TRUE,"DeprAlloc";"finp1",#N/A,TRUE,"Financials";"finp2",#N/A,TRUE,"Financials";"finp3",#N/A,TRUE,"Financials";"finp4",#N/A,TRUE,"Financials";"dei12c",#N/A,TRUE,"Destec";"deip3",#N/A,TRUE,"Destec";"ddpv",#N/A,TRUE,"Drawdown"}</definedName>
    <definedName name="wrn.Printout." hidden="1">{"page1",#N/A,FALSE,"Casual RLE";"page2",#N/A,FALSE,"Casual RLE"}</definedName>
    <definedName name="wrn.Printout._1" hidden="1">{"page1",#N/A,FALSE,"Casual RLE";"page2",#N/A,FALSE,"Casual RLE"}</definedName>
    <definedName name="wrn.PROJECTS." hidden="1">{"PROJECTS",#N/A,FALSE,"PROJECTS"}</definedName>
    <definedName name="wrn.PROJECTS._1" hidden="1">{"PROJECTS",#N/A,FALSE,"PROJECTS"}</definedName>
    <definedName name="wrn.PTD._.ONLY." hidden="1">{"PTD ONLY",#N/A,FALSE,"PTD ONLY"}</definedName>
    <definedName name="wrn.PTD._.ONLY._1" hidden="1">{"PTD ONLY",#N/A,FALSE,"PTD ONLY"}</definedName>
    <definedName name="wrn.Qtr._.3." hidden="1">{"QTR3PL",#N/A,FALSE,"Qtr 3";"QTR3PLYTD",#N/A,FALSE,"Qtr 3";"QTR3BS",#N/A,FALSE,"Qtr 3";"QTR3CF",#N/A,FALSE,"Qtr 3";"QTR3CFYTD",#N/A,FALSE,"Qtr 3";"QTR3PGIPL",#N/A,FALSE,"Qtr 3";"QTR3PGIPLYTD",#N/A,FALSE,"Qtr 3";"QTR3PGIBS",#N/A,FALSE,"Qtr 3";"QTR3PGICF",#N/A,FALSE,"Qtr 3";"QTR3PGICFYTD",#N/A,FALSE,"Qtr 3"}</definedName>
    <definedName name="wrn.Qtr._.3._1" hidden="1">{"QTR3PL",#N/A,FALSE,"Qtr 3";"QTR3PLYTD",#N/A,FALSE,"Qtr 3";"QTR3BS",#N/A,FALSE,"Qtr 3";"QTR3CF",#N/A,FALSE,"Qtr 3";"QTR3CFYTD",#N/A,FALSE,"Qtr 3";"QTR3PGIPL",#N/A,FALSE,"Qtr 3";"QTR3PGIPLYTD",#N/A,FALSE,"Qtr 3";"QTR3PGIBS",#N/A,FALSE,"Qtr 3";"QTR3PGICF",#N/A,FALSE,"Qtr 3";"QTR3PGICFYTD",#N/A,FALSE,"Qtr 3"}</definedName>
    <definedName name="wrn.QTR1." hidden="1">{"QTR1PGIBS",#N/A,FALSE,"Qtr 1 PGI";"QTR1PGIPL",#N/A,FALSE,"Qtr 1 PGI";"QTR1PGICF",#N/A,FALSE,"Qtr 1 PGI";"QTR1BS",#N/A,FALSE,"Qtr 1 ";"QTR1PL",#N/A,FALSE,"Qtr 1 ";"QTR1CF",#N/A,FALSE,"Qtr 1 "}</definedName>
    <definedName name="wrn.QTR1._1" hidden="1">{"QTR1PGIBS",#N/A,FALSE,"Qtr 1 PGI";"QTR1PGIPL",#N/A,FALSE,"Qtr 1 PGI";"QTR1PGICF",#N/A,FALSE,"Qtr 1 PGI";"QTR1BS",#N/A,FALSE,"Qtr 1 ";"QTR1PL",#N/A,FALSE,"Qtr 1 ";"QTR1CF",#N/A,FALSE,"Qtr 1 "}</definedName>
    <definedName name="wrn.Qtr2." hidden="1">{"QTR2PL",#N/A,FALSE,"Qtr 2";"QTR2PLYTD",#N/A,FALSE,"Qtr 2";"QTR2BS",#N/A,FALSE,"Qtr 2";"QTR2CF",#N/A,FALSE,"Qtr 2";"QTR2CFYTD",#N/A,FALSE,"Qtr 2";"QTR2PGIPL",#N/A,FALSE,"Qtr 2 PGI";"QTR2PGIPLYTD",#N/A,FALSE,"Qtr 2 PGI";"QTR2PGIBS",#N/A,FALSE,"Qtr 2 PGI";"QTR2PGICF",#N/A,FALSE,"Qtr 2 PGI";"QTR2PGICFYTD",#N/A,FALSE,"Qtr 2 PGI"}</definedName>
    <definedName name="wrn.Qtr2._1" hidden="1">{"QTR2PL",#N/A,FALSE,"Qtr 2";"QTR2PLYTD",#N/A,FALSE,"Qtr 2";"QTR2BS",#N/A,FALSE,"Qtr 2";"QTR2CF",#N/A,FALSE,"Qtr 2";"QTR2CFYTD",#N/A,FALSE,"Qtr 2";"QTR2PGIPL",#N/A,FALSE,"Qtr 2 PGI";"QTR2PGIPLYTD",#N/A,FALSE,"Qtr 2 PGI";"QTR2PGIBS",#N/A,FALSE,"Qtr 2 PGI";"QTR2PGICF",#N/A,FALSE,"Qtr 2 PGI";"QTR2PGICFYTD",#N/A,FALSE,"Qtr 2 PGI"}</definedName>
    <definedName name="wrn.Quarter._.End._.Reports." hidden="1">{"CONTENTS",#N/A,FALSE,"CONTENTS";"CP1",#N/A,FALSE,"CP1";"CP1 Q",#N/A,FALSE,"CP1 Q";"N1",#N/A,FALSE,"N1";"N1 Q",#N/A,FALSE,"N1 Q";"C1",#N/A,FALSE,"C1";"C1 Q",#N/A,FALSE,"C1 Q";"Imidazoline",#N/A,FALSE,"I1";"I1 Q",#N/A,FALSE,"I1 Q";"CAT",#N/A,FALSE,"CAT";"CAT Q",#N/A,FALSE,"CAT Q";"COBALT",#N/A,FALSE,"Cobalt";"Cobalt Q",#N/A,FALSE,"Cobalt Q";"LOCAT",#N/A,FALSE,"LOCAT";"LOCAT Q",#N/A,FALSE,"LOCAT Q";"Balance Sheet",#N/A,FALSE,"Balance Sheet";"Cash Flow",#N/A,FALSE,"Cash Flow";"Dashboard",#N/A,FALSE,"Dashboard"}</definedName>
    <definedName name="wrn.Quarter._.End._.Reports._1" hidden="1">{"CONTENTS",#N/A,FALSE,"CONTENTS";"CP1",#N/A,FALSE,"CP1";"CP1 Q",#N/A,FALSE,"CP1 Q";"N1",#N/A,FALSE,"N1";"N1 Q",#N/A,FALSE,"N1 Q";"C1",#N/A,FALSE,"C1";"C1 Q",#N/A,FALSE,"C1 Q";"Imidazoline",#N/A,FALSE,"I1";"I1 Q",#N/A,FALSE,"I1 Q";"CAT",#N/A,FALSE,"CAT";"CAT Q",#N/A,FALSE,"CAT Q";"COBALT",#N/A,FALSE,"Cobalt";"Cobalt Q",#N/A,FALSE,"Cobalt Q";"LOCAT",#N/A,FALSE,"LOCAT";"LOCAT Q",#N/A,FALSE,"LOCAT Q";"Balance Sheet",#N/A,FALSE,"Balance Sheet";"Cash Flow",#N/A,FALSE,"Cash Flow";"Dashboard",#N/A,FALSE,"Dashboard"}</definedName>
    <definedName name="wrn.REPORT1." hidden="1">{"RANGE1",#N/A,TRUE,"EXPENSE WKST";"RANGE2",#N/A,TRUE,"EXPENSE WKST"}</definedName>
    <definedName name="wrn.REPORT1._1" hidden="1">{"RANGE1",#N/A,TRUE,"EXPENSE WKST";"RANGE2",#N/A,TRUE,"EXPENSE WKST"}</definedName>
    <definedName name="wrn.Roll._.Up._.Fields." hidden="1">{"Total",#N/A,FALSE,"Six Fields";"PDP",#N/A,FALSE,"Six Fields";"PNP",#N/A,FALSE,"Six Fields";"PUD",#N/A,FALSE,"Six Fields";"Prob",#N/A,FALSE,"Six Fields"}</definedName>
    <definedName name="wrn.Roll._.Up._.Fields._1" hidden="1">{"Total",#N/A,FALSE,"Six Fields";"PDP",#N/A,FALSE,"Six Fields";"PNP",#N/A,FALSE,"Six Fields";"PUD",#N/A,FALSE,"Six Fields";"Prob",#N/A,FALSE,"Six Fields"}</definedName>
    <definedName name="wrn.SBEI." hidden="1">{#N/A,#N/A,TRUE,"Table1";#N/A,#N/A,TRUE,"Table2";#N/A,#N/A,TRUE,"Table3";#N/A,#N/A,TRUE,"Table4";#N/A,#N/A,TRUE,"Table5";#N/A,#N/A,TRUE,"Table6";#N/A,#N/A,TRUE,"Table7";#N/A,#N/A,TRUE,"Table8";#N/A,#N/A,TRUE,"Table9";#N/A,#N/A,TRUE,"Table10";#N/A,#N/A,TRUE,"Table11";#N/A,#N/A,TRUE,"Table12";#N/A,#N/A,TRUE,"Table13";#N/A,#N/A,TRUE,"Table14"}</definedName>
    <definedName name="wrn.SBEI._1" hidden="1">{#N/A,#N/A,TRUE,"Table1";#N/A,#N/A,TRUE,"Table2";#N/A,#N/A,TRUE,"Table3";#N/A,#N/A,TRUE,"Table4";#N/A,#N/A,TRUE,"Table5";#N/A,#N/A,TRUE,"Table6";#N/A,#N/A,TRUE,"Table7";#N/A,#N/A,TRUE,"Table8";#N/A,#N/A,TRUE,"Table9";#N/A,#N/A,TRUE,"Table10";#N/A,#N/A,TRUE,"Table11";#N/A,#N/A,TRUE,"Table12";#N/A,#N/A,TRUE,"Table13";#N/A,#N/A,TRUE,"Table14"}</definedName>
    <definedName name="wrn.shamrock" hidden="1">{#N/A,#N/A,TRUE,"Tar-Ass";#N/A,#N/A,TRUE,"Tar-Ass LBO";#N/A,#N/A,TRUE,"LBO Ret";#N/A,#N/A,TRUE,"Tar-BS LBO";#N/A,#N/A,TRUE,"Tar-IS LBO";#N/A,#N/A,TRUE,"Tar-CF LBO";#N/A,#N/A,TRUE,"Tar-Debt LBO";#N/A,#N/A,TRUE,"Tar-Int LBO";#N/A,#N/A,TRUE,"Tar-Taxes LBO";#N/A,#N/A,TRUE,"Tar-Val LBO"}</definedName>
    <definedName name="wrn.shamrock_1" hidden="1">{#N/A,#N/A,TRUE,"Tar-Ass";#N/A,#N/A,TRUE,"Tar-Ass LBO";#N/A,#N/A,TRUE,"LBO Ret";#N/A,#N/A,TRUE,"Tar-BS LBO";#N/A,#N/A,TRUE,"Tar-IS LBO";#N/A,#N/A,TRUE,"Tar-CF LBO";#N/A,#N/A,TRUE,"Tar-Debt LBO";#N/A,#N/A,TRUE,"Tar-Int LBO";#N/A,#N/A,TRUE,"Tar-Taxes LBO";#N/A,#N/A,TRUE,"Tar-Val LBO"}</definedName>
    <definedName name="wrn.Summary." hidden="1">{"Sum1",#N/A,FALSE,"Reserve Report";"Sum2",#N/A,FALSE,"Reserve Report";"Sum3",#N/A,FALSE,"Reserve Report";"Sum4",#N/A,FALSE,"Reserve Report"}</definedName>
    <definedName name="wrn.Summary._1" hidden="1">{"Sum1",#N/A,FALSE,"Reserve Report";"Sum2",#N/A,FALSE,"Reserve Report";"Sum3",#N/A,FALSE,"Reserve Report";"Sum4",#N/A,FALSE,"Reserve Report"}</definedName>
    <definedName name="wrn.Target." hidden="1">{#N/A,#N/A,TRUE,"Tar-Ass";#N/A,#N/A,TRUE,"Tar-IS";#N/A,#N/A,TRUE,"Tar-BS";#N/A,#N/A,TRUE,"Tar-CF";#N/A,#N/A,TRUE,"Tar-Adg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wrn.Target._1" hidden="1">{#N/A,#N/A,TRUE,"Tar-Ass";#N/A,#N/A,TRUE,"Tar-IS";#N/A,#N/A,TRUE,"Tar-BS";#N/A,#N/A,TRUE,"Tar-CF";#N/A,#N/A,TRUE,"Tar-Adg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wrn.TargetLBO." hidden="1">{#N/A,#N/A,TRUE,"Tar-Ass";#N/A,#N/A,TRUE,"Tar-Ass LBO";#N/A,#N/A,TRUE,"LBO Ret";#N/A,#N/A,TRUE,"Tar-BS LBO";#N/A,#N/A,TRUE,"Tar-IS LBO";#N/A,#N/A,TRUE,"Tar-CF LBO";#N/A,#N/A,TRUE,"Tar-Debt LBO";#N/A,#N/A,TRUE,"Tar-Int LBO";#N/A,#N/A,TRUE,"Tar-Taxes LBO";#N/A,#N/A,TRUE,"Tar-Val LBO"}</definedName>
    <definedName name="wrn.TargetLBO._1" hidden="1">{#N/A,#N/A,TRUE,"Tar-Ass";#N/A,#N/A,TRUE,"Tar-Ass LBO";#N/A,#N/A,TRUE,"LBO Ret";#N/A,#N/A,TRUE,"Tar-BS LBO";#N/A,#N/A,TRUE,"Tar-IS LBO";#N/A,#N/A,TRUE,"Tar-CF LBO";#N/A,#N/A,TRUE,"Tar-Debt LBO";#N/A,#N/A,TRUE,"Tar-Int LBO";#N/A,#N/A,TRUE,"Tar-Taxes LBO";#N/A,#N/A,TRUE,"Tar-Val LBO"}</definedName>
    <definedName name="wrn.TargetState." hidden="1">{#N/A,#N/A,FALSE,"Tar-Ass";#N/A,#N/A,FALSE,"Tar-IS";#N/A,#N/A,FALSE,"Tar-BS";#N/A,#N/A,FALSE,"Tar-Adg BS";#N/A,#N/A,FALSE,"Tar-CF"}</definedName>
    <definedName name="wrn.TargetState._1" hidden="1">{#N/A,#N/A,FALSE,"Tar-Ass";#N/A,#N/A,FALSE,"Tar-IS";#N/A,#N/A,FALSE,"Tar-BS";#N/A,#N/A,FALSE,"Tar-Adg BS";#N/A,#N/A,FALSE,"Tar-CF"}</definedName>
    <definedName name="wrn.TargetVal." hidden="1">{#N/A,#N/A,TRUE,"Val - sum";#N/A,#N/A,TRUE,"Val - Sum1";#N/A,#N/A,TRUE,"Val - sum2";#N/A,#N/A,TRUE,"Val - Sum3";#N/A,#N/A,TRUE,"Tar-DCF";#N/A,#N/A,TRUE,"Tar-Val LBO";#N/A,#N/A,TRUE,"Tar-Mult Val"}</definedName>
    <definedName name="wrn.TargetVal._1" hidden="1">{#N/A,#N/A,TRUE,"Val - sum";#N/A,#N/A,TRUE,"Val - Sum1";#N/A,#N/A,TRUE,"Val - sum2";#N/A,#N/A,TRUE,"Val - Sum3";#N/A,#N/A,TRUE,"Tar-DCF";#N/A,#N/A,TRUE,"Tar-Val LBO";#N/A,#N/A,TRUE,"Tar-Mult Val"}</definedName>
    <definedName name="wrn.TheWholeEnchilada." hidden="1">{"CSheet",#N/A,FALSE,"C";"SmCap",#N/A,FALSE,"VAL1";"GulfCoast",#N/A,FALSE,"VAL1";"nav",#N/A,FALSE,"NAV";"Summary",#N/A,FALSE,"NAV"}</definedName>
    <definedName name="wrn.TheWholeEnchilada._1" hidden="1">{"CSheet",#N/A,FALSE,"C";"SmCap",#N/A,FALSE,"VAL1";"GulfCoast",#N/A,FALSE,"VAL1";"nav",#N/A,FALSE,"NAV";"Summary",#N/A,FALSE,"NAV"}</definedName>
    <definedName name="wrn.Total._.Proved." hidden="1">{"Total",#N/A,FALSE,"Total Proved";"PDP",#N/A,FALSE,"Total Proved";"PNP",#N/A,FALSE,"Total Proved";"PUD",#N/A,FALSE,"Total Proved"}</definedName>
    <definedName name="wrn.Total._.Proved._.plus._.Probable." hidden="1">{"Total",#N/A,FALSE,"Total Proved + Probable";"PDP",#N/A,FALSE,"Total Proved + Probable";"PNP",#N/A,FALSE,"Total Proved + Probable";"PUD",#N/A,FALSE,"Total Proved + Probable";"Prob",#N/A,FALSE,"Total Proved + Probable"}</definedName>
    <definedName name="wrn.Total._.Proved._.plus._.Probable._1" hidden="1">{"Total",#N/A,FALSE,"Total Proved + Probable";"PDP",#N/A,FALSE,"Total Proved + Probable";"PNP",#N/A,FALSE,"Total Proved + Probable";"PUD",#N/A,FALSE,"Total Proved + Probable";"Prob",#N/A,FALSE,"Total Proved + Probable"}</definedName>
    <definedName name="wrn.Total._.Proved._1" hidden="1">{"Total",#N/A,FALSE,"Total Proved";"PDP",#N/A,FALSE,"Total Proved";"PNP",#N/A,FALSE,"Total Proved";"PUD",#N/A,FALSE,"Total Proved"}</definedName>
    <definedName name="xrttd" hidden="1">{"Total",#N/A,FALSE,"Total Proved + Probable";"PDP",#N/A,FALSE,"Total Proved + Probable";"PNP",#N/A,FALSE,"Total Proved + Probable";"PUD",#N/A,FALSE,"Total Proved + Probable";"Prob",#N/A,FALSE,"Total Proved + Probable"}</definedName>
    <definedName name="xrttd_1" hidden="1">{"Total",#N/A,FALSE,"Total Proved + Probable";"PDP",#N/A,FALSE,"Total Proved + Probable";"PNP",#N/A,FALSE,"Total Proved + Probable";"PUD",#N/A,FALSE,"Total Proved + Probable";"Prob",#N/A,FALSE,"Total Proved + Probable"}</definedName>
    <definedName name="xxxx" hidden="1">{"QTR2PGIBS",#N/A,FALSE,"Qtr 2 PGI";"QTR2PGIPL",#N/A,FALSE,"Qtr 2 PGI";"QTR2PGICF",#N/A,FALSE,"Qtr 2 PGI";"98QTR2BS",#N/A,FALSE,"Qtr 2";"98QTR2PL",#N/A,FALSE,"Qtr 2";"98QTR2CF",#N/A,FALSE,"Qtr 2";"QTR3PGIBS",#N/A,FALSE,"Qtr 3 PGI";"QTR3PGIPL",#N/A,FALSE,"Qtr 3 PGI";"QTR3PGICF",#N/A,FALSE,"Qtr 3 PGI";"98QTR3BS",#N/A,FALSE,"Qtr 3";"98QTR3PL",#N/A,FALSE,"Qtr 3";"98QTR3CF",#N/A,FALSE,"Qtr 3";"QTR4PGIBS",#N/A,FALSE,"Qtr 4 PGI";"QTR4PGIPL",#N/A,FALSE,"Qtr 4 PGI";"QTR4PGIPLYTD",#N/A,FALSE,"Qtr 4 PGI";"QTR4PGICF",#N/A,FALSE,"Qtr 4 PGI";"QTR4PGICFYTD",#N/A,FALSE,"Qtr 4 PGI";"98QTR4BS",#N/A,FALSE,"Qtr 4";"98QTR4PL",#N/A,FALSE,"Qtr 4";"98QTR4CF",#N/A,FALSE,"Qtr 4";"98QTR4PLYTD",#N/A,FALSE,"Qtr 4";"98QTR4CFYTD",#N/A,FALSE,"Qtr 4"}</definedName>
    <definedName name="xxxx_1" hidden="1">{"QTR2PGIBS",#N/A,FALSE,"Qtr 2 PGI";"QTR2PGIPL",#N/A,FALSE,"Qtr 2 PGI";"QTR2PGICF",#N/A,FALSE,"Qtr 2 PGI";"98QTR2BS",#N/A,FALSE,"Qtr 2";"98QTR2PL",#N/A,FALSE,"Qtr 2";"98QTR2CF",#N/A,FALSE,"Qtr 2";"QTR3PGIBS",#N/A,FALSE,"Qtr 3 PGI";"QTR3PGIPL",#N/A,FALSE,"Qtr 3 PGI";"QTR3PGICF",#N/A,FALSE,"Qtr 3 PGI";"98QTR3BS",#N/A,FALSE,"Qtr 3";"98QTR3PL",#N/A,FALSE,"Qtr 3";"98QTR3CF",#N/A,FALSE,"Qtr 3";"QTR4PGIBS",#N/A,FALSE,"Qtr 4 PGI";"QTR4PGIPL",#N/A,FALSE,"Qtr 4 PGI";"QTR4PGIPLYTD",#N/A,FALSE,"Qtr 4 PGI";"QTR4PGICF",#N/A,FALSE,"Qtr 4 PGI";"QTR4PGICFYTD",#N/A,FALSE,"Qtr 4 PGI";"98QTR4BS",#N/A,FALSE,"Qtr 4";"98QTR4PL",#N/A,FALSE,"Qtr 4";"98QTR4CF",#N/A,FALSE,"Qtr 4";"98QTR4PLYTD",#N/A,FALSE,"Qtr 4";"98QTR4CFYTD",#N/A,FALSE,"Qtr 4"}</definedName>
    <definedName name="yhjhj" hidden="1">{"cred comp",#N/A,FALSE,"Comparable Credit Analysis";"IS",#N/A,FALSE,"IS";"Sensitivity",#N/A,FALSE,"Sensitivity";"BS",#N/A,FALSE,"BS";"Bond Summary",#N/A,FALSE,"B Summary";"AD",#N/A,FALSE,"Accretion";"NAV",#N/A,FALSE,"NAV";"SU",#N/A,FALSE,"S&amp;U";"acq. study",#N/A,FALSE,"Acq. Study";"F Charges",#N/A,FALSE,"Fixed Charges"}</definedName>
    <definedName name="yhjhj_1" hidden="1">{"cred comp",#N/A,FALSE,"Comparable Credit Analysis";"IS",#N/A,FALSE,"IS";"Sensitivity",#N/A,FALSE,"Sensitivity";"BS",#N/A,FALSE,"BS";"Bond Summary",#N/A,FALSE,"B Summary";"AD",#N/A,FALSE,"Accretion";"NAV",#N/A,FALSE,"NAV";"SU",#N/A,FALSE,"S&amp;U";"acq. study",#N/A,FALSE,"Acq. Study";"F Charges",#N/A,FALSE,"Fixed Charges"}</definedName>
    <definedName name="YR_LEAVE_ACCRUAL">#REF!</definedName>
    <definedName name="yui" hidden="1">{"Total",#N/A,FALSE,"Six Fields";"PDP",#N/A,FALSE,"Six Fields";"PNP",#N/A,FALSE,"Six Fields";"PUD",#N/A,FALSE,"Six Fields";"Prob",#N/A,FALSE,"Six Fields"}</definedName>
    <definedName name="yui_1" hidden="1">{"Total",#N/A,FALSE,"Six Fields";"PDP",#N/A,FALSE,"Six Fields";"PNP",#N/A,FALSE,"Six Fields";"PUD",#N/A,FALSE,"Six Fields";"Prob",#N/A,FALSE,"Six Fields"}</definedName>
    <definedName name="Z_D6A399A1_3411_11D2_88B3_A98C263D353B_.wvu.Rows" hidden="1">#REF!,#REF!,#REF!,#REF!,#REF!</definedName>
    <definedName name="Z_D6A399A2_3411_11D2_88B3_A98C263D353B_.wvu.Cols" hidden="1">#REF!</definedName>
    <definedName name="Z_D6A399A2_3411_11D2_88B3_A98C263D353B_.wvu.Rows" hidden="1">#REF!,#REF!,#REF!,#REF!,#REF!</definedName>
    <definedName name="Z_D6A399A3_3411_11D2_88B3_A98C263D353B_.wvu.Cols" hidden="1">#REF!,#REF!</definedName>
    <definedName name="Z_D6A399A3_3411_11D2_88B3_A98C263D353B_.wvu.Rows" hidden="1">#REF!,#REF!,#REF!,#REF!,#REF!</definedName>
    <definedName name="Z_D6A399AF_3411_11D2_88B3_A98C263D353B_.wvu.Cols" hidden="1">#REF!</definedName>
    <definedName name="Z_D6A399AF_3411_11D2_88B3_A98C263D353B_.wvu.Rows" hidden="1">#REF!,#REF!,#REF!,#REF!,#REF!</definedName>
    <definedName name="Z_D6A399B0_3411_11D2_88B3_A98C263D353B_.wvu.Cols" hidden="1">#REF!</definedName>
    <definedName name="zfill" hidden="1">#REF!</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5" i="115" l="1"/>
  <c r="I72" i="115"/>
  <c r="E64" i="115"/>
  <c r="F46" i="115"/>
  <c r="G46" i="115" s="1"/>
  <c r="H46" i="115" s="1"/>
  <c r="I46" i="115" s="1"/>
  <c r="J46" i="115" s="1"/>
  <c r="K46" i="115" s="1"/>
  <c r="K52" i="115" s="1"/>
  <c r="F20" i="115"/>
  <c r="G20" i="115" s="1"/>
  <c r="F35" i="115"/>
  <c r="E35" i="115"/>
  <c r="F15" i="115"/>
  <c r="E21" i="115"/>
  <c r="F21" i="115" s="1"/>
  <c r="G21" i="115" s="1"/>
  <c r="S105" i="94"/>
  <c r="R105" i="94"/>
  <c r="J81" i="115"/>
  <c r="I81" i="115" s="1"/>
  <c r="H81" i="115" s="1"/>
  <c r="P84" i="115"/>
  <c r="N83" i="115"/>
  <c r="T68" i="115"/>
  <c r="T71" i="115" s="1"/>
  <c r="E11" i="115"/>
  <c r="F11" i="115" s="1"/>
  <c r="P85" i="115"/>
  <c r="I69" i="115"/>
  <c r="I70" i="115"/>
  <c r="T69" i="115"/>
  <c r="T70" i="115"/>
  <c r="G58" i="115"/>
  <c r="E16" i="115"/>
  <c r="E24" i="115"/>
  <c r="T72" i="115" l="1"/>
  <c r="F49" i="115"/>
  <c r="G49" i="115" s="1"/>
  <c r="H49" i="115" s="1"/>
  <c r="I49" i="115" s="1"/>
  <c r="J49" i="115" s="1"/>
  <c r="K49" i="115" s="1"/>
  <c r="K81" i="115"/>
  <c r="L81" i="115" s="1"/>
  <c r="F52" i="115"/>
  <c r="J52" i="115"/>
  <c r="I52" i="115"/>
  <c r="H52" i="115"/>
  <c r="G52" i="115"/>
  <c r="F27" i="115" l="1"/>
  <c r="G11" i="115"/>
  <c r="H11" i="115" s="1"/>
  <c r="I11" i="115" s="1"/>
  <c r="J11" i="115" s="1"/>
  <c r="F13" i="115"/>
  <c r="E13" i="115"/>
  <c r="Q75" i="94"/>
  <c r="E14" i="115"/>
  <c r="E9" i="115"/>
  <c r="E30" i="115" s="1"/>
  <c r="K71" i="97"/>
  <c r="J71" i="97"/>
  <c r="L71" i="97"/>
  <c r="E23" i="115"/>
  <c r="F23" i="115" s="1"/>
  <c r="E28" i="115"/>
  <c r="E18" i="115"/>
  <c r="H52" i="116"/>
  <c r="G52" i="116"/>
  <c r="F52" i="116"/>
  <c r="E52" i="116"/>
  <c r="D52" i="116"/>
  <c r="D53" i="116" s="1"/>
  <c r="C52" i="116"/>
  <c r="H51" i="116"/>
  <c r="H53" i="116" s="1"/>
  <c r="G51" i="116"/>
  <c r="G53" i="116" s="1"/>
  <c r="F51" i="116"/>
  <c r="F53" i="116" s="1"/>
  <c r="E51" i="116"/>
  <c r="E53" i="116" s="1"/>
  <c r="D51" i="116"/>
  <c r="C51" i="116"/>
  <c r="C53" i="116" s="1"/>
  <c r="L41" i="116"/>
  <c r="K41" i="116"/>
  <c r="J41" i="116"/>
  <c r="I41" i="116"/>
  <c r="H35" i="116"/>
  <c r="G35" i="116"/>
  <c r="F35" i="116"/>
  <c r="E35" i="116"/>
  <c r="D35" i="116"/>
  <c r="C35" i="116"/>
  <c r="I25" i="116"/>
  <c r="R43" i="94"/>
  <c r="I27" i="115"/>
  <c r="I66" i="115"/>
  <c r="E70" i="115" s="1"/>
  <c r="M72" i="115"/>
  <c r="E84" i="115" s="1"/>
  <c r="H15" i="115"/>
  <c r="I15" i="115" s="1"/>
  <c r="G35" i="115"/>
  <c r="H35" i="115" s="1"/>
  <c r="I35" i="115" s="1"/>
  <c r="J35" i="115" s="1"/>
  <c r="N82" i="115"/>
  <c r="F41" i="115"/>
  <c r="G41" i="115" s="1"/>
  <c r="H41" i="115" s="1"/>
  <c r="I41" i="115" s="1"/>
  <c r="J41" i="115" s="1"/>
  <c r="E41" i="115"/>
  <c r="E40" i="115" s="1"/>
  <c r="F37" i="115"/>
  <c r="G37" i="115" s="1"/>
  <c r="H37" i="115" s="1"/>
  <c r="I37" i="115" s="1"/>
  <c r="J37" i="115" s="1"/>
  <c r="F39" i="115"/>
  <c r="G39" i="115" s="1"/>
  <c r="E39" i="115"/>
  <c r="E38" i="115" s="1"/>
  <c r="E37" i="115"/>
  <c r="E26" i="115"/>
  <c r="F7" i="115"/>
  <c r="G7" i="115" s="1"/>
  <c r="H7" i="115" s="1"/>
  <c r="I7" i="115" s="1"/>
  <c r="J7" i="115" s="1"/>
  <c r="K7" i="115" s="1"/>
  <c r="G4" i="115"/>
  <c r="H4" i="115" s="1"/>
  <c r="I4" i="115" s="1"/>
  <c r="J4" i="115" s="1"/>
  <c r="K4" i="115" s="1"/>
  <c r="R86" i="115"/>
  <c r="Q86" i="115"/>
  <c r="P86" i="115"/>
  <c r="O86" i="115"/>
  <c r="N86" i="115"/>
  <c r="R85" i="115"/>
  <c r="Q85" i="115"/>
  <c r="O85" i="115"/>
  <c r="N85" i="115"/>
  <c r="R84" i="115"/>
  <c r="Q84" i="115"/>
  <c r="O84" i="115"/>
  <c r="N84" i="115"/>
  <c r="R83" i="115"/>
  <c r="Q83" i="115"/>
  <c r="P83" i="115"/>
  <c r="O83" i="115"/>
  <c r="R82" i="115"/>
  <c r="Q82" i="115"/>
  <c r="P82" i="115"/>
  <c r="O82" i="115"/>
  <c r="H58" i="115"/>
  <c r="I58" i="115" s="1"/>
  <c r="J58" i="115" s="1"/>
  <c r="K58" i="115" s="1"/>
  <c r="G84" i="115" l="1"/>
  <c r="E83" i="115"/>
  <c r="E85" i="115"/>
  <c r="F26" i="115"/>
  <c r="G26" i="115" s="1"/>
  <c r="H26" i="115" s="1"/>
  <c r="H39" i="115"/>
  <c r="I39" i="115" s="1"/>
  <c r="J39" i="115" s="1"/>
  <c r="G23" i="115"/>
  <c r="F16" i="115"/>
  <c r="G13" i="115"/>
  <c r="H13" i="115" s="1"/>
  <c r="I13" i="115" s="1"/>
  <c r="J13" i="115" s="1"/>
  <c r="K13" i="115" s="1"/>
  <c r="F9" i="115"/>
  <c r="F10" i="115" s="1"/>
  <c r="F28" i="115"/>
  <c r="K11" i="115"/>
  <c r="E36" i="115"/>
  <c r="E34" i="115"/>
  <c r="F18" i="115"/>
  <c r="F91" i="115"/>
  <c r="L91" i="115" s="1"/>
  <c r="J90" i="115"/>
  <c r="J99" i="115" s="1"/>
  <c r="P99" i="115" s="1"/>
  <c r="V99" i="115" s="1"/>
  <c r="P81" i="115"/>
  <c r="F14" i="115"/>
  <c r="F36" i="115" s="1"/>
  <c r="E86" i="115" l="1"/>
  <c r="G86" i="115" s="1"/>
  <c r="G85" i="115"/>
  <c r="E82" i="115"/>
  <c r="G82" i="115" s="1"/>
  <c r="G83" i="115"/>
  <c r="I9" i="115"/>
  <c r="K9" i="115"/>
  <c r="J9" i="115"/>
  <c r="H91" i="115"/>
  <c r="G9" i="115"/>
  <c r="G10" i="115" s="1"/>
  <c r="G28" i="115"/>
  <c r="F24" i="115"/>
  <c r="F40" i="115" s="1"/>
  <c r="H23" i="115"/>
  <c r="I23" i="115" s="1"/>
  <c r="J23" i="115" s="1"/>
  <c r="K23" i="115" s="1"/>
  <c r="G16" i="115"/>
  <c r="G38" i="115" s="1"/>
  <c r="H9" i="115"/>
  <c r="H20" i="115"/>
  <c r="I20" i="115" s="1"/>
  <c r="J20" i="115" s="1"/>
  <c r="K20" i="115" s="1"/>
  <c r="J91" i="115"/>
  <c r="I91" i="115"/>
  <c r="K91" i="115"/>
  <c r="K10" i="115"/>
  <c r="E43" i="115"/>
  <c r="E44" i="115" s="1"/>
  <c r="P102" i="115"/>
  <c r="Q100" i="115"/>
  <c r="R102" i="115"/>
  <c r="O104" i="115"/>
  <c r="N104" i="115"/>
  <c r="P100" i="115"/>
  <c r="O102" i="115"/>
  <c r="N102" i="115"/>
  <c r="Q101" i="115"/>
  <c r="Q103" i="115"/>
  <c r="P101" i="115"/>
  <c r="P103" i="115"/>
  <c r="N101" i="115"/>
  <c r="Q102" i="115"/>
  <c r="Q104" i="115"/>
  <c r="R100" i="115"/>
  <c r="N103" i="115"/>
  <c r="N100" i="115"/>
  <c r="R103" i="115"/>
  <c r="O101" i="115"/>
  <c r="O100" i="115"/>
  <c r="R101" i="115"/>
  <c r="R104" i="115"/>
  <c r="O103" i="115"/>
  <c r="P104" i="115"/>
  <c r="F34" i="115"/>
  <c r="W99" i="115"/>
  <c r="X99" i="115" s="1"/>
  <c r="U99" i="115"/>
  <c r="T99" i="115" s="1"/>
  <c r="Q99" i="115"/>
  <c r="R99" i="115" s="1"/>
  <c r="O99" i="115"/>
  <c r="N99" i="115" s="1"/>
  <c r="K99" i="115"/>
  <c r="L99" i="115" s="1"/>
  <c r="I99" i="115"/>
  <c r="H99" i="115" s="1"/>
  <c r="K90" i="115"/>
  <c r="L90" i="115" s="1"/>
  <c r="I90" i="115"/>
  <c r="H90" i="115" s="1"/>
  <c r="O81" i="115"/>
  <c r="N81" i="115" s="1"/>
  <c r="Q81" i="115"/>
  <c r="R81" i="115" s="1"/>
  <c r="I26" i="115"/>
  <c r="G18" i="115"/>
  <c r="G14" i="115"/>
  <c r="G36" i="115" s="1"/>
  <c r="F95" i="115"/>
  <c r="F92" i="115"/>
  <c r="F94" i="115"/>
  <c r="F93" i="115"/>
  <c r="F25" i="115" l="1"/>
  <c r="J10" i="115"/>
  <c r="H10" i="115"/>
  <c r="I10" i="115"/>
  <c r="H28" i="115"/>
  <c r="G24" i="115"/>
  <c r="J93" i="115"/>
  <c r="K93" i="115"/>
  <c r="I93" i="115"/>
  <c r="H93" i="115"/>
  <c r="L93" i="115"/>
  <c r="J94" i="115"/>
  <c r="K94" i="115"/>
  <c r="L94" i="115"/>
  <c r="I94" i="115"/>
  <c r="H94" i="115"/>
  <c r="X101" i="115"/>
  <c r="H92" i="115"/>
  <c r="J92" i="115"/>
  <c r="L92" i="115"/>
  <c r="I92" i="115"/>
  <c r="K92" i="115"/>
  <c r="L95" i="115"/>
  <c r="K95" i="115"/>
  <c r="H95" i="115"/>
  <c r="I95" i="115"/>
  <c r="J95" i="115"/>
  <c r="V104" i="115"/>
  <c r="U104" i="115"/>
  <c r="U102" i="115"/>
  <c r="W100" i="115"/>
  <c r="X100" i="115"/>
  <c r="T100" i="115"/>
  <c r="T101" i="115"/>
  <c r="X103" i="115"/>
  <c r="T104" i="115"/>
  <c r="W103" i="115"/>
  <c r="V103" i="115"/>
  <c r="V101" i="115"/>
  <c r="V102" i="115"/>
  <c r="W102" i="115"/>
  <c r="T102" i="115"/>
  <c r="U100" i="115"/>
  <c r="T103" i="115"/>
  <c r="W101" i="115"/>
  <c r="U101" i="115"/>
  <c r="W104" i="115"/>
  <c r="X102" i="115"/>
  <c r="X104" i="115"/>
  <c r="U103" i="115"/>
  <c r="V100" i="115"/>
  <c r="F38" i="115"/>
  <c r="F43" i="115" s="1"/>
  <c r="F17" i="115"/>
  <c r="F30" i="115"/>
  <c r="F54" i="115" s="1"/>
  <c r="G34" i="115"/>
  <c r="J26" i="115"/>
  <c r="H14" i="115"/>
  <c r="H36" i="115" s="1"/>
  <c r="H18" i="115"/>
  <c r="H21" i="115" s="1"/>
  <c r="H22" i="115" s="1"/>
  <c r="G25" i="115" l="1"/>
  <c r="G40" i="115"/>
  <c r="I28" i="115"/>
  <c r="H24" i="115"/>
  <c r="F47" i="115"/>
  <c r="F53" i="115"/>
  <c r="G30" i="115"/>
  <c r="G17" i="115"/>
  <c r="F31" i="115"/>
  <c r="F44" i="115"/>
  <c r="H34" i="115"/>
  <c r="K26" i="115"/>
  <c r="I14" i="115"/>
  <c r="I36" i="115" s="1"/>
  <c r="I18" i="115"/>
  <c r="H16" i="115"/>
  <c r="H38" i="115" s="1"/>
  <c r="H25" i="115" l="1"/>
  <c r="H40" i="115"/>
  <c r="H43" i="115" s="1"/>
  <c r="J28" i="115"/>
  <c r="I24" i="115"/>
  <c r="G53" i="115"/>
  <c r="G54" i="115"/>
  <c r="F50" i="115"/>
  <c r="F51" i="115" s="1"/>
  <c r="F48" i="115"/>
  <c r="G31" i="115"/>
  <c r="G43" i="115"/>
  <c r="H30" i="115"/>
  <c r="H54" i="115" s="1"/>
  <c r="H17" i="115"/>
  <c r="I34" i="115"/>
  <c r="J18" i="115"/>
  <c r="I21" i="115"/>
  <c r="I22" i="115" s="1"/>
  <c r="J14" i="115"/>
  <c r="J36" i="115" s="1"/>
  <c r="F55" i="115" l="1"/>
  <c r="F61" i="115"/>
  <c r="I25" i="115"/>
  <c r="I40" i="115"/>
  <c r="K28" i="115"/>
  <c r="K24" i="115" s="1"/>
  <c r="J24" i="115"/>
  <c r="H53" i="115"/>
  <c r="I16" i="115"/>
  <c r="I38" i="115" s="1"/>
  <c r="H47" i="115"/>
  <c r="G47" i="115"/>
  <c r="H31" i="115"/>
  <c r="G44" i="115"/>
  <c r="H44" i="115"/>
  <c r="K34" i="115"/>
  <c r="J34" i="115"/>
  <c r="K14" i="115"/>
  <c r="K36" i="115" s="1"/>
  <c r="K18" i="115"/>
  <c r="K21" i="115" s="1"/>
  <c r="J21" i="115"/>
  <c r="I43" i="115" l="1"/>
  <c r="I47" i="115" s="1"/>
  <c r="J25" i="115"/>
  <c r="J40" i="115"/>
  <c r="K40" i="115"/>
  <c r="K25" i="115"/>
  <c r="K16" i="115"/>
  <c r="K22" i="115"/>
  <c r="I17" i="115"/>
  <c r="I30" i="115"/>
  <c r="J16" i="115"/>
  <c r="J38" i="115" s="1"/>
  <c r="J22" i="115"/>
  <c r="G48" i="115"/>
  <c r="H48" i="115"/>
  <c r="G50" i="115"/>
  <c r="H50" i="115"/>
  <c r="J43" i="115" l="1"/>
  <c r="I53" i="115"/>
  <c r="I54" i="115"/>
  <c r="I44" i="115"/>
  <c r="K17" i="115"/>
  <c r="J17" i="115"/>
  <c r="J30" i="115"/>
  <c r="I31" i="115"/>
  <c r="H51" i="115"/>
  <c r="H61" i="115" s="1"/>
  <c r="I48" i="115"/>
  <c r="G51" i="115"/>
  <c r="I50" i="115"/>
  <c r="J47" i="115"/>
  <c r="K30" i="115"/>
  <c r="K38" i="115"/>
  <c r="K43" i="115" s="1"/>
  <c r="K47" i="115" s="1"/>
  <c r="G55" i="115" l="1"/>
  <c r="G61" i="115"/>
  <c r="H55" i="115"/>
  <c r="J53" i="115"/>
  <c r="J54" i="115"/>
  <c r="K53" i="115"/>
  <c r="K54" i="115"/>
  <c r="J44" i="115"/>
  <c r="J31" i="115"/>
  <c r="J48" i="115"/>
  <c r="I51" i="115"/>
  <c r="K48" i="115"/>
  <c r="K50" i="115"/>
  <c r="K51" i="115" s="1"/>
  <c r="K61" i="115" s="1"/>
  <c r="J50" i="115"/>
  <c r="J51" i="115" s="1"/>
  <c r="J61" i="115" s="1"/>
  <c r="K44" i="115"/>
  <c r="K31" i="115"/>
  <c r="I55" i="115" l="1"/>
  <c r="I61" i="115"/>
  <c r="J55" i="115"/>
  <c r="K55" i="115"/>
  <c r="E66" i="115" s="1"/>
  <c r="K56" i="115" l="1"/>
  <c r="E23" i="107" l="1"/>
  <c r="E24" i="107"/>
  <c r="E25" i="107"/>
  <c r="E22" i="107"/>
  <c r="D21" i="107"/>
  <c r="E21" i="107" s="1"/>
  <c r="F21" i="107" s="1"/>
  <c r="G21" i="107" s="1"/>
  <c r="H21" i="107" s="1"/>
  <c r="D13" i="107"/>
  <c r="E13" i="107" s="1"/>
  <c r="F13" i="107" s="1"/>
  <c r="G13" i="107" s="1"/>
  <c r="H13" i="107" s="1"/>
  <c r="B28" i="107"/>
  <c r="C25" i="107"/>
  <c r="C9" i="107"/>
  <c r="C17" i="107" s="1"/>
  <c r="N123" i="94"/>
  <c r="O123" i="94"/>
  <c r="P123" i="94"/>
  <c r="M123" i="94"/>
  <c r="C7" i="107"/>
  <c r="C15" i="107" s="1"/>
  <c r="C8" i="107"/>
  <c r="C16" i="107" s="1"/>
  <c r="C6" i="107"/>
  <c r="C14" i="107" s="1"/>
  <c r="D3" i="107"/>
  <c r="E3" i="107" s="1"/>
  <c r="F3" i="107" s="1"/>
  <c r="G3" i="107" s="1"/>
  <c r="H3" i="107" s="1"/>
  <c r="H8" i="107" s="1"/>
  <c r="H16" i="107" s="1"/>
  <c r="D2" i="107"/>
  <c r="E2" i="107" s="1"/>
  <c r="F2" i="107" s="1"/>
  <c r="G2" i="107" s="1"/>
  <c r="H2" i="107" s="1"/>
  <c r="H9" i="107" l="1"/>
  <c r="H17" i="107" s="1"/>
  <c r="G9" i="107"/>
  <c r="G17" i="107" s="1"/>
  <c r="F9" i="107"/>
  <c r="F17" i="107" s="1"/>
  <c r="E9" i="107"/>
  <c r="E17" i="107" s="1"/>
  <c r="D9" i="107"/>
  <c r="D17" i="107" s="1"/>
  <c r="F8" i="107"/>
  <c r="F16" i="107" s="1"/>
  <c r="E8" i="107"/>
  <c r="E16" i="107" s="1"/>
  <c r="D8" i="107"/>
  <c r="D16" i="107" s="1"/>
  <c r="H7" i="107"/>
  <c r="H15" i="107" s="1"/>
  <c r="H6" i="107"/>
  <c r="H14" i="107" s="1"/>
  <c r="G7" i="107"/>
  <c r="G15" i="107" s="1"/>
  <c r="G6" i="107"/>
  <c r="G14" i="107" s="1"/>
  <c r="F7" i="107"/>
  <c r="F15" i="107" s="1"/>
  <c r="F6" i="107"/>
  <c r="F14" i="107" s="1"/>
  <c r="E7" i="107"/>
  <c r="E15" i="107" s="1"/>
  <c r="E6" i="107"/>
  <c r="E14" i="107" s="1"/>
  <c r="D7" i="107"/>
  <c r="D15" i="107" s="1"/>
  <c r="D6" i="107"/>
  <c r="D14" i="107" s="1"/>
  <c r="G8" i="107"/>
  <c r="G16" i="107" s="1"/>
  <c r="J120" i="94"/>
  <c r="K120" i="94"/>
  <c r="L120" i="94"/>
  <c r="M120" i="94"/>
  <c r="N120" i="94"/>
  <c r="O120" i="94"/>
  <c r="P120" i="94"/>
  <c r="I120" i="94"/>
  <c r="L86" i="94"/>
  <c r="K86" i="94"/>
  <c r="J86" i="94"/>
  <c r="I86" i="94"/>
  <c r="H86" i="94"/>
  <c r="O86" i="94"/>
  <c r="N86" i="94"/>
  <c r="M86" i="94"/>
  <c r="P86" i="94"/>
  <c r="T47" i="94"/>
  <c r="U44" i="94"/>
  <c r="S43" i="94"/>
  <c r="T43" i="94"/>
  <c r="U43" i="94"/>
  <c r="S44" i="94"/>
  <c r="T44" i="94"/>
  <c r="S45" i="94"/>
  <c r="T45" i="94"/>
  <c r="U45" i="94"/>
  <c r="S46" i="94"/>
  <c r="T46" i="94"/>
  <c r="T48" i="94" s="1"/>
  <c r="U46" i="94"/>
  <c r="U48" i="94" s="1"/>
  <c r="S47" i="94"/>
  <c r="U47" i="94"/>
  <c r="R44" i="94"/>
  <c r="R45" i="94"/>
  <c r="R46" i="94"/>
  <c r="R47" i="94"/>
  <c r="S48" i="94"/>
  <c r="R31" i="94"/>
  <c r="S31" i="94"/>
  <c r="T31" i="94"/>
  <c r="R32" i="94"/>
  <c r="S32" i="94"/>
  <c r="T32" i="94"/>
  <c r="R33" i="94"/>
  <c r="S33" i="94"/>
  <c r="T33" i="94"/>
  <c r="R34" i="94"/>
  <c r="S34" i="94"/>
  <c r="T34" i="94"/>
  <c r="T36" i="94" s="1"/>
  <c r="R35" i="94"/>
  <c r="S35" i="94"/>
  <c r="T35" i="94"/>
  <c r="Q32" i="94"/>
  <c r="Q33" i="94"/>
  <c r="Q34" i="94"/>
  <c r="Q35" i="94"/>
  <c r="Q31" i="94"/>
  <c r="R36" i="94"/>
  <c r="S36" i="94"/>
  <c r="I94" i="94"/>
  <c r="R48" i="94" l="1"/>
  <c r="Q36" i="94"/>
  <c r="I56" i="115" l="1"/>
  <c r="J56" i="115"/>
  <c r="G56" i="115"/>
  <c r="H56" i="115"/>
  <c r="K102" i="115" l="1"/>
  <c r="F59" i="115"/>
  <c r="J59" i="115"/>
  <c r="K59" i="115"/>
  <c r="G59" i="115"/>
  <c r="I59" i="115"/>
  <c r="H59" i="115"/>
  <c r="E102" i="115"/>
  <c r="E93" i="115"/>
  <c r="E68" i="115" l="1"/>
  <c r="E81" i="115" s="1"/>
  <c r="I101" i="115"/>
  <c r="J104" i="115"/>
  <c r="K104" i="115"/>
  <c r="J100" i="115"/>
  <c r="K100" i="115"/>
  <c r="H100" i="115"/>
  <c r="I103" i="115"/>
  <c r="I104" i="115"/>
  <c r="J103" i="115"/>
  <c r="H103" i="115"/>
  <c r="L104" i="115"/>
  <c r="K101" i="115"/>
  <c r="E67" i="115"/>
  <c r="G81" i="115" s="1"/>
  <c r="I102" i="115"/>
  <c r="K103" i="115"/>
  <c r="L101" i="115"/>
  <c r="H101" i="115"/>
  <c r="I100" i="115"/>
  <c r="J102" i="115"/>
  <c r="J101" i="115"/>
  <c r="L102" i="115"/>
  <c r="H102" i="115"/>
  <c r="L103" i="115"/>
  <c r="L100" i="115"/>
  <c r="H104" i="115"/>
  <c r="E101" i="115"/>
  <c r="E100" i="115" s="1"/>
  <c r="E103" i="115"/>
  <c r="E104" i="115" s="1"/>
  <c r="E92" i="115"/>
  <c r="E91" i="115" s="1"/>
  <c r="E94" i="115"/>
  <c r="E95" i="115" s="1"/>
  <c r="E69" i="115" l="1"/>
  <c r="E71" i="115" s="1"/>
  <c r="E73" i="115" s="1"/>
  <c r="E75" i="115" s="1"/>
</calcChain>
</file>

<file path=xl/sharedStrings.xml><?xml version="1.0" encoding="utf-8"?>
<sst xmlns="http://schemas.openxmlformats.org/spreadsheetml/2006/main" count="840" uniqueCount="369">
  <si>
    <t>Hyperpure</t>
  </si>
  <si>
    <t>Contribution</t>
  </si>
  <si>
    <t>Adjusted EBITDA</t>
  </si>
  <si>
    <t>AOV (INR)</t>
  </si>
  <si>
    <t>FY22</t>
  </si>
  <si>
    <t>Quarterly data</t>
  </si>
  <si>
    <t>FY20</t>
  </si>
  <si>
    <t>FY21</t>
  </si>
  <si>
    <t>GOV</t>
  </si>
  <si>
    <t>Orders</t>
  </si>
  <si>
    <t>-</t>
  </si>
  <si>
    <t>Revenue</t>
  </si>
  <si>
    <t>Adjusted Revenue</t>
  </si>
  <si>
    <t>FY19</t>
  </si>
  <si>
    <t>YoY % change</t>
  </si>
  <si>
    <t>Hyperpure (B2B supplies)</t>
  </si>
  <si>
    <t>Company level</t>
  </si>
  <si>
    <t>as a % of Adjusted Revenue</t>
  </si>
  <si>
    <t>Orders (million)</t>
  </si>
  <si>
    <t>Average monthly active delivery partners ('000)</t>
  </si>
  <si>
    <t>Total Adjusted EBITDA</t>
  </si>
  <si>
    <t>Food delivery</t>
  </si>
  <si>
    <t>Q2FY22</t>
  </si>
  <si>
    <t>Q3FY22</t>
  </si>
  <si>
    <t>Q4FY22</t>
  </si>
  <si>
    <t>Average order value (AOV)</t>
  </si>
  <si>
    <t>Contribution as a % of GOV</t>
  </si>
  <si>
    <t>Annual data</t>
  </si>
  <si>
    <t>Average monthly transacting customers (million)</t>
  </si>
  <si>
    <t>Average monthly active food delivery restaurant partners ('000)</t>
  </si>
  <si>
    <t>Adjusted EBITDA as a % of GOV</t>
  </si>
  <si>
    <t>Monthly transacting customers</t>
  </si>
  <si>
    <t>INR billion, unless specified otherwise</t>
  </si>
  <si>
    <t>Total Adjusted Revenue</t>
  </si>
  <si>
    <t>Total Adjusted Revenue (ex- quick commerce)</t>
  </si>
  <si>
    <t>Total Adjusted EBITDA (ex- quick commerce)</t>
  </si>
  <si>
    <t>as a % of Adjusted Revenue (ex- quick commerce)</t>
  </si>
  <si>
    <t>Contribution as % of GOV</t>
  </si>
  <si>
    <t>Annual transacting customers (million)</t>
  </si>
  <si>
    <t xml:space="preserve">Adjusted Revenue </t>
  </si>
  <si>
    <t>INR billion, unless otherwise stated</t>
  </si>
  <si>
    <t>Revenue from operations</t>
  </si>
  <si>
    <t>Add: Customer delivery charges</t>
  </si>
  <si>
    <t>Term</t>
  </si>
  <si>
    <t>Description</t>
  </si>
  <si>
    <t>Food delivery business</t>
  </si>
  <si>
    <t>Refers to India food ordering and delivery business</t>
  </si>
  <si>
    <t>Monthly active delivery partners</t>
  </si>
  <si>
    <t>Gross order value (GOV)</t>
  </si>
  <si>
    <t>Unique delivery partners identified by their national identity proof who successfully delivered at least one Order in India in that month</t>
  </si>
  <si>
    <t>Monthly active food delivery restaurant partners</t>
  </si>
  <si>
    <t>Unique restaurant partners that received at least one Order in India in that month</t>
  </si>
  <si>
    <t>Number of unique transacting customers identified by customers’ mobile number that have placed at least one Order in India in that month</t>
  </si>
  <si>
    <t xml:space="preserve">Defined as all orders placed on the Blinkit marketplace platform in India, including canceled orders </t>
  </si>
  <si>
    <t>Defined as the number of unique transacting customers identified by the customers’ mobile number that have placed at least one Order in that month</t>
  </si>
  <si>
    <t>Q1FY23</t>
  </si>
  <si>
    <r>
      <t>Quick commerce</t>
    </r>
    <r>
      <rPr>
        <vertAlign val="superscript"/>
        <sz val="12"/>
        <color theme="1"/>
        <rFont val="Barlow"/>
      </rPr>
      <t>(1)</t>
    </r>
  </si>
  <si>
    <t>Quarterly reconciliation</t>
  </si>
  <si>
    <t>Annual reconciliation</t>
  </si>
  <si>
    <t>i) Adjusted Revenue</t>
  </si>
  <si>
    <t>i) Food delivery</t>
  </si>
  <si>
    <t>i) Hyperpure</t>
  </si>
  <si>
    <t>i) Quick commerce</t>
  </si>
  <si>
    <t>Notes:</t>
  </si>
  <si>
    <t xml:space="preserve">i) Adjusted Revenue </t>
  </si>
  <si>
    <t>S No.</t>
  </si>
  <si>
    <t>A. Quarterly data</t>
  </si>
  <si>
    <t>B. Annual data</t>
  </si>
  <si>
    <t>Table of contents</t>
  </si>
  <si>
    <t>A.</t>
  </si>
  <si>
    <t>B.</t>
  </si>
  <si>
    <t>C.</t>
  </si>
  <si>
    <t>D.</t>
  </si>
  <si>
    <t>Reconciliation appendix</t>
  </si>
  <si>
    <t>INR billion, unless otherwise mentioned</t>
  </si>
  <si>
    <t>Contribution margin (as a % of GOV)</t>
  </si>
  <si>
    <t>Adjusted EBITDA (as a % of GOV)</t>
  </si>
  <si>
    <t xml:space="preserve">Note: </t>
  </si>
  <si>
    <t>C. Reconciliation appendix - Adjusted Revenue and Adjusted EBITDA</t>
  </si>
  <si>
    <t>2) We have converted millions into single decimal billions and hence there could be some totalling anomalies in the numbers displayed above.</t>
  </si>
  <si>
    <t>KPI data book</t>
  </si>
  <si>
    <t>Sheet index</t>
  </si>
  <si>
    <t>Back to Table of contents</t>
  </si>
  <si>
    <t>1)</t>
  </si>
  <si>
    <t>2)</t>
  </si>
  <si>
    <t>3)</t>
  </si>
  <si>
    <t>4)</t>
  </si>
  <si>
    <t>1) Company level</t>
  </si>
  <si>
    <t>2) Food delivery</t>
  </si>
  <si>
    <t>3) Hyperpure</t>
  </si>
  <si>
    <t>Back to Top</t>
  </si>
  <si>
    <t>1) Quarterly reconciliation</t>
  </si>
  <si>
    <t>2) Annual reconciliation</t>
  </si>
  <si>
    <t>Index</t>
  </si>
  <si>
    <t>4) Quick commerce</t>
  </si>
  <si>
    <t>Q2FY23</t>
  </si>
  <si>
    <t>Q3FY23</t>
  </si>
  <si>
    <r>
      <t>1.42</t>
    </r>
    <r>
      <rPr>
        <vertAlign val="superscript"/>
        <sz val="12"/>
        <color rgb="FF000000"/>
        <rFont val="Barlow"/>
      </rPr>
      <t>(1)</t>
    </r>
  </si>
  <si>
    <r>
      <t>21.07</t>
    </r>
    <r>
      <rPr>
        <b/>
        <vertAlign val="superscript"/>
        <sz val="12"/>
        <color rgb="FF000000"/>
        <rFont val="Barlow"/>
      </rPr>
      <t>(1)</t>
    </r>
  </si>
  <si>
    <r>
      <t>-1.32</t>
    </r>
    <r>
      <rPr>
        <vertAlign val="superscript"/>
        <sz val="12"/>
        <color rgb="FF000000"/>
        <rFont val="Barlow"/>
      </rPr>
      <t>(1)</t>
    </r>
  </si>
  <si>
    <r>
      <t>-1.92</t>
    </r>
    <r>
      <rPr>
        <b/>
        <vertAlign val="superscript"/>
        <sz val="12"/>
        <color rgb="FF000000"/>
        <rFont val="Barlow"/>
      </rPr>
      <t>(1)</t>
    </r>
  </si>
  <si>
    <t>ii) Adjusted EBITDA</t>
  </si>
  <si>
    <t>Q4FY23</t>
  </si>
  <si>
    <t>FY23</t>
  </si>
  <si>
    <t>Quick commerce</t>
  </si>
  <si>
    <t>as a % of Adjusted Revenue (ex - quick commerce)</t>
  </si>
  <si>
    <t>1) Consolidation of Blinkit numbers in books of Zomato Limited is only from August 10, 2022 onwards</t>
  </si>
  <si>
    <t>GOV divided by number of Orders</t>
  </si>
  <si>
    <t>1) Up until Q1FY23, Adjusted EBITDA did not include the rental expenses on certain leases that are required to be capitalised as per Indian Accounting Standard 116 (Ind AS 116). From Q2FY23 onwards, we have included the actual rent paid for the period under such leases in the Adjusted EBITDA computation to reflect our cash loss / profit more appropriately. We have not reflected this change in the earlier quarters to avoid confusion.</t>
  </si>
  <si>
    <t>Q1FY24</t>
  </si>
  <si>
    <t>Note: Refer to the updated definition of Adjusted EBITDA (applicable from Q2FY23 onwards) as stated in the "Glossary" sheet.</t>
  </si>
  <si>
    <t>2) Refer to "Glossary" sheet for definitions relating to the Blinkit business.</t>
  </si>
  <si>
    <t>D. Glossary</t>
  </si>
  <si>
    <t>1) Consolidated</t>
  </si>
  <si>
    <t>All food delivery orders placed on our platform in India, including canceled orders</t>
  </si>
  <si>
    <t>Total monetary value of Orders at maximum retail price (“MRP”) of goods sold (except for instances where MRP is not applicable such as fruits and vegetables in which case final selling price is used instead of MRP), gross of any seller/ brand/ platform funded subsidies (excluding tips) (+) actual customer delivery charges paid (net of any discounts) (+) other charges such as handling fee, convenience fee, packaging fee (+) taxes</t>
  </si>
  <si>
    <t>Same as Revenue</t>
  </si>
  <si>
    <t>Total monetary value of goods sold on the Hyperpure platform (net of any returns/ discounts) (+) actual delivery charges paid (net of any discounts) (+) other revenue</t>
  </si>
  <si>
    <t>Glossary</t>
  </si>
  <si>
    <t>Consolidated</t>
  </si>
  <si>
    <t>Q2FY24</t>
  </si>
  <si>
    <t>Going-out</t>
  </si>
  <si>
    <t>Total GOV (B2C business)</t>
  </si>
  <si>
    <t>i) GOV (B2C business)</t>
  </si>
  <si>
    <r>
      <t>8.42</t>
    </r>
    <r>
      <rPr>
        <vertAlign val="superscript"/>
        <sz val="12"/>
        <color rgb="FF000000"/>
        <rFont val="Barlow"/>
      </rPr>
      <t>(1)</t>
    </r>
  </si>
  <si>
    <t>YoY % change (B2C business)</t>
  </si>
  <si>
    <t>YoY % change (Food delivery)</t>
  </si>
  <si>
    <t>5) Going-out</t>
  </si>
  <si>
    <t>i) Going-out</t>
  </si>
  <si>
    <t>Average GOV per day, per store</t>
  </si>
  <si>
    <t># of stores (as at end of period)</t>
  </si>
  <si>
    <t>Defined as commission and other charges (+) ad revenue (+) actual customer delivery charges net of discounts (-) store operations cost (including actual rent paid prior to any accounting adjustment for Ind AS 116) (-) last mile delivery costs (-) warehouses expenses (including actual rent paid prior to any accounting adjustment for Ind AS 116) (-) middle mile transportation costs (-) customer acquisition subsidies (-) wastage losses (-) customer refund cost (-) packaging cost (-) payment gateway charges (-) support cost (-) delivery partner recruitment and onboarding cost (-) cash on delivery handling (-) other miscellaneous costs</t>
  </si>
  <si>
    <t>Calculated as simple average of total GOV transacted on a particular day divided by total number of stores operational for the day, for that period</t>
  </si>
  <si>
    <t>as a % of GOV</t>
  </si>
  <si>
    <t>Defined as EBITDA (+) share-based payment expense (-) rental paid for the period pertaining to 'Ind AS 116 leases'</t>
  </si>
  <si>
    <t>Defined as Adjusted Revenue (-) last mile delivery cost (-) platform funded discounts (-) payment gateway charges (-) customer support and appeasement cost (-) customer &amp; restaurant partner refunds (-) delivery partner recruitment and onboarding cost (-) cash on delivery handling charges (-) other miscellaneous costs</t>
  </si>
  <si>
    <t>5)</t>
  </si>
  <si>
    <t>ii) Adjusted Revenue</t>
  </si>
  <si>
    <t>iii) Adjusted EBITDA</t>
  </si>
  <si>
    <r>
      <t>Going-out</t>
    </r>
    <r>
      <rPr>
        <vertAlign val="superscript"/>
        <sz val="12"/>
        <color theme="1"/>
        <rFont val="Barlow"/>
      </rPr>
      <t>(2)</t>
    </r>
  </si>
  <si>
    <t>1) Q1FY23 and Q2FY23 numbers shown above for Quick commerce are unaudited, MIS based numbers as received from Blinkit. Consolidation of Blinkit numbers in books of Zomato Limited is only from August 10, 2022 onwards (transaction closing date).</t>
  </si>
  <si>
    <t>Add: Other income</t>
  </si>
  <si>
    <t>Add: Rental paid pertaining to 'Ind AS 116 leases'</t>
  </si>
  <si>
    <t>Less: Depreciation &amp; amortization expense</t>
  </si>
  <si>
    <t>Less: Finance cost</t>
  </si>
  <si>
    <t>Less: ESOP expense</t>
  </si>
  <si>
    <t>Less: Exceptional items</t>
  </si>
  <si>
    <t>Less: Tax expense</t>
  </si>
  <si>
    <t>Profit / (loss for the period)</t>
  </si>
  <si>
    <t>Defined as Blinkit marketplace commission income (+) actual customer delivery charges (net of any discounts) (+) ad revenue (+) warehousing and ancillary services income (+) other charges paid by customers</t>
  </si>
  <si>
    <t>Q3FY24</t>
  </si>
  <si>
    <t>Average order value (AOV) (INR)</t>
  </si>
  <si>
    <t>Average GOV per day, per store (INR'000)</t>
  </si>
  <si>
    <t>Average monthly active riders ('000)</t>
  </si>
  <si>
    <t>YoY % change (Quick commerce)</t>
  </si>
  <si>
    <t>YoY % change (Going-out)</t>
  </si>
  <si>
    <t>Consolidated revenue from operations as per financials which includes food delivery Revenue (+) Hyperpure (B2B supplies) Revenue (+) Quick commerce Revenue (+) Going-out Revenue</t>
  </si>
  <si>
    <t>Defined as commission and other charges (+) ad revenue (+) platform fee and subscription revenue (net of discounts, credits and refunds other than free delivery) (+) restaurant &amp; delivery partner onboarding fee</t>
  </si>
  <si>
    <t>Q4FY24</t>
  </si>
  <si>
    <t>FY24</t>
  </si>
  <si>
    <t>Add: Platform fee paid in the food delivery business
           (that is not already included in revenue)</t>
  </si>
  <si>
    <t>4) Adjusted Revenue shown above does not include inter-segment revenue.</t>
  </si>
  <si>
    <t>5) There could be some totalling anomalies in the numbers displayed above due to the impact of rounding off.</t>
  </si>
  <si>
    <t>2) Refer to the updated definition of Adjusted EBITDA (applicable from Q2FY23 onwards) as stated in the "Glossary" sheet.</t>
  </si>
  <si>
    <t xml:space="preserve">3) Up until Q1FY23, Adjusted EBITDA did not include the rental expenses on certain leases that are required to be capitalised as per Indian Accounting Standard 116 (Ind AS 116). From Q2FY23 onwards, we have included the actual rent paid for the period under such leases in the Adjusted EBITDA computation to reflect our cash loss / profit more appropriately. We have not reflected this change in the earlier quarters. </t>
  </si>
  <si>
    <t>Defined as Revenue (+) actual customer delivery charges paid in the food delivery business (net of any discounts, including free delivery discounts on account of Zomato Gold program) (+) platform fee paid in the food delivery business (that is not already included in Revenue)</t>
  </si>
  <si>
    <t>Defined as consolidated EBITDA (+) share-based payment expense (-) rental paid for the period pertaining to 'Ind AS 116 leases'</t>
  </si>
  <si>
    <t>Total monetary value of Orders gross of any restaurant or platform funded discounts (excluding tips) (+) actual customer delivery charges paid (net of any discounts, including free delivery discounts on account of Zomato Gold program) (+) platform fee paid by the consumer (+) packaging charges (+) taxes</t>
  </si>
  <si>
    <t>1) Consolidation of Blinkit numbers in books of Zomato Limited is only from August 10, 2022 onwards (transaction closing date)</t>
  </si>
  <si>
    <t>3) Till FY23 (specifically till Q3FY23), there were two other sub-segments included in ‘Others’ - (i) revenue from food delivery services that we offered to Talabat in UAE which was a pass-through revenue (EBITDA neutral) and has been discontinued in Nov-22 and (ii) revenue from our Zomato Pro and Pro plus membership programs in India, which have been discontinued in FY23.</t>
  </si>
  <si>
    <t xml:space="preserve">2) Till FY23, ‘Others’ included (a) dining-out revenue in India and UAE, (b) revenue from Zomato Live that includes events like Zomaland and (c) other revenue. During FY24 (Q2FY24 onwards), we have started to report "Going-out" as a separate business segment which includes dining-out (India &amp; UAE) + Zomato Live. We have shown Going-out numbers for FY24 above for reference. </t>
  </si>
  <si>
    <r>
      <t>Others</t>
    </r>
    <r>
      <rPr>
        <vertAlign val="superscript"/>
        <sz val="12"/>
        <color theme="1"/>
        <rFont val="Barlow"/>
      </rPr>
      <t>(2,3)</t>
    </r>
  </si>
  <si>
    <t>4) Until FY22, we have been reporting “Unallocated Costs” as a separate cost head not attributable to any of the business segments. These costs included server and tech infrastructure costs, corporate salary costs and other corporate overheads. From FY23 onwards, we have allocated these costs to different business segments (basis logical assumptions) and have also reflected this change in prior years, i.e., FY21 and FY22, to make the FY23 numbers comparable across financial years. Further, up until Q1FY23, Adjusted EBITDA did not include the rental expenses on certain leases that are required to be capitalised as per Indian Accounting Standard 116 (Ind AS 116). From Q2FY23 onwards, we have included the actual rent paid for the period under such leases in the Adjusted EBITDA computation to reflect our cash loss / profit more appropriately.</t>
  </si>
  <si>
    <t>Q1FY25</t>
  </si>
  <si>
    <t xml:space="preserve"> Q2FY25 results</t>
  </si>
  <si>
    <t>Q2FY25</t>
  </si>
  <si>
    <t>1) From Q4FY24 onwards, we have changed the definition of Adjusted Revenue to include the entire amount of platform fee paid by the customer in the food delivery business. Until Q3FY24, Adjusted Revenue included only the net platform fee (platform fee received from customer less platform funded subsidies offered to the customer), as required under Ind AS 115. Accordingly, Q2FY24 and Q3FY24 Adjusted Revenue numbers have also been updated to reflect this change (there was no platform fee prior to Q2FY24).</t>
  </si>
  <si>
    <t>1) Q2FY23 Blinkit numbers are not fully comparable with numbers in subsequent quarters (Q3FY23 to Q4FY24) as Q2FY23 data consolidates Blinkit only for part of the quarter (~50 days) (transaction closed on August 10, 2022).</t>
  </si>
  <si>
    <r>
      <t>Going-out</t>
    </r>
    <r>
      <rPr>
        <vertAlign val="superscript"/>
        <sz val="12"/>
        <color theme="1"/>
        <rFont val="Barlow"/>
      </rPr>
      <t>(2,3)</t>
    </r>
  </si>
  <si>
    <t>4) From Q4FY24 onwards, we have changed the definition of Adjusted Revenue to include the entire amount of platform fee paid by the customer in the food delivery business. Until Q3FY24, Adjusted Revenue included only the net platform fee (platform fee received from customer less platform funded subsidies offered to the customer), as required under Ind AS 115. Accordingly, Q2FY24 and Q3FY24 Adjusted Revenue numbers have also been updated to reflect this change (there was no platform fee prior to Q2FY24).</t>
  </si>
  <si>
    <t>5) Adjusted Revenue shown above does not include inter-segment revenue.</t>
  </si>
  <si>
    <t>6) There could be some totalling anomalies in the numbers displayed above due to the impact of rounding off.</t>
  </si>
  <si>
    <t>3) Till Q1FY24, ‘Others’ included (a) dining-out revenue in India and UAE, (b) revenue from Zomato Live that includes events like Zomaland and (c) other revenue. From Q2FY24 onwards, we have started to report "Going-out" as a separate business segment which includes dining-out (India &amp; UAE) + Zomato Live. We have shown comparable Going-out numbers from Q2FY23 onwards for reference.</t>
  </si>
  <si>
    <r>
      <t>Others</t>
    </r>
    <r>
      <rPr>
        <vertAlign val="superscript"/>
        <sz val="12"/>
        <color theme="1"/>
        <rFont val="Barlow"/>
      </rPr>
      <t>(3)</t>
    </r>
  </si>
  <si>
    <t>1) From Q4FY24 onwards, we have changed the definition of Adjusted Revenue to include the entire amount of platform fee paid by the customer in the food delivery business. Until Q3FY24, Adjusted Revenue included only the net platform fee (platform fee received from customer less platform funded subsidies offered to the customer), as required under Ind AS 115. Accordingly, FY24 Adjusted Revenue numbers have also been updated to reflect this change (there was no platform fee prior to FY24).</t>
  </si>
  <si>
    <t>Defined as total monetary value of transactions (gross of cancellations) across our dining-out and entertainment ticketing (movies, sports and events) platforms gross of all discounts (+) convenience fee &amp; other charges (+) taxes (as applicable)</t>
  </si>
  <si>
    <t>Defined as commission charged from restaurant partners on dining-out bills paid through the Zomato app in India and UAE (+) subscription revenue for Zomato Gold in UAE for access to dining-out offers in UAE (+) ad revenue (+) platform share of convenience fee collected from customers (+) take-rate earned from merchants and third-party event organizers on sale of tickets (+) ticket sale collections for events managed by Zomato (e.g., Zomaland) (+) sponsorship and event marketing revenue (+) event production and management fee earned from co-produced events (+) revenue for providing on-ground event management services (+) rentals and commission charged on sale of food &amp; other products from merchants participating in Zomato- managed live events (+) cancellation fee and other charges</t>
  </si>
  <si>
    <t>Click here to access the Q2FY25 Shareholders' letter and results</t>
  </si>
  <si>
    <t>Defined as Revenue (+) actual customer delivery charges paid (net of any discounts, including free delivery discounts on account of Zomato Gold program) (+) platform fee that is not already included in Revenue on account of Ind AS 115 adjustment</t>
  </si>
  <si>
    <t>2) In Q2FY25, Going-out includes data for the acquired entertainment ticketing business from 27-Aug-24 onwards (transaction closing date) and hence does not capture the full quarter numbers for the acquired business. Due to this acquisition, the numbers for Q2FY25 are not directly comparable with previous quarters. Like-for-like numbers (excluding the impact of the acquired business) in Q2FY25 for (a) GOV growth are 139% YoY (29% QoQ), (b) Revenue growth are 155% YoY (32% QoQ) and (c) improvement in Adjusted EBITDA are INR 12 crore YoY (INR 3 crore QoQ) .</t>
  </si>
  <si>
    <t>1) In Q2FY25, Going-out includes data for the acquired entertainment ticketing business from 27-Aug-24 onwards (transaction closing date) and hence does not capture the full quarter numbers for the acquired business. Due to this acquisition, the numbers for Q2FY25 are not directly comparable with previous quarters. Like-for-like numbers (excluding the impact of the acquired business) in Q2FY25 for (a) GOV growth are 139% YoY (29% QoQ), (b) Revenue growth are 155% YoY (32% QoQ) and (c) improvement in Adjusted EBITDA are INR 12 crore YoY (INR 3 crore QoQ) .</t>
  </si>
  <si>
    <t>2) Refer to "Glossary" sheet for definitions relating to the Going-out business.</t>
  </si>
  <si>
    <t>4) Provision for income tax has been created on other income (primarily being treasury income) post adjustment of unabsorbed depreciation permitted under the Income Tax Act. No provision is created on business income since that is being set off against the carried forward losses from the past years.</t>
  </si>
  <si>
    <t>MTU</t>
  </si>
  <si>
    <t>GOV/MTU</t>
  </si>
  <si>
    <t>Instamart</t>
  </si>
  <si>
    <t>Blinkit</t>
  </si>
  <si>
    <t xml:space="preserve">Zepto </t>
  </si>
  <si>
    <t>GMV</t>
  </si>
  <si>
    <t xml:space="preserve">Based on motilal oswal's report of </t>
  </si>
  <si>
    <t>$ Billion</t>
  </si>
  <si>
    <t>Take rate</t>
  </si>
  <si>
    <t>Market share</t>
  </si>
  <si>
    <t xml:space="preserve">In a scenario where Amazon and Flipart enter and scale successfully and market consolidates between </t>
  </si>
  <si>
    <t>BB Now</t>
  </si>
  <si>
    <t>Link</t>
  </si>
  <si>
    <t>Market share split</t>
  </si>
  <si>
    <t>Reasonable article on how much zepto's revenues actually are because of their reportings structure</t>
  </si>
  <si>
    <t>For bb now, did not find exact take rate hence taken sector avg between 15 and 20%</t>
  </si>
  <si>
    <t>Market share doesn’t inclue Flipkarts minutes as they are located in very areas of Mumbai and Bangalore</t>
  </si>
  <si>
    <t>Minutes</t>
  </si>
  <si>
    <t>Dark stores</t>
  </si>
  <si>
    <t>Dark stores targets link</t>
  </si>
  <si>
    <t>BB now plans 800 dark stores by 2025 and has higher AOV compared to blinkit at Rs 700</t>
  </si>
  <si>
    <t xml:space="preserve">Flipkart scaling quickly </t>
  </si>
  <si>
    <t>it took blinkit and zepto approx 3 years to reach over a 1000 crores in revenues with all the resources</t>
  </si>
  <si>
    <t>Backing and top entrepreneurs</t>
  </si>
  <si>
    <t>players and they themselves plan to double their dark stores every year</t>
  </si>
  <si>
    <t>Reliance plays catchup</t>
  </si>
  <si>
    <t>Reliance</t>
  </si>
  <si>
    <t>NA</t>
  </si>
  <si>
    <t>Projections</t>
  </si>
  <si>
    <t>Revenue Growth</t>
  </si>
  <si>
    <t>EBITDA</t>
  </si>
  <si>
    <t>EBITDA Margin</t>
  </si>
  <si>
    <t>Unlevered Net Cash Flow</t>
  </si>
  <si>
    <t>Growth</t>
  </si>
  <si>
    <t>Discounting Periods</t>
  </si>
  <si>
    <t>Discounted Cash Flow</t>
  </si>
  <si>
    <t>WACC</t>
  </si>
  <si>
    <t>Total Debt</t>
  </si>
  <si>
    <t>Perpetuity Growth Rate</t>
  </si>
  <si>
    <t>Less: Cash</t>
  </si>
  <si>
    <t>Terminal Value</t>
  </si>
  <si>
    <t>Net Debt</t>
  </si>
  <si>
    <t>PV of Terminal Value</t>
  </si>
  <si>
    <t>PV of Cash Flows</t>
  </si>
  <si>
    <t>Enterprise Value</t>
  </si>
  <si>
    <t>Equity Value</t>
  </si>
  <si>
    <t>Equity Value Sensitivity to Discount Rate and Terminal</t>
  </si>
  <si>
    <t>A</t>
  </si>
  <si>
    <t>+</t>
  </si>
  <si>
    <t>B</t>
  </si>
  <si>
    <t>=</t>
  </si>
  <si>
    <t>C</t>
  </si>
  <si>
    <t>Discounted</t>
  </si>
  <si>
    <t>PV of Terminal Value as a Perpetual Growth Rate of</t>
  </si>
  <si>
    <t>Cash Flows</t>
  </si>
  <si>
    <t xml:space="preserve">Discount </t>
  </si>
  <si>
    <t>Rate</t>
  </si>
  <si>
    <t>D</t>
  </si>
  <si>
    <t>Terminal Value as a % of Enterprise Value</t>
  </si>
  <si>
    <t>Implied Revenue Multiple</t>
  </si>
  <si>
    <t>Implied EBITDA Multiple</t>
  </si>
  <si>
    <t>Beta</t>
  </si>
  <si>
    <t>Total revenue</t>
  </si>
  <si>
    <t>Growth rate of Quick commerce</t>
  </si>
  <si>
    <t xml:space="preserve">Market share of Blinkit </t>
  </si>
  <si>
    <t>Blinkit's GOV</t>
  </si>
  <si>
    <t>GOV quick commerce market (inr Billion)</t>
  </si>
  <si>
    <t>District GOV</t>
  </si>
  <si>
    <t>Zomato DCF - Perprtuity Growth</t>
  </si>
  <si>
    <t>(In INR billions, except per-share data)</t>
  </si>
  <si>
    <t>Outstanding shares (billions)</t>
  </si>
  <si>
    <t>Price per share</t>
  </si>
  <si>
    <t>RF</t>
  </si>
  <si>
    <t>Market return</t>
  </si>
  <si>
    <t>Ke</t>
  </si>
  <si>
    <t>----&gt; Money control</t>
  </si>
  <si>
    <t>----&gt; Investing.com</t>
  </si>
  <si>
    <t>Wacc</t>
  </si>
  <si>
    <t>Others</t>
  </si>
  <si>
    <t>Taxes</t>
  </si>
  <si>
    <t xml:space="preserve">Less: </t>
  </si>
  <si>
    <t>Expansion basis is that the event ticketing has a higher take rate hence the blended take out rate will expand significantly</t>
  </si>
  <si>
    <t>Slow Margin expansion for going out segment, what remains to be seen is how Zomato rolls out event ticketing and deals with artist fees etc.</t>
  </si>
  <si>
    <t>Zomato says that they expect Hyperpure to be as large or bigger than food delivery, Hyperpure is yet to tap in 91% unorganised market of grocery procurement</t>
  </si>
  <si>
    <t>with no major organised competitor in sight. Also, QoQ for H1FY25, revenues have doubled, can expect this growth rate for high growth period of first three years</t>
  </si>
  <si>
    <t>Based on motilal oswal's report of quick commerce</t>
  </si>
  <si>
    <t>----&gt; As of Sep 2024</t>
  </si>
  <si>
    <t>Perpetuty growth rate</t>
  </si>
  <si>
    <t>----&gt; Nifty 3 year CAGR return as of 17 Jan, 2025</t>
  </si>
  <si>
    <t>District' Take rate</t>
  </si>
  <si>
    <t>Expecting a high growth rate in the initial three years, once it becomes a more mature segment, it matches bookmyshow's current growth rate</t>
  </si>
  <si>
    <t>~2.5% initial margin expansion because of operational efficiency in high growth phase, expect margin stabilization post that because of minimum wages rise for delivery executives</t>
  </si>
  <si>
    <t>Competition in 15 minute delivery service may also hinder margin expansion hence kept stable at around 15.0%</t>
  </si>
  <si>
    <t>Contribution to EBITDA</t>
  </si>
  <si>
    <t>Contribution to revenue</t>
  </si>
  <si>
    <t>Will customers flock to Minutes, yes! But it will take atleast 3 years for minutes to come close to incumbent</t>
  </si>
  <si>
    <t>Sheet Index</t>
  </si>
  <si>
    <t>1) Swiggy Platform</t>
  </si>
  <si>
    <t>INR bn, unless specified otherwise</t>
  </si>
  <si>
    <t>B2C GOV</t>
  </si>
  <si>
    <t>YoY</t>
  </si>
  <si>
    <t>QoQ</t>
  </si>
  <si>
    <t>B2C Adjusted EBITDA</t>
  </si>
  <si>
    <t>B2C Adjusted EBITDA (as a % of GOV)</t>
  </si>
  <si>
    <t>Consolidated Adjusted Revenue</t>
  </si>
  <si>
    <t>Consolidated Adjusted EBITDA</t>
  </si>
  <si>
    <t>Average Monthly Transacting Users (million)</t>
  </si>
  <si>
    <t>Average Monthly Transacting Delivery Partners (#)</t>
  </si>
  <si>
    <t>Platform Frequency (#)</t>
  </si>
  <si>
    <t>2) Food Delivery</t>
  </si>
  <si>
    <t>Contribution Margin (as a % of GOV)</t>
  </si>
  <si>
    <t>Average Monthly Transacting Restaurant Partners (#)</t>
  </si>
  <si>
    <t>3) Quick Commerce</t>
  </si>
  <si>
    <t>Active Dark Stores (#)</t>
  </si>
  <si>
    <t>Orders/dark store/day (#)</t>
  </si>
  <si>
    <t xml:space="preserve">Active Dark store area (million Sq ft) </t>
  </si>
  <si>
    <t>Gov</t>
  </si>
  <si>
    <t>4) Out-of-home Consumption</t>
  </si>
  <si>
    <t xml:space="preserve">Contribution </t>
  </si>
  <si>
    <t>Average Monthly Active Restaurants (#)</t>
  </si>
  <si>
    <t>5) Supply Chain and Distribution</t>
  </si>
  <si>
    <t>6) Platform Innovations</t>
  </si>
  <si>
    <t>-------------&gt;</t>
  </si>
  <si>
    <t>of revenues as they expand dark stores for quick commerce till FY26</t>
  </si>
  <si>
    <t>Transition to mature market</t>
  </si>
  <si>
    <t>Rev growth rate</t>
  </si>
  <si>
    <t xml:space="preserve">Slight increase in take rate over the forecast period </t>
  </si>
  <si>
    <t>Post FY29, not the exact data about how this market will expand, hence lowered the GOV growth rate</t>
  </si>
  <si>
    <t>Swiggy- Bain report expects food delivery to grow at 18% CAGR over the next 5 years, FY24 was a relatively slow year</t>
  </si>
  <si>
    <t xml:space="preserve">With the entrance of Flipkart and Reliance expect to lose atleast 1.0% market share annually (conservative measure) as the market consolidates over the next 5 years </t>
  </si>
  <si>
    <t xml:space="preserve">Dining and reservation take rate is less as it is a commoditised business in India </t>
  </si>
  <si>
    <t>Zomato infuses 500 crorers in blinkit</t>
  </si>
  <si>
    <t>GOV food delivery (inr Billion)</t>
  </si>
  <si>
    <t>Growth rate of GOV</t>
  </si>
  <si>
    <t>Q2 FY25 earnings call</t>
  </si>
  <si>
    <t>(Mgmt expects 4-5% adj EBITDA margin over the next few quarters for QC - As of Q2 FY25, refer snip on right)</t>
  </si>
  <si>
    <t>(Have made assumptions based on historic data , mgmt not sure yet on how they see District grows going forward)</t>
  </si>
  <si>
    <t>The picture would become clear as ticketing segment becomes more active for the concerts/events in FY26</t>
  </si>
  <si>
    <t>Till FY2027, as Blinkit expands to 2000 dark stores, we might see them operating at break even as they prioritise growth, Post FY27 expand EBITDA expansion</t>
  </si>
  <si>
    <t xml:space="preserve">Given Blinkit'S has high AOV, user retention and operational efficiency, EBITDA margins could stabilise at 9-10% in long run </t>
  </si>
  <si>
    <t>GOV Growth rate</t>
  </si>
  <si>
    <t>Depreiciation and amortisation</t>
  </si>
  <si>
    <t>EBIT</t>
  </si>
  <si>
    <t>(+) non cash exp: D&amp;A</t>
  </si>
  <si>
    <t>(-) Change in Working Capital Requirement</t>
  </si>
  <si>
    <t xml:space="preserve">Tax rate </t>
  </si>
  <si>
    <t>EBIT Margin</t>
  </si>
  <si>
    <t>Net operating profit after tax</t>
  </si>
  <si>
    <t>Depriciation and amotisation expense of FY24 was Inr 5 billion, incremented D&amp;A by 5% yoy</t>
  </si>
  <si>
    <t>Cost of setting up a micro dark store 3000 - 5000 sq ft costs about 15 Lakhs)</t>
  </si>
  <si>
    <t>Usually take 2.0-3.0% for matured companies, since zomato is in growth stage taken 4.0%</t>
  </si>
  <si>
    <t>Interest exp</t>
  </si>
  <si>
    <t>Total debt</t>
  </si>
  <si>
    <t>Tax rate</t>
  </si>
  <si>
    <t>Kd pre tax</t>
  </si>
  <si>
    <t>Kd post tax</t>
  </si>
  <si>
    <t>Share price (17 Jan)</t>
  </si>
  <si>
    <t>Market value of equity</t>
  </si>
  <si>
    <t>Market value of debt</t>
  </si>
  <si>
    <t>Premium / (Discount to current price)</t>
  </si>
  <si>
    <t>Interest expense</t>
  </si>
  <si>
    <t>Zomato has occasionally utilized debt financing, it has predominantly relied on equity funding and currently operates without any debt, hence assumed interest expense as minimal</t>
  </si>
  <si>
    <t>(-) Fixed Capital Investments</t>
  </si>
  <si>
    <t>Risk premiums*</t>
  </si>
  <si>
    <t>Blinkit's GOV growth rate</t>
  </si>
  <si>
    <t>Q3FY25</t>
  </si>
  <si>
    <t>Q4FY25</t>
  </si>
  <si>
    <t>mentioned by CFO in Q3 FY25 earnings that they expect GOV to expand by atleast 100% till FY26 (Refer pic on the right)</t>
  </si>
  <si>
    <t>Terminal years</t>
  </si>
  <si>
    <t>Consolidation</t>
  </si>
  <si>
    <t>HSBC projects quick commerce to grow by 70% over the next few years</t>
  </si>
  <si>
    <t>Management has not given any guidance on what happens after 2000 stores (earnings call Q3 FY25)</t>
  </si>
  <si>
    <t>Forecasted EPS</t>
  </si>
  <si>
    <t>From -4.0% in FY24 to almost break even by mid FY25, expect Hyperpure to expand on margins in the next 5 years, took Sysco global as a peer to lay down EBITDA expansion path</t>
  </si>
  <si>
    <t xml:space="preserve">* Have added 0.25% risk premiums "each "due to uncertainty in highly competitive quick commerce sector, unsurity of growth rate of hyperpure over 5 years, District's unproven business model </t>
  </si>
  <si>
    <t xml:space="preserve">and a probability that the food delivery business won't be able to sustain 20%+ GOV growth rate over the next 5 years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</si>
</sst>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43" formatCode="_ * #,##0.00_ ;_ * \-#,##0.00_ ;_ * &quot;-&quot;??_ ;_ @_ "/>
    <numFmt numFmtId="164" formatCode="_(* #,##0.00_);_(* \(#,##0.00\);_(* &quot;-&quot;??_);_(@_)"/>
    <numFmt numFmtId="165" formatCode="#,##0.0"/>
    <numFmt numFmtId="166" formatCode="0.0%"/>
    <numFmt numFmtId="167" formatCode="_-* #,##0.00_-;\-* #,##0.00_-;_-* &quot;-&quot;??_-;_-@_-"/>
    <numFmt numFmtId="168" formatCode="&quot;$&quot;_(#,##0.00_);&quot;$&quot;\(#,##0.00\);&quot;$&quot;_(0.00_);@_)"/>
    <numFmt numFmtId="169" formatCode="#,##0.00_);\(#,##0.00\);0.00_);@_)"/>
    <numFmt numFmtId="170" formatCode="#,##0.0_);\(#,##0.0\);#,##0.0_);@_)"/>
    <numFmt numFmtId="171" formatCode=";;"/>
    <numFmt numFmtId="172" formatCode="0.0"/>
    <numFmt numFmtId="173" formatCode="&quot;FY&quot;General"/>
    <numFmt numFmtId="174" formatCode="General&quot;P&quot;"/>
    <numFmt numFmtId="175" formatCode="#,##0.0_);\(#,##0.0\);\-\ "/>
    <numFmt numFmtId="176" formatCode="0.0%_);\(0.0%\)"/>
    <numFmt numFmtId="177" formatCode="#,##0.0_);\(#,##0.0\)"/>
    <numFmt numFmtId="178" formatCode="#,##0.0000000000000_);\(#,##0.0000000000000\)"/>
    <numFmt numFmtId="179" formatCode=";;;"/>
    <numFmt numFmtId="180" formatCode="0.0\x_);\(0.0\x\);\-\ "/>
    <numFmt numFmtId="181" formatCode="General&quot;A&quot;"/>
    <numFmt numFmtId="182" formatCode="#,##0.000"/>
    <numFmt numFmtId="183" formatCode="#,##0.00_);\(#,##0.00\)"/>
    <numFmt numFmtId="184" formatCode="_ * #,##0.0_ ;_ * \-#,##0.0_ ;_ * &quot;-&quot;??_ ;_ @_ "/>
  </numFmts>
  <fonts count="85" x14ac:knownFonts="1">
    <font>
      <sz val="11"/>
      <color theme="1"/>
      <name val="Calibri"/>
      <family val="2"/>
      <scheme val="minor"/>
    </font>
    <font>
      <sz val="11"/>
      <color theme="1"/>
      <name val="Calibri"/>
      <family val="2"/>
      <scheme val="minor"/>
    </font>
    <font>
      <b/>
      <sz val="10"/>
      <color rgb="FF00355F"/>
      <name val="Arial"/>
      <family val="2"/>
    </font>
    <font>
      <sz val="12"/>
      <color theme="1"/>
      <name val="Calibri"/>
      <family val="2"/>
      <scheme val="minor"/>
    </font>
    <font>
      <u/>
      <sz val="12"/>
      <color theme="10"/>
      <name val="Calibri"/>
      <family val="2"/>
      <scheme val="minor"/>
    </font>
    <font>
      <sz val="11"/>
      <color rgb="FF000000"/>
      <name val="Calibri"/>
      <family val="2"/>
    </font>
    <font>
      <sz val="10"/>
      <color rgb="FF000000"/>
      <name val="Arial"/>
      <family val="2"/>
    </font>
    <font>
      <sz val="12"/>
      <color theme="1"/>
      <name val="Calibri"/>
      <family val="2"/>
      <charset val="204"/>
      <scheme val="minor"/>
    </font>
    <font>
      <sz val="11"/>
      <color theme="1"/>
      <name val="Barlow"/>
    </font>
    <font>
      <sz val="11"/>
      <color indexed="8"/>
      <name val="Calibri"/>
      <family val="2"/>
    </font>
    <font>
      <sz val="10"/>
      <color indexed="8"/>
      <name val="MS Sans Serif"/>
    </font>
    <font>
      <sz val="10"/>
      <name val="Arial"/>
      <family val="2"/>
    </font>
    <font>
      <sz val="11"/>
      <color rgb="FF000000"/>
      <name val="Calibri"/>
      <family val="2"/>
      <charset val="204"/>
    </font>
    <font>
      <b/>
      <sz val="26"/>
      <color theme="0"/>
      <name val="Barlow"/>
    </font>
    <font>
      <i/>
      <sz val="10"/>
      <color theme="1"/>
      <name val="Barlow"/>
    </font>
    <font>
      <sz val="11"/>
      <color rgb="FF000000"/>
      <name val="Barlow"/>
    </font>
    <font>
      <i/>
      <sz val="11"/>
      <color theme="1"/>
      <name val="Barlow"/>
    </font>
    <font>
      <i/>
      <sz val="11"/>
      <color rgb="FF000000"/>
      <name val="Barlow"/>
    </font>
    <font>
      <sz val="12"/>
      <color theme="1"/>
      <name val="Barlow"/>
    </font>
    <font>
      <b/>
      <sz val="12"/>
      <color rgb="FFBF2938"/>
      <name val="Barlow"/>
    </font>
    <font>
      <i/>
      <sz val="12"/>
      <color rgb="FFBF2938"/>
      <name val="Barlow"/>
    </font>
    <font>
      <sz val="12"/>
      <color rgb="FF000000"/>
      <name val="Barlow"/>
    </font>
    <font>
      <i/>
      <sz val="12"/>
      <color theme="1"/>
      <name val="Barlow"/>
    </font>
    <font>
      <i/>
      <sz val="12"/>
      <color rgb="FF000000"/>
      <name val="Barlow"/>
    </font>
    <font>
      <b/>
      <sz val="12"/>
      <color theme="1"/>
      <name val="Barlow"/>
    </font>
    <font>
      <b/>
      <sz val="12"/>
      <color rgb="FF000000"/>
      <name val="Barlow"/>
    </font>
    <font>
      <sz val="12"/>
      <color rgb="FFBF2938"/>
      <name val="Barlow"/>
    </font>
    <font>
      <vertAlign val="superscript"/>
      <sz val="12"/>
      <color theme="1"/>
      <name val="Barlow"/>
    </font>
    <font>
      <sz val="9"/>
      <color rgb="FF999999"/>
      <name val="Barlow"/>
    </font>
    <font>
      <b/>
      <sz val="10"/>
      <color rgb="FFBF2938"/>
      <name val="Barlow"/>
    </font>
    <font>
      <b/>
      <sz val="10"/>
      <name val="Barlow"/>
    </font>
    <font>
      <u/>
      <sz val="11"/>
      <color theme="10"/>
      <name val="Calibri"/>
      <family val="2"/>
      <scheme val="minor"/>
    </font>
    <font>
      <b/>
      <sz val="14"/>
      <color theme="1"/>
      <name val="Barlow"/>
    </font>
    <font>
      <sz val="10"/>
      <color theme="1"/>
      <name val="Barlow"/>
    </font>
    <font>
      <sz val="14"/>
      <color theme="1"/>
      <name val="Barlow"/>
    </font>
    <font>
      <sz val="14"/>
      <color rgb="FF0563C1"/>
      <name val="Barlow"/>
    </font>
    <font>
      <sz val="14"/>
      <color theme="10"/>
      <name val="Barlow"/>
    </font>
    <font>
      <b/>
      <sz val="22"/>
      <color theme="1"/>
      <name val="Barlow"/>
    </font>
    <font>
      <i/>
      <u/>
      <sz val="10"/>
      <color theme="10"/>
      <name val="Barlow"/>
    </font>
    <font>
      <sz val="12"/>
      <color rgb="FF0563C1"/>
      <name val="Barlow"/>
    </font>
    <font>
      <sz val="12"/>
      <color theme="0"/>
      <name val="Barlow"/>
    </font>
    <font>
      <vertAlign val="superscript"/>
      <sz val="12"/>
      <color rgb="FF000000"/>
      <name val="Barlow"/>
    </font>
    <font>
      <b/>
      <vertAlign val="superscript"/>
      <sz val="12"/>
      <color rgb="FF000000"/>
      <name val="Barlow"/>
    </font>
    <font>
      <i/>
      <sz val="11"/>
      <color rgb="FFFF0000"/>
      <name val="Barlow"/>
    </font>
    <font>
      <i/>
      <sz val="11"/>
      <color rgb="FFC00000"/>
      <name val="Barlow"/>
    </font>
    <font>
      <b/>
      <sz val="11"/>
      <color theme="1"/>
      <name val="Barlow"/>
    </font>
    <font>
      <i/>
      <sz val="10"/>
      <name val="Barlow"/>
    </font>
    <font>
      <b/>
      <sz val="48"/>
      <color rgb="FFBF2938"/>
      <name val="Barlow"/>
    </font>
    <font>
      <b/>
      <i/>
      <sz val="12"/>
      <color theme="1"/>
      <name val="Barlow"/>
    </font>
    <font>
      <b/>
      <i/>
      <sz val="12"/>
      <color rgb="FF000000"/>
      <name val="Barlow"/>
    </font>
    <font>
      <i/>
      <sz val="11"/>
      <color rgb="FFC00000"/>
      <name val="Calibri"/>
      <family val="2"/>
      <scheme val="minor"/>
    </font>
    <font>
      <b/>
      <sz val="11"/>
      <color theme="1"/>
      <name val="Calibri"/>
      <family val="2"/>
      <scheme val="minor"/>
    </font>
    <font>
      <i/>
      <sz val="11"/>
      <color theme="1"/>
      <name val="Calibri"/>
      <family val="2"/>
      <scheme val="minor"/>
    </font>
    <font>
      <i/>
      <sz val="11"/>
      <color indexed="17"/>
      <name val="Calibri"/>
      <family val="2"/>
      <scheme val="minor"/>
    </font>
    <font>
      <b/>
      <sz val="11"/>
      <color indexed="9"/>
      <name val="Calibri"/>
      <family val="2"/>
      <scheme val="minor"/>
    </font>
    <font>
      <sz val="11"/>
      <color indexed="17"/>
      <name val="Calibri"/>
      <family val="2"/>
      <scheme val="minor"/>
    </font>
    <font>
      <sz val="11"/>
      <color indexed="12"/>
      <name val="Calibri"/>
      <family val="2"/>
      <scheme val="minor"/>
    </font>
    <font>
      <sz val="11"/>
      <color indexed="10"/>
      <name val="Calibri"/>
      <family val="2"/>
      <scheme val="minor"/>
    </font>
    <font>
      <sz val="11"/>
      <color rgb="FF000000"/>
      <name val="Calibri"/>
      <family val="2"/>
      <scheme val="minor"/>
    </font>
    <font>
      <i/>
      <sz val="11"/>
      <color rgb="FF000000"/>
      <name val="Calibri"/>
      <family val="2"/>
      <scheme val="minor"/>
    </font>
    <font>
      <b/>
      <sz val="11"/>
      <color indexed="17"/>
      <name val="Calibri"/>
      <family val="2"/>
      <scheme val="minor"/>
    </font>
    <font>
      <i/>
      <sz val="11"/>
      <color indexed="12"/>
      <name val="Calibri"/>
      <family val="2"/>
      <scheme val="minor"/>
    </font>
    <font>
      <sz val="11"/>
      <name val="Calibri"/>
      <family val="2"/>
      <scheme val="minor"/>
    </font>
    <font>
      <sz val="10"/>
      <color rgb="FF000000"/>
      <name val="Calibri"/>
      <family val="2"/>
      <scheme val="minor"/>
    </font>
    <font>
      <b/>
      <sz val="24"/>
      <color rgb="FFFFFFFF"/>
      <name val="Arial"/>
      <family val="2"/>
    </font>
    <font>
      <b/>
      <sz val="24"/>
      <color theme="0"/>
      <name val="Arial"/>
      <family val="2"/>
    </font>
    <font>
      <b/>
      <sz val="12"/>
      <color rgb="FF000000"/>
      <name val="Arial"/>
      <family val="2"/>
    </font>
    <font>
      <b/>
      <sz val="12"/>
      <color theme="8"/>
      <name val="Arial"/>
      <family val="2"/>
    </font>
    <font>
      <i/>
      <sz val="11"/>
      <color theme="8"/>
      <name val="Arial"/>
      <family val="2"/>
    </font>
    <font>
      <b/>
      <sz val="11"/>
      <color theme="8"/>
      <name val="Arial"/>
      <family val="2"/>
    </font>
    <font>
      <sz val="11"/>
      <color rgb="FF000000"/>
      <name val="Arial"/>
      <family val="2"/>
    </font>
    <font>
      <b/>
      <sz val="10"/>
      <color rgb="FF000000"/>
      <name val="Arial"/>
      <family val="2"/>
    </font>
    <font>
      <i/>
      <sz val="10"/>
      <color rgb="FF000000"/>
      <name val="Arial"/>
      <family val="2"/>
    </font>
    <font>
      <i/>
      <sz val="11"/>
      <color rgb="FF000000"/>
      <name val="Arial"/>
      <family val="2"/>
    </font>
    <font>
      <sz val="12"/>
      <color theme="4"/>
      <name val="Arial"/>
      <family val="2"/>
    </font>
    <font>
      <b/>
      <sz val="11"/>
      <color rgb="FF000000"/>
      <name val="Arial"/>
      <family val="2"/>
    </font>
    <font>
      <b/>
      <i/>
      <sz val="11"/>
      <color rgb="FF000000"/>
      <name val="Arial"/>
      <family val="2"/>
    </font>
    <font>
      <sz val="11"/>
      <color theme="1"/>
      <name val="Arial"/>
      <family val="2"/>
    </font>
    <font>
      <sz val="10"/>
      <color rgb="FFFFFFFF"/>
      <name val="Calibri"/>
      <family val="2"/>
      <scheme val="minor"/>
    </font>
    <font>
      <sz val="10"/>
      <color rgb="FFFFFFFF"/>
      <name val="Arial"/>
      <family val="2"/>
    </font>
    <font>
      <i/>
      <sz val="11"/>
      <name val="Calibri"/>
      <family val="2"/>
      <scheme val="minor"/>
    </font>
    <font>
      <b/>
      <sz val="11"/>
      <name val="Calibri"/>
      <family val="2"/>
      <scheme val="minor"/>
    </font>
    <font>
      <b/>
      <i/>
      <sz val="11"/>
      <color theme="1"/>
      <name val="Calibri"/>
      <family val="2"/>
      <scheme val="minor"/>
    </font>
    <font>
      <b/>
      <sz val="11"/>
      <color rgb="FF000000"/>
      <name val="Calibri"/>
      <family val="2"/>
      <scheme val="minor"/>
    </font>
    <font>
      <sz val="12"/>
      <name val="Barlow"/>
    </font>
  </fonts>
  <fills count="10">
    <fill>
      <patternFill patternType="none"/>
    </fill>
    <fill>
      <patternFill patternType="gray125"/>
    </fill>
    <fill>
      <patternFill patternType="solid">
        <fgColor rgb="FFBF2938"/>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indexed="8"/>
        <bgColor indexed="64"/>
      </patternFill>
    </fill>
    <fill>
      <patternFill patternType="solid">
        <fgColor theme="2"/>
        <bgColor indexed="64"/>
      </patternFill>
    </fill>
    <fill>
      <patternFill patternType="solid">
        <fgColor theme="8"/>
        <bgColor theme="8"/>
      </patternFill>
    </fill>
    <fill>
      <patternFill patternType="solid">
        <fgColor rgb="FFFFFFFF"/>
        <bgColor rgb="FFFFFFFF"/>
      </patternFill>
    </fill>
  </fills>
  <borders count="37">
    <border>
      <left/>
      <right/>
      <top/>
      <bottom/>
      <diagonal/>
    </border>
    <border>
      <left/>
      <right/>
      <top/>
      <bottom style="medium">
        <color rgb="FF00355F"/>
      </bottom>
      <diagonal/>
    </border>
    <border>
      <left/>
      <right/>
      <top/>
      <bottom style="medium">
        <color rgb="FFBF2938"/>
      </bottom>
      <diagonal/>
    </border>
    <border>
      <left/>
      <right/>
      <top/>
      <bottom style="hair">
        <color theme="1"/>
      </bottom>
      <diagonal/>
    </border>
    <border>
      <left/>
      <right/>
      <top style="mediumDashed">
        <color theme="0" tint="-0.249977111117893"/>
      </top>
      <bottom style="mediumDashed">
        <color theme="0" tint="-0.249977111117893"/>
      </bottom>
      <diagonal/>
    </border>
    <border>
      <left/>
      <right style="medium">
        <color rgb="FF0563C1"/>
      </right>
      <top/>
      <bottom/>
      <diagonal/>
    </border>
    <border>
      <left/>
      <right style="medium">
        <color rgb="FF0563C1"/>
      </right>
      <top/>
      <bottom style="medium">
        <color rgb="FF0563C1"/>
      </bottom>
      <diagonal/>
    </border>
    <border>
      <left/>
      <right/>
      <top/>
      <bottom style="medium">
        <color rgb="FF0563C1"/>
      </bottom>
      <diagonal/>
    </border>
    <border>
      <left/>
      <right/>
      <top style="hair">
        <color theme="1"/>
      </top>
      <bottom/>
      <diagonal/>
    </border>
    <border>
      <left/>
      <right/>
      <top/>
      <bottom style="thin">
        <color indexed="64"/>
      </bottom>
      <diagonal/>
    </border>
    <border>
      <left/>
      <right/>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theme="1"/>
      </left>
      <right/>
      <top/>
      <bottom/>
      <diagonal/>
    </border>
    <border>
      <left/>
      <right style="thin">
        <color theme="1"/>
      </right>
      <top/>
      <bottom/>
      <diagonal/>
    </border>
    <border>
      <left/>
      <right/>
      <top/>
      <bottom style="thin">
        <color theme="1"/>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theme="1"/>
      </left>
      <right/>
      <top/>
      <bottom style="thin">
        <color theme="1"/>
      </bottom>
      <diagonal/>
    </border>
    <border>
      <left/>
      <right/>
      <top style="thin">
        <color indexed="64"/>
      </top>
      <bottom style="thin">
        <color theme="1"/>
      </bottom>
      <diagonal/>
    </border>
    <border>
      <left style="thin">
        <color indexed="64"/>
      </left>
      <right style="thin">
        <color indexed="64"/>
      </right>
      <top/>
      <bottom/>
      <diagonal/>
    </border>
    <border>
      <left style="thin">
        <color theme="1"/>
      </left>
      <right style="thin">
        <color theme="1"/>
      </right>
      <top style="thin">
        <color theme="1"/>
      </top>
      <bottom style="thin">
        <color theme="1"/>
      </bottom>
      <diagonal/>
    </border>
    <border>
      <left style="thin">
        <color indexed="64"/>
      </left>
      <right style="thin">
        <color indexed="64"/>
      </right>
      <top/>
      <bottom style="thin">
        <color indexed="64"/>
      </bottom>
      <diagonal/>
    </border>
    <border>
      <left/>
      <right style="thin">
        <color theme="1"/>
      </right>
      <top/>
      <bottom style="thin">
        <color theme="1"/>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medium">
        <color indexed="64"/>
      </bottom>
      <diagonal/>
    </border>
    <border>
      <left/>
      <right/>
      <top/>
      <bottom style="medium">
        <color theme="8"/>
      </bottom>
      <diagonal/>
    </border>
    <border>
      <left/>
      <right/>
      <top style="thin">
        <color rgb="FFBFBFBF"/>
      </top>
      <bottom style="thin">
        <color rgb="FFBFBFBF"/>
      </bottom>
      <diagonal/>
    </border>
    <border>
      <left/>
      <right/>
      <top/>
      <bottom style="thin">
        <color rgb="FFBFBFBF"/>
      </bottom>
      <diagonal/>
    </border>
    <border>
      <left/>
      <right/>
      <top style="medium">
        <color theme="8"/>
      </top>
      <bottom style="thin">
        <color rgb="FFBFBFBF"/>
      </bottom>
      <diagonal/>
    </border>
  </borders>
  <cellStyleXfs count="31">
    <xf numFmtId="0" fontId="0" fillId="0" borderId="0"/>
    <xf numFmtId="9" fontId="1" fillId="0" borderId="0" applyFont="0" applyFill="0" applyBorder="0" applyAlignment="0" applyProtection="0"/>
    <xf numFmtId="0" fontId="2" fillId="0" borderId="1" applyNumberFormat="0" applyFill="0" applyProtection="0">
      <alignment horizontal="center"/>
    </xf>
    <xf numFmtId="164" fontId="1" fillId="0" borderId="0" applyFont="0" applyFill="0" applyBorder="0" applyAlignment="0" applyProtection="0"/>
    <xf numFmtId="0" fontId="3" fillId="0" borderId="0"/>
    <xf numFmtId="167" fontId="3" fillId="0" borderId="0" applyFont="0" applyFill="0" applyBorder="0" applyAlignment="0" applyProtection="0"/>
    <xf numFmtId="9" fontId="3" fillId="0" borderId="0" applyFont="0" applyFill="0" applyBorder="0" applyAlignment="0" applyProtection="0"/>
    <xf numFmtId="0" fontId="4" fillId="0" borderId="0" applyNumberFormat="0" applyFill="0" applyBorder="0" applyAlignment="0" applyProtection="0"/>
    <xf numFmtId="167"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6" fillId="0" borderId="0"/>
    <xf numFmtId="0" fontId="1" fillId="0" borderId="0"/>
    <xf numFmtId="0" fontId="5" fillId="0" borderId="0"/>
    <xf numFmtId="168" fontId="3" fillId="0" borderId="0" applyFont="0" applyFill="0" applyBorder="0" applyAlignment="0" applyProtection="0"/>
    <xf numFmtId="9" fontId="7" fillId="0" borderId="0" applyFont="0" applyFill="0" applyBorder="0" applyAlignment="0" applyProtection="0"/>
    <xf numFmtId="169" fontId="3" fillId="0" borderId="0" applyFont="0" applyFill="0" applyBorder="0" applyAlignment="0" applyProtection="0"/>
    <xf numFmtId="170" fontId="3" fillId="0" borderId="0" applyFont="0" applyFill="0" applyBorder="0" applyAlignment="0" applyProtection="0"/>
    <xf numFmtId="43" fontId="1" fillId="0" borderId="0" applyFont="0" applyFill="0" applyBorder="0" applyAlignment="0" applyProtection="0"/>
    <xf numFmtId="0" fontId="9" fillId="0" borderId="0"/>
    <xf numFmtId="0" fontId="10" fillId="0" borderId="0"/>
    <xf numFmtId="0" fontId="11" fillId="0" borderId="0"/>
    <xf numFmtId="0" fontId="12" fillId="0" borderId="0"/>
    <xf numFmtId="0" fontId="11" fillId="0" borderId="0"/>
    <xf numFmtId="43" fontId="11" fillId="0" borderId="0" applyFont="0" applyFill="0" applyBorder="0" applyAlignment="0" applyProtection="0"/>
    <xf numFmtId="164" fontId="11" fillId="0" borderId="0" applyFont="0" applyFill="0" applyBorder="0" applyAlignment="0" applyProtection="0"/>
    <xf numFmtId="43" fontId="1" fillId="0" borderId="0" applyFont="0" applyFill="0" applyBorder="0" applyAlignment="0" applyProtection="0"/>
    <xf numFmtId="0" fontId="31" fillId="0" borderId="0" applyNumberFormat="0" applyFill="0" applyBorder="0" applyAlignment="0" applyProtection="0"/>
    <xf numFmtId="0" fontId="63" fillId="0" borderId="0"/>
    <xf numFmtId="9" fontId="63" fillId="0" borderId="0" applyFont="0" applyFill="0" applyBorder="0" applyAlignment="0" applyProtection="0"/>
    <xf numFmtId="43" fontId="1" fillId="0" borderId="0" applyFont="0" applyFill="0" applyBorder="0" applyAlignment="0" applyProtection="0"/>
  </cellStyleXfs>
  <cellXfs count="362">
    <xf numFmtId="0" fontId="0" fillId="0" borderId="0" xfId="0"/>
    <xf numFmtId="165" fontId="0" fillId="0" borderId="0" xfId="0" applyNumberFormat="1"/>
    <xf numFmtId="0" fontId="13" fillId="2" borderId="0" xfId="11" applyFont="1" applyFill="1"/>
    <xf numFmtId="0" fontId="18" fillId="0" borderId="0" xfId="0" applyFont="1"/>
    <xf numFmtId="17" fontId="19" fillId="0" borderId="0" xfId="11" applyNumberFormat="1" applyFont="1" applyAlignment="1">
      <alignment horizontal="left"/>
    </xf>
    <xf numFmtId="16" fontId="19" fillId="0" borderId="0" xfId="11" applyNumberFormat="1" applyFont="1" applyAlignment="1">
      <alignment horizontal="center"/>
    </xf>
    <xf numFmtId="17" fontId="20" fillId="0" borderId="2" xfId="11" applyNumberFormat="1" applyFont="1" applyBorder="1" applyAlignment="1">
      <alignment horizontal="left"/>
    </xf>
    <xf numFmtId="16" fontId="19" fillId="0" borderId="2" xfId="11" applyNumberFormat="1" applyFont="1" applyBorder="1" applyAlignment="1">
      <alignment horizontal="center"/>
    </xf>
    <xf numFmtId="0" fontId="18" fillId="0" borderId="3" xfId="11" quotePrefix="1" applyFont="1" applyBorder="1" applyAlignment="1">
      <alignment horizontal="left" vertical="center" wrapText="1"/>
    </xf>
    <xf numFmtId="165" fontId="21" fillId="0" borderId="3" xfId="11" applyNumberFormat="1" applyFont="1" applyBorder="1" applyAlignment="1">
      <alignment horizontal="center" vertical="center"/>
    </xf>
    <xf numFmtId="9" fontId="23" fillId="0" borderId="3" xfId="11" applyNumberFormat="1" applyFont="1" applyBorder="1" applyAlignment="1">
      <alignment horizontal="center" vertical="center"/>
    </xf>
    <xf numFmtId="0" fontId="24" fillId="0" borderId="3" xfId="11" quotePrefix="1" applyFont="1" applyBorder="1" applyAlignment="1">
      <alignment horizontal="left" vertical="center" wrapText="1"/>
    </xf>
    <xf numFmtId="0" fontId="22" fillId="0" borderId="3" xfId="11" quotePrefix="1" applyFont="1" applyBorder="1" applyAlignment="1">
      <alignment horizontal="left" vertical="center" wrapText="1" indent="1"/>
    </xf>
    <xf numFmtId="0" fontId="24" fillId="0" borderId="0" xfId="0" applyFont="1"/>
    <xf numFmtId="3" fontId="21" fillId="0" borderId="3" xfId="11" applyNumberFormat="1" applyFont="1" applyBorder="1" applyAlignment="1">
      <alignment horizontal="center" vertical="center"/>
    </xf>
    <xf numFmtId="0" fontId="14" fillId="0" borderId="0" xfId="0" applyFont="1"/>
    <xf numFmtId="0" fontId="13" fillId="2" borderId="0" xfId="11" applyFont="1" applyFill="1" applyAlignment="1">
      <alignment vertical="top"/>
    </xf>
    <xf numFmtId="0" fontId="8" fillId="0" borderId="0" xfId="0" applyFont="1"/>
    <xf numFmtId="0" fontId="8" fillId="0" borderId="0" xfId="0" applyFont="1" applyAlignment="1">
      <alignment vertical="top"/>
    </xf>
    <xf numFmtId="9" fontId="23" fillId="0" borderId="0" xfId="11" applyNumberFormat="1" applyFont="1" applyAlignment="1">
      <alignment horizontal="center" vertical="center"/>
    </xf>
    <xf numFmtId="0" fontId="14" fillId="0" borderId="0" xfId="0" applyFont="1" applyAlignment="1">
      <alignment vertical="center"/>
    </xf>
    <xf numFmtId="0" fontId="22" fillId="0" borderId="0" xfId="11" quotePrefix="1" applyFont="1" applyAlignment="1">
      <alignment horizontal="left" vertical="center" wrapText="1" indent="1"/>
    </xf>
    <xf numFmtId="3" fontId="21" fillId="0" borderId="0" xfId="11" applyNumberFormat="1" applyFont="1" applyAlignment="1">
      <alignment horizontal="center" vertical="center"/>
    </xf>
    <xf numFmtId="9" fontId="18" fillId="0" borderId="0" xfId="1" quotePrefix="1" applyFont="1" applyFill="1" applyBorder="1" applyAlignment="1">
      <alignment horizontal="left" vertical="center" wrapText="1"/>
    </xf>
    <xf numFmtId="4" fontId="21" fillId="0" borderId="3" xfId="11" applyNumberFormat="1" applyFont="1" applyBorder="1" applyAlignment="1">
      <alignment horizontal="center" vertical="center"/>
    </xf>
    <xf numFmtId="0" fontId="16" fillId="0" borderId="0" xfId="0" applyFont="1" applyAlignment="1">
      <alignment vertical="center"/>
    </xf>
    <xf numFmtId="165" fontId="15" fillId="0" borderId="0" xfId="11" applyNumberFormat="1" applyFont="1" applyAlignment="1">
      <alignment horizontal="center" vertical="center"/>
    </xf>
    <xf numFmtId="9" fontId="0" fillId="0" borderId="0" xfId="1" applyFont="1"/>
    <xf numFmtId="9" fontId="19" fillId="0" borderId="0" xfId="1" applyFont="1" applyBorder="1" applyAlignment="1">
      <alignment horizontal="center"/>
    </xf>
    <xf numFmtId="4" fontId="18" fillId="0" borderId="0" xfId="0" applyNumberFormat="1" applyFont="1"/>
    <xf numFmtId="165" fontId="25" fillId="0" borderId="3" xfId="11" applyNumberFormat="1" applyFont="1" applyBorder="1" applyAlignment="1">
      <alignment horizontal="center" vertical="center"/>
    </xf>
    <xf numFmtId="165" fontId="18" fillId="0" borderId="0" xfId="0" applyNumberFormat="1" applyFont="1"/>
    <xf numFmtId="4" fontId="0" fillId="0" borderId="0" xfId="0" applyNumberFormat="1"/>
    <xf numFmtId="9" fontId="18" fillId="0" borderId="0" xfId="0" applyNumberFormat="1" applyFont="1"/>
    <xf numFmtId="9" fontId="0" fillId="0" borderId="0" xfId="0" applyNumberFormat="1"/>
    <xf numFmtId="0" fontId="26" fillId="0" borderId="0" xfId="0" applyFont="1" applyAlignment="1">
      <alignment vertical="center"/>
    </xf>
    <xf numFmtId="9" fontId="18" fillId="0" borderId="0" xfId="1" applyFont="1"/>
    <xf numFmtId="166" fontId="18" fillId="0" borderId="0" xfId="1" applyNumberFormat="1" applyFont="1"/>
    <xf numFmtId="3" fontId="18" fillId="0" borderId="0" xfId="0" applyNumberFormat="1" applyFont="1"/>
    <xf numFmtId="166" fontId="21" fillId="0" borderId="3" xfId="11" applyNumberFormat="1" applyFont="1" applyBorder="1" applyAlignment="1">
      <alignment horizontal="center" vertical="center"/>
    </xf>
    <xf numFmtId="9" fontId="17" fillId="0" borderId="0" xfId="11" applyNumberFormat="1" applyFont="1" applyAlignment="1">
      <alignment horizontal="center" vertical="center"/>
    </xf>
    <xf numFmtId="0" fontId="14" fillId="0" borderId="0" xfId="0" applyFont="1" applyAlignment="1">
      <alignment vertical="center" wrapText="1"/>
    </xf>
    <xf numFmtId="0" fontId="14" fillId="0" borderId="0" xfId="0" applyFont="1" applyAlignment="1">
      <alignment horizontal="left" wrapText="1"/>
    </xf>
    <xf numFmtId="0" fontId="28" fillId="0" borderId="0" xfId="0" applyFont="1" applyAlignment="1">
      <alignment vertical="center"/>
    </xf>
    <xf numFmtId="4" fontId="25" fillId="0" borderId="3" xfId="11" applyNumberFormat="1" applyFont="1" applyBorder="1" applyAlignment="1">
      <alignment horizontal="center" vertical="center"/>
    </xf>
    <xf numFmtId="9" fontId="23" fillId="0" borderId="3" xfId="1" applyFont="1" applyFill="1" applyBorder="1" applyAlignment="1">
      <alignment horizontal="center" vertical="center"/>
    </xf>
    <xf numFmtId="17" fontId="29" fillId="0" borderId="0" xfId="11" applyNumberFormat="1" applyFont="1" applyAlignment="1">
      <alignment horizontal="left"/>
    </xf>
    <xf numFmtId="17" fontId="29" fillId="0" borderId="0" xfId="11" applyNumberFormat="1" applyFont="1" applyAlignment="1">
      <alignment horizontal="center"/>
    </xf>
    <xf numFmtId="16" fontId="19" fillId="0" borderId="2" xfId="11" applyNumberFormat="1" applyFont="1" applyBorder="1" applyAlignment="1">
      <alignment horizontal="center" vertical="center"/>
    </xf>
    <xf numFmtId="0" fontId="18" fillId="0" borderId="0" xfId="0" applyFont="1" applyAlignment="1">
      <alignment vertical="center"/>
    </xf>
    <xf numFmtId="0" fontId="24" fillId="0" borderId="0" xfId="11" quotePrefix="1" applyFont="1" applyAlignment="1">
      <alignment horizontal="left" vertical="top" wrapText="1"/>
    </xf>
    <xf numFmtId="17" fontId="20" fillId="0" borderId="2" xfId="11" applyNumberFormat="1" applyFont="1" applyBorder="1" applyAlignment="1">
      <alignment horizontal="left" vertical="top"/>
    </xf>
    <xf numFmtId="17" fontId="19" fillId="0" borderId="2" xfId="11" applyNumberFormat="1" applyFont="1" applyBorder="1" applyAlignment="1">
      <alignment horizontal="center"/>
    </xf>
    <xf numFmtId="0" fontId="18" fillId="0" borderId="3" xfId="11" quotePrefix="1" applyFont="1" applyBorder="1" applyAlignment="1">
      <alignment horizontal="left" vertical="top" wrapText="1"/>
    </xf>
    <xf numFmtId="0" fontId="24" fillId="0" borderId="3" xfId="11" quotePrefix="1" applyFont="1" applyBorder="1" applyAlignment="1">
      <alignment horizontal="left" vertical="top" wrapText="1"/>
    </xf>
    <xf numFmtId="0" fontId="18" fillId="0" borderId="0" xfId="0" applyFont="1" applyAlignment="1">
      <alignment vertical="top"/>
    </xf>
    <xf numFmtId="17" fontId="19" fillId="0" borderId="2" xfId="11" applyNumberFormat="1" applyFont="1" applyBorder="1" applyAlignment="1">
      <alignment horizontal="left"/>
    </xf>
    <xf numFmtId="165" fontId="21" fillId="0" borderId="3" xfId="11" applyNumberFormat="1" applyFont="1" applyBorder="1" applyAlignment="1">
      <alignment horizontal="left" vertical="center" wrapText="1"/>
    </xf>
    <xf numFmtId="17" fontId="30" fillId="0" borderId="0" xfId="11" applyNumberFormat="1" applyFont="1" applyAlignment="1">
      <alignment horizontal="center" vertical="center"/>
    </xf>
    <xf numFmtId="0" fontId="14" fillId="0" borderId="0" xfId="0" applyFont="1" applyAlignment="1">
      <alignment horizontal="left" vertical="center" wrapText="1"/>
    </xf>
    <xf numFmtId="0" fontId="32" fillId="0" borderId="0" xfId="0" applyFont="1"/>
    <xf numFmtId="17" fontId="19" fillId="0" borderId="0" xfId="11" applyNumberFormat="1" applyFont="1" applyAlignment="1">
      <alignment horizontal="left" vertical="center"/>
    </xf>
    <xf numFmtId="0" fontId="19" fillId="0" borderId="0" xfId="11" quotePrefix="1" applyFont="1" applyAlignment="1">
      <alignment horizontal="left" vertical="top"/>
    </xf>
    <xf numFmtId="0" fontId="33" fillId="0" borderId="0" xfId="0" applyFont="1"/>
    <xf numFmtId="17" fontId="20" fillId="0" borderId="0" xfId="11" applyNumberFormat="1" applyFont="1" applyAlignment="1">
      <alignment horizontal="left"/>
    </xf>
    <xf numFmtId="0" fontId="0" fillId="0" borderId="5" xfId="0" applyBorder="1"/>
    <xf numFmtId="0" fontId="0" fillId="0" borderId="7" xfId="0" applyBorder="1"/>
    <xf numFmtId="0" fontId="0" fillId="0" borderId="6" xfId="0" applyBorder="1"/>
    <xf numFmtId="0" fontId="0" fillId="3" borderId="0" xfId="0" applyFill="1"/>
    <xf numFmtId="0" fontId="13" fillId="2" borderId="5" xfId="11" applyFont="1" applyFill="1" applyBorder="1"/>
    <xf numFmtId="171" fontId="18" fillId="0" borderId="0" xfId="0" applyNumberFormat="1" applyFont="1"/>
    <xf numFmtId="0" fontId="14" fillId="0" borderId="0" xfId="0" applyFont="1" applyAlignment="1">
      <alignment horizontal="left" vertical="center"/>
    </xf>
    <xf numFmtId="0" fontId="34" fillId="0" borderId="0" xfId="0" applyFont="1"/>
    <xf numFmtId="0" fontId="34" fillId="0" borderId="4" xfId="0" applyFont="1" applyBorder="1"/>
    <xf numFmtId="0" fontId="35" fillId="0" borderId="0" xfId="27" applyFont="1" applyAlignment="1">
      <alignment horizontal="center" vertical="center"/>
    </xf>
    <xf numFmtId="0" fontId="36" fillId="0" borderId="4" xfId="27" applyFont="1" applyBorder="1" applyAlignment="1">
      <alignment horizontal="center" vertical="center"/>
    </xf>
    <xf numFmtId="0" fontId="35" fillId="0" borderId="4" xfId="27" applyFont="1" applyBorder="1" applyAlignment="1">
      <alignment vertical="center"/>
    </xf>
    <xf numFmtId="0" fontId="37" fillId="0" borderId="0" xfId="0" applyFont="1"/>
    <xf numFmtId="0" fontId="38" fillId="0" borderId="0" xfId="27" applyFont="1"/>
    <xf numFmtId="0" fontId="31" fillId="0" borderId="0" xfId="27"/>
    <xf numFmtId="0" fontId="39" fillId="0" borderId="0" xfId="27" applyFont="1" applyBorder="1" applyAlignment="1">
      <alignment vertical="center"/>
    </xf>
    <xf numFmtId="0" fontId="40" fillId="0" borderId="0" xfId="27" applyFont="1" applyBorder="1" applyAlignment="1">
      <alignment vertical="center"/>
    </xf>
    <xf numFmtId="0" fontId="39" fillId="0" borderId="0" xfId="27" applyFont="1" applyFill="1" applyBorder="1" applyAlignment="1">
      <alignment vertical="center"/>
    </xf>
    <xf numFmtId="4" fontId="21" fillId="0" borderId="3" xfId="11" quotePrefix="1" applyNumberFormat="1" applyFont="1" applyBorder="1" applyAlignment="1">
      <alignment horizontal="center" vertical="center"/>
    </xf>
    <xf numFmtId="4" fontId="25" fillId="0" borderId="3" xfId="11" quotePrefix="1" applyNumberFormat="1" applyFont="1" applyBorder="1" applyAlignment="1">
      <alignment horizontal="center" vertical="center"/>
    </xf>
    <xf numFmtId="4" fontId="8" fillId="0" borderId="0" xfId="0" applyNumberFormat="1" applyFont="1"/>
    <xf numFmtId="9" fontId="14" fillId="0" borderId="0" xfId="1" applyFont="1" applyAlignment="1">
      <alignment vertical="center" wrapText="1"/>
    </xf>
    <xf numFmtId="165" fontId="21" fillId="4" borderId="0" xfId="11" applyNumberFormat="1" applyFont="1" applyFill="1" applyAlignment="1">
      <alignment horizontal="center" vertical="center"/>
    </xf>
    <xf numFmtId="4" fontId="21" fillId="4" borderId="0" xfId="11" applyNumberFormat="1" applyFont="1" applyFill="1" applyAlignment="1">
      <alignment horizontal="center" vertical="center"/>
    </xf>
    <xf numFmtId="0" fontId="14" fillId="0" borderId="0" xfId="0" quotePrefix="1" applyFont="1" applyAlignment="1">
      <alignment horizontal="left" vertical="center"/>
    </xf>
    <xf numFmtId="165" fontId="18" fillId="0" borderId="3" xfId="11" applyNumberFormat="1" applyFont="1" applyBorder="1" applyAlignment="1">
      <alignment horizontal="center" vertical="center"/>
    </xf>
    <xf numFmtId="4" fontId="18" fillId="0" borderId="3" xfId="11" applyNumberFormat="1" applyFont="1" applyBorder="1" applyAlignment="1">
      <alignment horizontal="center" vertical="center"/>
    </xf>
    <xf numFmtId="165" fontId="24" fillId="0" borderId="3" xfId="11" applyNumberFormat="1" applyFont="1" applyBorder="1" applyAlignment="1">
      <alignment horizontal="center" vertical="center"/>
    </xf>
    <xf numFmtId="9" fontId="22" fillId="0" borderId="3" xfId="11" applyNumberFormat="1" applyFont="1" applyBorder="1" applyAlignment="1">
      <alignment horizontal="center" vertical="center"/>
    </xf>
    <xf numFmtId="9" fontId="22" fillId="0" borderId="0" xfId="11" applyNumberFormat="1" applyFont="1" applyAlignment="1">
      <alignment horizontal="center" vertical="center"/>
    </xf>
    <xf numFmtId="0" fontId="44" fillId="0" borderId="0" xfId="0" applyFont="1"/>
    <xf numFmtId="166" fontId="23" fillId="0" borderId="3" xfId="1" applyNumberFormat="1" applyFont="1" applyFill="1" applyBorder="1" applyAlignment="1">
      <alignment horizontal="center" vertical="center"/>
    </xf>
    <xf numFmtId="0" fontId="39" fillId="0" borderId="0" xfId="27" applyFont="1" applyBorder="1" applyAlignment="1"/>
    <xf numFmtId="0" fontId="0" fillId="0" borderId="0" xfId="0" applyAlignment="1">
      <alignment vertical="center"/>
    </xf>
    <xf numFmtId="17" fontId="19" fillId="0" borderId="2" xfId="11" applyNumberFormat="1" applyFont="1" applyBorder="1" applyAlignment="1">
      <alignment horizontal="left" vertical="center"/>
    </xf>
    <xf numFmtId="0" fontId="45" fillId="0" borderId="0" xfId="0" applyFont="1" applyAlignment="1">
      <alignment vertical="center"/>
    </xf>
    <xf numFmtId="0" fontId="32" fillId="0" borderId="0" xfId="0" applyFont="1" applyAlignment="1">
      <alignment vertical="center"/>
    </xf>
    <xf numFmtId="0" fontId="24" fillId="0" borderId="0" xfId="11" quotePrefix="1" applyFont="1" applyAlignment="1">
      <alignment horizontal="left" vertical="center" wrapText="1"/>
    </xf>
    <xf numFmtId="0" fontId="46" fillId="0" borderId="0" xfId="0" applyFont="1" applyAlignment="1">
      <alignment vertical="center"/>
    </xf>
    <xf numFmtId="0" fontId="13" fillId="2" borderId="0" xfId="11" applyFont="1" applyFill="1" applyAlignment="1">
      <alignment wrapText="1"/>
    </xf>
    <xf numFmtId="0" fontId="0" fillId="0" borderId="0" xfId="0" applyAlignment="1">
      <alignment wrapText="1"/>
    </xf>
    <xf numFmtId="17" fontId="19" fillId="0" borderId="2" xfId="11" applyNumberFormat="1" applyFont="1" applyBorder="1" applyAlignment="1">
      <alignment horizontal="left" vertical="center" wrapText="1"/>
    </xf>
    <xf numFmtId="0" fontId="0" fillId="0" borderId="0" xfId="0" applyAlignment="1">
      <alignment vertical="center" wrapText="1"/>
    </xf>
    <xf numFmtId="165" fontId="21" fillId="0" borderId="0" xfId="11" applyNumberFormat="1" applyFont="1" applyAlignment="1">
      <alignment horizontal="left" vertical="center" wrapText="1"/>
    </xf>
    <xf numFmtId="166" fontId="23" fillId="0" borderId="3" xfId="11" applyNumberFormat="1" applyFont="1" applyBorder="1" applyAlignment="1">
      <alignment horizontal="center" vertical="center"/>
    </xf>
    <xf numFmtId="2" fontId="18" fillId="0" borderId="0" xfId="0" applyNumberFormat="1" applyFont="1"/>
    <xf numFmtId="16" fontId="20" fillId="0" borderId="2" xfId="11" applyNumberFormat="1" applyFont="1" applyBorder="1" applyAlignment="1">
      <alignment horizontal="left" vertical="center"/>
    </xf>
    <xf numFmtId="165" fontId="21" fillId="5" borderId="0" xfId="11" applyNumberFormat="1" applyFont="1" applyFill="1" applyAlignment="1">
      <alignment horizontal="center" vertical="center"/>
    </xf>
    <xf numFmtId="3" fontId="21" fillId="5" borderId="0" xfId="11" applyNumberFormat="1" applyFont="1" applyFill="1" applyAlignment="1">
      <alignment horizontal="center" vertical="center"/>
    </xf>
    <xf numFmtId="0" fontId="47" fillId="0" borderId="0" xfId="0" applyFont="1"/>
    <xf numFmtId="0" fontId="48" fillId="0" borderId="3" xfId="11" quotePrefix="1" applyFont="1" applyBorder="1" applyAlignment="1">
      <alignment horizontal="left" vertical="center" wrapText="1" indent="1"/>
    </xf>
    <xf numFmtId="4" fontId="25" fillId="4" borderId="0" xfId="11" applyNumberFormat="1" applyFont="1" applyFill="1" applyAlignment="1">
      <alignment horizontal="center" vertical="center"/>
    </xf>
    <xf numFmtId="9" fontId="49" fillId="0" borderId="3" xfId="11" applyNumberFormat="1" applyFont="1" applyBorder="1" applyAlignment="1">
      <alignment horizontal="center" vertical="center"/>
    </xf>
    <xf numFmtId="3" fontId="18" fillId="0" borderId="0" xfId="0" applyNumberFormat="1" applyFont="1" applyAlignment="1">
      <alignment vertical="center"/>
    </xf>
    <xf numFmtId="165" fontId="8" fillId="0" borderId="0" xfId="0" applyNumberFormat="1" applyFont="1"/>
    <xf numFmtId="9" fontId="23" fillId="4" borderId="0" xfId="11" applyNumberFormat="1" applyFont="1" applyFill="1" applyAlignment="1">
      <alignment horizontal="center" vertical="center"/>
    </xf>
    <xf numFmtId="9" fontId="22" fillId="0" borderId="0" xfId="1" applyFont="1"/>
    <xf numFmtId="0" fontId="43" fillId="0" borderId="0" xfId="0" applyFont="1"/>
    <xf numFmtId="0" fontId="8" fillId="0" borderId="0" xfId="0" applyFont="1" applyAlignment="1">
      <alignment wrapText="1"/>
    </xf>
    <xf numFmtId="166" fontId="18" fillId="0" borderId="0" xfId="0" applyNumberFormat="1" applyFont="1"/>
    <xf numFmtId="172" fontId="18" fillId="0" borderId="0" xfId="0" applyNumberFormat="1" applyFont="1" applyAlignment="1">
      <alignment horizontal="center"/>
    </xf>
    <xf numFmtId="0" fontId="14" fillId="0" borderId="0" xfId="0" applyFont="1" applyAlignment="1">
      <alignment horizontal="center" vertical="center" wrapText="1"/>
    </xf>
    <xf numFmtId="0" fontId="18" fillId="0" borderId="0" xfId="0" applyFont="1" applyAlignment="1">
      <alignment horizontal="center"/>
    </xf>
    <xf numFmtId="165" fontId="21" fillId="0" borderId="0" xfId="11" applyNumberFormat="1" applyFont="1" applyAlignment="1">
      <alignment horizontal="center" vertical="center"/>
    </xf>
    <xf numFmtId="165" fontId="18" fillId="0" borderId="0" xfId="0" applyNumberFormat="1" applyFont="1" applyAlignment="1">
      <alignment horizontal="center"/>
    </xf>
    <xf numFmtId="0" fontId="0" fillId="0" borderId="0" xfId="0" applyAlignment="1">
      <alignment horizontal="center"/>
    </xf>
    <xf numFmtId="173" fontId="0" fillId="0" borderId="0" xfId="0" applyNumberFormat="1" applyAlignment="1">
      <alignment horizontal="center"/>
    </xf>
    <xf numFmtId="172" fontId="0" fillId="0" borderId="0" xfId="0" applyNumberFormat="1" applyAlignment="1">
      <alignment horizontal="center"/>
    </xf>
    <xf numFmtId="9" fontId="0" fillId="0" borderId="0" xfId="0" applyNumberFormat="1" applyAlignment="1">
      <alignment horizontal="center"/>
    </xf>
    <xf numFmtId="2" fontId="0" fillId="0" borderId="0" xfId="0" applyNumberFormat="1" applyAlignment="1">
      <alignment horizontal="center"/>
    </xf>
    <xf numFmtId="0" fontId="52" fillId="0" borderId="0" xfId="0" applyFont="1"/>
    <xf numFmtId="166" fontId="0" fillId="0" borderId="0" xfId="0" applyNumberFormat="1" applyAlignment="1">
      <alignment horizontal="center"/>
    </xf>
    <xf numFmtId="166" fontId="0" fillId="0" borderId="9" xfId="0" applyNumberFormat="1" applyBorder="1" applyAlignment="1">
      <alignment horizontal="center"/>
    </xf>
    <xf numFmtId="0" fontId="0" fillId="0" borderId="0" xfId="0" applyAlignment="1">
      <alignment horizontal="right"/>
    </xf>
    <xf numFmtId="0" fontId="0" fillId="0" borderId="10" xfId="0" applyBorder="1"/>
    <xf numFmtId="0" fontId="51" fillId="0" borderId="10" xfId="0" applyFont="1" applyBorder="1"/>
    <xf numFmtId="0" fontId="53" fillId="0" borderId="0" xfId="0" applyFont="1"/>
    <xf numFmtId="0" fontId="54" fillId="6" borderId="11" xfId="0" applyFont="1" applyFill="1" applyBorder="1" applyAlignment="1">
      <alignment horizontal="centerContinuous"/>
    </xf>
    <xf numFmtId="0" fontId="54" fillId="6" borderId="12" xfId="0" applyFont="1" applyFill="1" applyBorder="1" applyAlignment="1">
      <alignment horizontal="centerContinuous"/>
    </xf>
    <xf numFmtId="0" fontId="54" fillId="6" borderId="13" xfId="0" applyFont="1" applyFill="1" applyBorder="1" applyAlignment="1">
      <alignment horizontal="centerContinuous"/>
    </xf>
    <xf numFmtId="174" fontId="55" fillId="7" borderId="0" xfId="0" applyNumberFormat="1" applyFont="1" applyFill="1"/>
    <xf numFmtId="0" fontId="0" fillId="0" borderId="14" xfId="0" applyBorder="1"/>
    <xf numFmtId="0" fontId="0" fillId="0" borderId="15" xfId="0" applyBorder="1"/>
    <xf numFmtId="0" fontId="51" fillId="0" borderId="0" xfId="0" applyFont="1"/>
    <xf numFmtId="176" fontId="55" fillId="0" borderId="0" xfId="0" applyNumberFormat="1" applyFont="1"/>
    <xf numFmtId="176" fontId="0" fillId="0" borderId="14" xfId="0" applyNumberFormat="1" applyBorder="1"/>
    <xf numFmtId="176" fontId="0" fillId="0" borderId="0" xfId="0" applyNumberFormat="1"/>
    <xf numFmtId="176" fontId="0" fillId="0" borderId="15" xfId="0" applyNumberFormat="1" applyBorder="1"/>
    <xf numFmtId="175" fontId="0" fillId="0" borderId="19" xfId="0" applyNumberFormat="1" applyBorder="1"/>
    <xf numFmtId="175" fontId="0" fillId="0" borderId="9" xfId="0" applyNumberFormat="1" applyBorder="1"/>
    <xf numFmtId="175" fontId="0" fillId="0" borderId="20" xfId="0" applyNumberFormat="1" applyBorder="1"/>
    <xf numFmtId="0" fontId="0" fillId="0" borderId="11" xfId="0" applyBorder="1"/>
    <xf numFmtId="0" fontId="0" fillId="0" borderId="12" xfId="0" applyBorder="1"/>
    <xf numFmtId="175" fontId="55" fillId="0" borderId="13" xfId="0" applyNumberFormat="1" applyFont="1" applyBorder="1"/>
    <xf numFmtId="176" fontId="56" fillId="0" borderId="15" xfId="0" applyNumberFormat="1" applyFont="1" applyBorder="1"/>
    <xf numFmtId="0" fontId="0" fillId="0" borderId="19" xfId="0" applyBorder="1"/>
    <xf numFmtId="0" fontId="0" fillId="0" borderId="9" xfId="0" applyBorder="1"/>
    <xf numFmtId="175" fontId="55" fillId="0" borderId="20" xfId="0" applyNumberFormat="1" applyFont="1" applyBorder="1"/>
    <xf numFmtId="175" fontId="0" fillId="0" borderId="15" xfId="0" applyNumberFormat="1" applyBorder="1"/>
    <xf numFmtId="178" fontId="0" fillId="0" borderId="0" xfId="0" applyNumberFormat="1"/>
    <xf numFmtId="0" fontId="0" fillId="0" borderId="21" xfId="0" applyBorder="1"/>
    <xf numFmtId="0" fontId="0" fillId="0" borderId="22" xfId="0" applyBorder="1"/>
    <xf numFmtId="0" fontId="0" fillId="0" borderId="9" xfId="0" applyBorder="1" applyAlignment="1">
      <alignment horizontal="centerContinuous"/>
    </xf>
    <xf numFmtId="0" fontId="0" fillId="0" borderId="0" xfId="0" applyAlignment="1">
      <alignment horizontal="centerContinuous"/>
    </xf>
    <xf numFmtId="0" fontId="0" fillId="0" borderId="0" xfId="0" quotePrefix="1" applyAlignment="1">
      <alignment horizontal="center"/>
    </xf>
    <xf numFmtId="0" fontId="54" fillId="6" borderId="0" xfId="0" applyFont="1" applyFill="1" applyAlignment="1">
      <alignment horizontal="center"/>
    </xf>
    <xf numFmtId="0" fontId="54" fillId="6" borderId="0" xfId="0" applyFont="1" applyFill="1" applyAlignment="1">
      <alignment horizontal="centerContinuous"/>
    </xf>
    <xf numFmtId="179" fontId="0" fillId="0" borderId="0" xfId="0" applyNumberFormat="1"/>
    <xf numFmtId="176" fontId="51" fillId="0" borderId="24" xfId="0" applyNumberFormat="1" applyFont="1" applyBorder="1"/>
    <xf numFmtId="176" fontId="51" fillId="0" borderId="22" xfId="0" applyNumberFormat="1" applyFont="1" applyBorder="1"/>
    <xf numFmtId="176" fontId="51" fillId="0" borderId="23" xfId="0" applyNumberFormat="1" applyFont="1" applyBorder="1"/>
    <xf numFmtId="175" fontId="0" fillId="0" borderId="0" xfId="0" applyNumberFormat="1"/>
    <xf numFmtId="176" fontId="51" fillId="0" borderId="25" xfId="0" applyNumberFormat="1" applyFont="1" applyBorder="1"/>
    <xf numFmtId="176" fontId="51" fillId="0" borderId="0" xfId="0" applyNumberFormat="1" applyFont="1"/>
    <xf numFmtId="175" fontId="57" fillId="0" borderId="26" xfId="0" applyNumberFormat="1" applyFont="1" applyBorder="1"/>
    <xf numFmtId="179" fontId="51" fillId="0" borderId="0" xfId="0" applyNumberFormat="1" applyFont="1"/>
    <xf numFmtId="175" fontId="0" fillId="0" borderId="14" xfId="0" applyNumberFormat="1" applyBorder="1"/>
    <xf numFmtId="175" fontId="0" fillId="0" borderId="12" xfId="0" applyNumberFormat="1" applyBorder="1"/>
    <xf numFmtId="175" fontId="0" fillId="0" borderId="13" xfId="0" applyNumberFormat="1" applyBorder="1"/>
    <xf numFmtId="175" fontId="0" fillId="0" borderId="16" xfId="0" applyNumberFormat="1" applyBorder="1"/>
    <xf numFmtId="175" fontId="0" fillId="0" borderId="17" xfId="0" applyNumberFormat="1" applyBorder="1"/>
    <xf numFmtId="175" fontId="0" fillId="0" borderId="27" xfId="0" applyNumberFormat="1" applyBorder="1"/>
    <xf numFmtId="175" fontId="57" fillId="0" borderId="28" xfId="0" applyNumberFormat="1" applyFont="1" applyBorder="1"/>
    <xf numFmtId="175" fontId="0" fillId="0" borderId="24" xfId="0" applyNumberFormat="1" applyBorder="1"/>
    <xf numFmtId="175" fontId="0" fillId="0" borderId="18" xfId="0" applyNumberFormat="1" applyBorder="1"/>
    <xf numFmtId="175" fontId="0" fillId="0" borderId="29" xfId="0" applyNumberFormat="1" applyBorder="1"/>
    <xf numFmtId="0" fontId="54" fillId="6" borderId="0" xfId="0" applyFont="1" applyFill="1" applyAlignment="1">
      <alignment horizontal="centerContinuous" wrapText="1"/>
    </xf>
    <xf numFmtId="175" fontId="0" fillId="0" borderId="30" xfId="0" applyNumberFormat="1" applyBorder="1"/>
    <xf numFmtId="175" fontId="0" fillId="0" borderId="11" xfId="0" applyNumberFormat="1" applyBorder="1"/>
    <xf numFmtId="175" fontId="0" fillId="0" borderId="26" xfId="0" applyNumberFormat="1" applyBorder="1"/>
    <xf numFmtId="175" fontId="0" fillId="0" borderId="31" xfId="0" applyNumberFormat="1" applyBorder="1"/>
    <xf numFmtId="175" fontId="0" fillId="0" borderId="28" xfId="0" applyNumberFormat="1" applyBorder="1"/>
    <xf numFmtId="180" fontId="0" fillId="0" borderId="0" xfId="0" applyNumberFormat="1"/>
    <xf numFmtId="176" fontId="0" fillId="0" borderId="11" xfId="0" applyNumberFormat="1" applyBorder="1"/>
    <xf numFmtId="176" fontId="0" fillId="0" borderId="12" xfId="0" applyNumberFormat="1" applyBorder="1"/>
    <xf numFmtId="176" fontId="0" fillId="0" borderId="13" xfId="0" applyNumberFormat="1" applyBorder="1"/>
    <xf numFmtId="180" fontId="0" fillId="0" borderId="11" xfId="0" applyNumberFormat="1" applyBorder="1"/>
    <xf numFmtId="180" fontId="0" fillId="0" borderId="12" xfId="0" applyNumberFormat="1" applyBorder="1"/>
    <xf numFmtId="180" fontId="0" fillId="0" borderId="13" xfId="0" applyNumberFormat="1" applyBorder="1"/>
    <xf numFmtId="180" fontId="0" fillId="0" borderId="14" xfId="0" applyNumberFormat="1" applyBorder="1"/>
    <xf numFmtId="180" fontId="0" fillId="0" borderId="15" xfId="0" applyNumberFormat="1" applyBorder="1"/>
    <xf numFmtId="176" fontId="0" fillId="0" borderId="31" xfId="0" applyNumberFormat="1" applyBorder="1"/>
    <xf numFmtId="180" fontId="0" fillId="0" borderId="31" xfId="0" applyNumberFormat="1" applyBorder="1"/>
    <xf numFmtId="176" fontId="0" fillId="0" borderId="19" xfId="0" applyNumberFormat="1" applyBorder="1"/>
    <xf numFmtId="176" fontId="0" fillId="0" borderId="9" xfId="0" applyNumberFormat="1" applyBorder="1"/>
    <xf numFmtId="176" fontId="0" fillId="0" borderId="20" xfId="0" applyNumberFormat="1" applyBorder="1"/>
    <xf numFmtId="180" fontId="0" fillId="0" borderId="19" xfId="0" applyNumberFormat="1" applyBorder="1"/>
    <xf numFmtId="180" fontId="0" fillId="0" borderId="9" xfId="0" applyNumberFormat="1" applyBorder="1"/>
    <xf numFmtId="180" fontId="0" fillId="0" borderId="20" xfId="0" applyNumberFormat="1" applyBorder="1"/>
    <xf numFmtId="181" fontId="55" fillId="7" borderId="14" xfId="0" applyNumberFormat="1" applyFont="1" applyFill="1" applyBorder="1"/>
    <xf numFmtId="4" fontId="50" fillId="0" borderId="0" xfId="0" applyNumberFormat="1" applyFont="1" applyAlignment="1">
      <alignment vertical="center" wrapText="1"/>
    </xf>
    <xf numFmtId="0" fontId="1" fillId="0" borderId="0" xfId="0" applyFont="1"/>
    <xf numFmtId="166" fontId="0" fillId="0" borderId="0" xfId="0" applyNumberFormat="1"/>
    <xf numFmtId="0" fontId="54" fillId="0" borderId="0" xfId="0" applyFont="1" applyAlignment="1">
      <alignment horizontal="centerContinuous"/>
    </xf>
    <xf numFmtId="174" fontId="55" fillId="0" borderId="0" xfId="0" applyNumberFormat="1" applyFont="1"/>
    <xf numFmtId="175" fontId="55" fillId="0" borderId="0" xfId="0" applyNumberFormat="1" applyFont="1"/>
    <xf numFmtId="175" fontId="51" fillId="0" borderId="0" xfId="0" applyNumberFormat="1" applyFont="1"/>
    <xf numFmtId="177" fontId="0" fillId="0" borderId="0" xfId="0" applyNumberFormat="1"/>
    <xf numFmtId="177" fontId="0" fillId="0" borderId="14" xfId="0" applyNumberFormat="1" applyBorder="1"/>
    <xf numFmtId="0" fontId="31" fillId="0" borderId="0" xfId="27" applyFill="1" applyBorder="1"/>
    <xf numFmtId="0" fontId="0" fillId="0" borderId="0" xfId="11" quotePrefix="1" applyFont="1" applyAlignment="1">
      <alignment horizontal="left" vertical="center" wrapText="1" indent="2"/>
    </xf>
    <xf numFmtId="0" fontId="1" fillId="0" borderId="22" xfId="0" applyFont="1" applyBorder="1"/>
    <xf numFmtId="165" fontId="58" fillId="0" borderId="22" xfId="11" applyNumberFormat="1" applyFont="1" applyBorder="1" applyAlignment="1">
      <alignment horizontal="right" vertical="center"/>
    </xf>
    <xf numFmtId="0" fontId="0" fillId="0" borderId="0" xfId="11" quotePrefix="1" applyFont="1" applyAlignment="1">
      <alignment horizontal="left" vertical="center" indent="2"/>
    </xf>
    <xf numFmtId="172" fontId="58" fillId="0" borderId="0" xfId="1" applyNumberFormat="1" applyFont="1" applyBorder="1" applyAlignment="1">
      <alignment horizontal="right" vertical="center"/>
    </xf>
    <xf numFmtId="165" fontId="0" fillId="0" borderId="22" xfId="0" applyNumberFormat="1" applyBorder="1" applyAlignment="1">
      <alignment horizontal="right"/>
    </xf>
    <xf numFmtId="165" fontId="59" fillId="0" borderId="0" xfId="11" applyNumberFormat="1" applyFont="1" applyAlignment="1">
      <alignment horizontal="right" vertical="center"/>
    </xf>
    <xf numFmtId="166" fontId="52" fillId="0" borderId="0" xfId="1" applyNumberFormat="1" applyFont="1" applyBorder="1" applyAlignment="1">
      <alignment horizontal="right"/>
    </xf>
    <xf numFmtId="165" fontId="52" fillId="0" borderId="0" xfId="0" applyNumberFormat="1" applyFont="1" applyAlignment="1">
      <alignment horizontal="right"/>
    </xf>
    <xf numFmtId="166" fontId="59" fillId="0" borderId="0" xfId="1" applyNumberFormat="1" applyFont="1" applyBorder="1" applyAlignment="1">
      <alignment horizontal="right" vertical="center"/>
    </xf>
    <xf numFmtId="165" fontId="58" fillId="0" borderId="0" xfId="11" applyNumberFormat="1" applyFont="1" applyAlignment="1">
      <alignment horizontal="right" vertical="center"/>
    </xf>
    <xf numFmtId="165" fontId="0" fillId="0" borderId="0" xfId="0" applyNumberFormat="1" applyAlignment="1">
      <alignment horizontal="right"/>
    </xf>
    <xf numFmtId="166" fontId="55" fillId="0" borderId="0" xfId="1" applyNumberFormat="1" applyFont="1"/>
    <xf numFmtId="166" fontId="53" fillId="0" borderId="0" xfId="1" applyNumberFormat="1" applyFont="1" applyBorder="1"/>
    <xf numFmtId="166" fontId="53" fillId="0" borderId="0" xfId="1" applyNumberFormat="1" applyFont="1"/>
    <xf numFmtId="0" fontId="51" fillId="0" borderId="32" xfId="11" quotePrefix="1" applyFont="1" applyBorder="1" applyAlignment="1">
      <alignment horizontal="left" vertical="center" wrapText="1" indent="2"/>
    </xf>
    <xf numFmtId="0" fontId="51" fillId="0" borderId="32" xfId="0" applyFont="1" applyBorder="1"/>
    <xf numFmtId="0" fontId="51" fillId="0" borderId="32" xfId="11" applyFont="1" applyBorder="1" applyAlignment="1">
      <alignment horizontal="left" vertical="center" wrapText="1"/>
    </xf>
    <xf numFmtId="165" fontId="60" fillId="0" borderId="32" xfId="0" applyNumberFormat="1" applyFont="1" applyBorder="1" applyAlignment="1">
      <alignment horizontal="right"/>
    </xf>
    <xf numFmtId="175" fontId="31" fillId="0" borderId="0" xfId="27" applyNumberFormat="1" applyFill="1" applyBorder="1"/>
    <xf numFmtId="10" fontId="0" fillId="0" borderId="0" xfId="0" applyNumberFormat="1"/>
    <xf numFmtId="0" fontId="0" fillId="0" borderId="0" xfId="0" quotePrefix="1"/>
    <xf numFmtId="0" fontId="31" fillId="0" borderId="0" xfId="27" quotePrefix="1"/>
    <xf numFmtId="176" fontId="52" fillId="0" borderId="0" xfId="0" applyNumberFormat="1" applyFont="1"/>
    <xf numFmtId="172" fontId="55" fillId="0" borderId="0" xfId="0" applyNumberFormat="1" applyFont="1"/>
    <xf numFmtId="172" fontId="55" fillId="0" borderId="9" xfId="0" applyNumberFormat="1" applyFont="1" applyBorder="1"/>
    <xf numFmtId="175" fontId="51" fillId="0" borderId="32" xfId="0" applyNumberFormat="1" applyFont="1" applyBorder="1"/>
    <xf numFmtId="0" fontId="0" fillId="0" borderId="22" xfId="11" quotePrefix="1" applyFont="1" applyBorder="1" applyAlignment="1">
      <alignment horizontal="left" vertical="center" wrapText="1"/>
    </xf>
    <xf numFmtId="0" fontId="0" fillId="0" borderId="0" xfId="11" applyFont="1" applyAlignment="1">
      <alignment horizontal="left" vertical="center" wrapText="1" indent="2"/>
    </xf>
    <xf numFmtId="175" fontId="56" fillId="0" borderId="11" xfId="0" applyNumberFormat="1" applyFont="1" applyBorder="1"/>
    <xf numFmtId="176" fontId="56" fillId="0" borderId="0" xfId="0" applyNumberFormat="1" applyFont="1"/>
    <xf numFmtId="176" fontId="61" fillId="0" borderId="22" xfId="0" applyNumberFormat="1" applyFont="1" applyBorder="1"/>
    <xf numFmtId="176" fontId="61" fillId="0" borderId="0" xfId="0" applyNumberFormat="1" applyFont="1"/>
    <xf numFmtId="166" fontId="0" fillId="0" borderId="15" xfId="1" applyNumberFormat="1" applyFont="1" applyBorder="1"/>
    <xf numFmtId="175" fontId="56" fillId="0" borderId="13" xfId="0" applyNumberFormat="1" applyFont="1" applyBorder="1"/>
    <xf numFmtId="175" fontId="62" fillId="0" borderId="0" xfId="0" applyNumberFormat="1" applyFont="1"/>
    <xf numFmtId="0" fontId="62" fillId="0" borderId="0" xfId="0" applyFont="1"/>
    <xf numFmtId="0" fontId="64" fillId="8" borderId="0" xfId="28" applyFont="1" applyFill="1" applyAlignment="1">
      <alignment vertical="center"/>
    </xf>
    <xf numFmtId="0" fontId="65" fillId="8" borderId="0" xfId="28" applyFont="1" applyFill="1" applyAlignment="1">
      <alignment vertical="center"/>
    </xf>
    <xf numFmtId="0" fontId="6" fillId="8" borderId="0" xfId="28" applyFont="1" applyFill="1"/>
    <xf numFmtId="0" fontId="63" fillId="0" borderId="0" xfId="28"/>
    <xf numFmtId="0" fontId="6" fillId="0" borderId="0" xfId="28" applyFont="1" applyAlignment="1">
      <alignment vertical="center"/>
    </xf>
    <xf numFmtId="0" fontId="66" fillId="0" borderId="0" xfId="28" applyFont="1" applyAlignment="1">
      <alignment vertical="center"/>
    </xf>
    <xf numFmtId="1" fontId="6" fillId="0" borderId="0" xfId="28" applyNumberFormat="1" applyFont="1" applyAlignment="1">
      <alignment vertical="center"/>
    </xf>
    <xf numFmtId="0" fontId="6" fillId="0" borderId="0" xfId="28" applyFont="1"/>
    <xf numFmtId="0" fontId="67" fillId="0" borderId="0" xfId="28" applyFont="1" applyAlignment="1">
      <alignment vertical="center"/>
    </xf>
    <xf numFmtId="0" fontId="68" fillId="0" borderId="33" xfId="28" applyFont="1" applyBorder="1" applyAlignment="1">
      <alignment vertical="center"/>
    </xf>
    <xf numFmtId="0" fontId="69" fillId="0" borderId="33" xfId="28" applyFont="1" applyBorder="1" applyAlignment="1">
      <alignment vertical="center"/>
    </xf>
    <xf numFmtId="0" fontId="70" fillId="0" borderId="34" xfId="28" applyFont="1" applyBorder="1" applyAlignment="1">
      <alignment vertical="center"/>
    </xf>
    <xf numFmtId="4" fontId="70" fillId="0" borderId="34" xfId="28" applyNumberFormat="1" applyFont="1" applyBorder="1" applyAlignment="1">
      <alignment horizontal="center" vertical="center"/>
    </xf>
    <xf numFmtId="2" fontId="70" fillId="0" borderId="34" xfId="28" applyNumberFormat="1" applyFont="1" applyBorder="1" applyAlignment="1">
      <alignment horizontal="center" vertical="center"/>
    </xf>
    <xf numFmtId="0" fontId="71" fillId="0" borderId="0" xfId="28" applyFont="1" applyAlignment="1">
      <alignment vertical="center"/>
    </xf>
    <xf numFmtId="0" fontId="72" fillId="0" borderId="0" xfId="28" applyFont="1" applyAlignment="1">
      <alignment vertical="center"/>
    </xf>
    <xf numFmtId="0" fontId="73" fillId="0" borderId="34" xfId="28" applyFont="1" applyBorder="1" applyAlignment="1">
      <alignment horizontal="right" vertical="center"/>
    </xf>
    <xf numFmtId="166" fontId="73" fillId="0" borderId="34" xfId="28" applyNumberFormat="1" applyFont="1" applyBorder="1" applyAlignment="1">
      <alignment horizontal="center" vertical="center"/>
    </xf>
    <xf numFmtId="4" fontId="70" fillId="9" borderId="34" xfId="28" applyNumberFormat="1" applyFont="1" applyFill="1" applyBorder="1" applyAlignment="1">
      <alignment horizontal="center" vertical="center"/>
    </xf>
    <xf numFmtId="166" fontId="70" fillId="9" borderId="34" xfId="28" applyNumberFormat="1" applyFont="1" applyFill="1" applyBorder="1" applyAlignment="1">
      <alignment horizontal="center" vertical="center"/>
    </xf>
    <xf numFmtId="4" fontId="71" fillId="0" borderId="0" xfId="28" applyNumberFormat="1" applyFont="1" applyAlignment="1">
      <alignment vertical="center"/>
    </xf>
    <xf numFmtId="172" fontId="70" fillId="0" borderId="34" xfId="28" applyNumberFormat="1" applyFont="1" applyBorder="1" applyAlignment="1">
      <alignment horizontal="center" vertical="center"/>
    </xf>
    <xf numFmtId="3" fontId="70" fillId="0" borderId="34" xfId="28" applyNumberFormat="1" applyFont="1" applyBorder="1" applyAlignment="1">
      <alignment horizontal="center" vertical="center"/>
    </xf>
    <xf numFmtId="0" fontId="70" fillId="0" borderId="35" xfId="28" applyFont="1" applyBorder="1" applyAlignment="1">
      <alignment vertical="center"/>
    </xf>
    <xf numFmtId="2" fontId="70" fillId="9" borderId="35" xfId="28" applyNumberFormat="1" applyFont="1" applyFill="1" applyBorder="1" applyAlignment="1">
      <alignment horizontal="center" vertical="center"/>
    </xf>
    <xf numFmtId="2" fontId="70" fillId="9" borderId="34" xfId="28" applyNumberFormat="1" applyFont="1" applyFill="1" applyBorder="1" applyAlignment="1">
      <alignment horizontal="center" vertical="center"/>
    </xf>
    <xf numFmtId="0" fontId="74" fillId="0" borderId="0" xfId="28" applyFont="1" applyAlignment="1">
      <alignment vertical="center"/>
    </xf>
    <xf numFmtId="0" fontId="70" fillId="0" borderId="0" xfId="28" applyFont="1" applyAlignment="1">
      <alignment horizontal="center" vertical="center"/>
    </xf>
    <xf numFmtId="3" fontId="6" fillId="0" borderId="0" xfId="28" applyNumberFormat="1" applyFont="1" applyAlignment="1">
      <alignment vertical="center"/>
    </xf>
    <xf numFmtId="165" fontId="6" fillId="0" borderId="0" xfId="28" applyNumberFormat="1" applyFont="1" applyAlignment="1">
      <alignment vertical="center"/>
    </xf>
    <xf numFmtId="3" fontId="75" fillId="0" borderId="0" xfId="28" applyNumberFormat="1" applyFont="1" applyAlignment="1">
      <alignment horizontal="center" vertical="center"/>
    </xf>
    <xf numFmtId="3" fontId="76" fillId="0" borderId="0" xfId="28" applyNumberFormat="1" applyFont="1" applyAlignment="1">
      <alignment horizontal="center" vertical="center"/>
    </xf>
    <xf numFmtId="4" fontId="77" fillId="0" borderId="34" xfId="28" applyNumberFormat="1" applyFont="1" applyBorder="1" applyAlignment="1">
      <alignment horizontal="center" vertical="center"/>
    </xf>
    <xf numFmtId="166" fontId="76" fillId="0" borderId="0" xfId="29" applyNumberFormat="1" applyFont="1" applyAlignment="1">
      <alignment horizontal="center" vertical="center"/>
    </xf>
    <xf numFmtId="0" fontId="70" fillId="0" borderId="0" xfId="28" applyFont="1" applyAlignment="1">
      <alignment vertical="center"/>
    </xf>
    <xf numFmtId="182" fontId="70" fillId="0" borderId="0" xfId="28" applyNumberFormat="1" applyFont="1" applyAlignment="1">
      <alignment horizontal="center" vertical="center"/>
    </xf>
    <xf numFmtId="172" fontId="6" fillId="0" borderId="0" xfId="28" applyNumberFormat="1" applyFont="1" applyAlignment="1">
      <alignment horizontal="center" vertical="center"/>
    </xf>
    <xf numFmtId="10" fontId="6" fillId="0" borderId="0" xfId="28" applyNumberFormat="1" applyFont="1" applyAlignment="1">
      <alignment vertical="center"/>
    </xf>
    <xf numFmtId="0" fontId="78" fillId="0" borderId="0" xfId="28" applyFont="1"/>
    <xf numFmtId="0" fontId="79" fillId="0" borderId="0" xfId="28" applyFont="1" applyAlignment="1">
      <alignment vertical="center"/>
    </xf>
    <xf numFmtId="3" fontId="73" fillId="0" borderId="0" xfId="28" applyNumberFormat="1" applyFont="1" applyAlignment="1">
      <alignment horizontal="center" vertical="center"/>
    </xf>
    <xf numFmtId="166" fontId="73" fillId="0" borderId="0" xfId="29" applyNumberFormat="1" applyFont="1" applyAlignment="1">
      <alignment horizontal="center" vertical="center"/>
    </xf>
    <xf numFmtId="165" fontId="70" fillId="0" borderId="34" xfId="28" applyNumberFormat="1" applyFont="1" applyBorder="1" applyAlignment="1">
      <alignment horizontal="center" vertical="center"/>
    </xf>
    <xf numFmtId="3" fontId="70" fillId="0" borderId="0" xfId="28" applyNumberFormat="1" applyFont="1" applyAlignment="1">
      <alignment horizontal="center" vertical="center"/>
    </xf>
    <xf numFmtId="165" fontId="70" fillId="0" borderId="34" xfId="28" applyNumberFormat="1" applyFont="1" applyBorder="1" applyAlignment="1">
      <alignment vertical="center"/>
    </xf>
    <xf numFmtId="166" fontId="6" fillId="0" borderId="0" xfId="28" applyNumberFormat="1" applyFont="1" applyAlignment="1">
      <alignment vertical="center"/>
    </xf>
    <xf numFmtId="172" fontId="6" fillId="0" borderId="0" xfId="28" applyNumberFormat="1" applyFont="1" applyAlignment="1">
      <alignment vertical="center"/>
    </xf>
    <xf numFmtId="2" fontId="70" fillId="0" borderId="36" xfId="28" applyNumberFormat="1" applyFont="1" applyBorder="1" applyAlignment="1">
      <alignment horizontal="center" vertical="center"/>
    </xf>
    <xf numFmtId="0" fontId="77" fillId="0" borderId="0" xfId="28" applyFont="1" applyAlignment="1">
      <alignment vertical="center"/>
    </xf>
    <xf numFmtId="2" fontId="77" fillId="0" borderId="0" xfId="28" applyNumberFormat="1" applyFont="1" applyAlignment="1">
      <alignment horizontal="center" vertical="center"/>
    </xf>
    <xf numFmtId="0" fontId="52" fillId="0" borderId="0" xfId="11" quotePrefix="1" applyFont="1" applyAlignment="1">
      <alignment horizontal="left" vertical="center" wrapText="1" indent="2"/>
    </xf>
    <xf numFmtId="175" fontId="31" fillId="0" borderId="0" xfId="27" applyNumberFormat="1"/>
    <xf numFmtId="166" fontId="0" fillId="0" borderId="0" xfId="1" applyNumberFormat="1" applyFont="1"/>
    <xf numFmtId="166" fontId="53" fillId="0" borderId="9" xfId="1" applyNumberFormat="1" applyFont="1" applyBorder="1"/>
    <xf numFmtId="166" fontId="80" fillId="0" borderId="0" xfId="1" applyNumberFormat="1" applyFont="1" applyBorder="1"/>
    <xf numFmtId="175" fontId="81" fillId="0" borderId="0" xfId="0" applyNumberFormat="1" applyFont="1"/>
    <xf numFmtId="0" fontId="82" fillId="0" borderId="0" xfId="0" applyFont="1"/>
    <xf numFmtId="0" fontId="51" fillId="0" borderId="22" xfId="11" quotePrefix="1" applyFont="1" applyBorder="1" applyAlignment="1">
      <alignment horizontal="left" vertical="center" wrapText="1"/>
    </xf>
    <xf numFmtId="0" fontId="51" fillId="0" borderId="22" xfId="0" applyFont="1" applyBorder="1"/>
    <xf numFmtId="165" fontId="83" fillId="0" borderId="22" xfId="11" applyNumberFormat="1" applyFont="1" applyBorder="1" applyAlignment="1">
      <alignment horizontal="right" vertical="center"/>
    </xf>
    <xf numFmtId="165" fontId="51" fillId="0" borderId="22" xfId="0" applyNumberFormat="1" applyFont="1" applyBorder="1" applyAlignment="1">
      <alignment horizontal="right"/>
    </xf>
    <xf numFmtId="172" fontId="60" fillId="0" borderId="9" xfId="0" applyNumberFormat="1" applyFont="1" applyBorder="1"/>
    <xf numFmtId="165" fontId="51" fillId="0" borderId="12" xfId="0" applyNumberFormat="1" applyFont="1" applyBorder="1" applyAlignment="1">
      <alignment horizontal="right"/>
    </xf>
    <xf numFmtId="172" fontId="60" fillId="0" borderId="22" xfId="0" applyNumberFormat="1" applyFont="1" applyBorder="1"/>
    <xf numFmtId="0" fontId="51" fillId="0" borderId="22" xfId="11" quotePrefix="1" applyFont="1" applyBorder="1" applyAlignment="1">
      <alignment horizontal="left" vertical="center" wrapText="1" indent="2"/>
    </xf>
    <xf numFmtId="172" fontId="51" fillId="0" borderId="22" xfId="0" applyNumberFormat="1" applyFont="1" applyBorder="1"/>
    <xf numFmtId="0" fontId="51" fillId="0" borderId="9" xfId="0" applyFont="1" applyBorder="1"/>
    <xf numFmtId="0" fontId="51" fillId="0" borderId="19" xfId="0" applyFont="1" applyBorder="1"/>
    <xf numFmtId="0" fontId="51" fillId="0" borderId="11" xfId="0" applyFont="1" applyBorder="1"/>
    <xf numFmtId="0" fontId="51" fillId="0" borderId="12" xfId="0" applyFont="1" applyBorder="1"/>
    <xf numFmtId="176" fontId="81" fillId="0" borderId="13" xfId="0" applyNumberFormat="1" applyFont="1" applyBorder="1"/>
    <xf numFmtId="171" fontId="84" fillId="0" borderId="0" xfId="0" applyNumberFormat="1" applyFont="1"/>
    <xf numFmtId="172" fontId="0" fillId="0" borderId="0" xfId="0" applyNumberFormat="1"/>
    <xf numFmtId="0" fontId="0" fillId="0" borderId="32" xfId="0" applyBorder="1"/>
    <xf numFmtId="172" fontId="55" fillId="0" borderId="32" xfId="0" applyNumberFormat="1" applyFont="1" applyBorder="1"/>
    <xf numFmtId="2" fontId="0" fillId="0" borderId="0" xfId="0" applyNumberFormat="1"/>
    <xf numFmtId="183" fontId="0" fillId="0" borderId="12" xfId="0" applyNumberFormat="1" applyBorder="1"/>
    <xf numFmtId="183" fontId="0" fillId="0" borderId="13" xfId="0" applyNumberFormat="1" applyBorder="1"/>
    <xf numFmtId="166" fontId="51" fillId="0" borderId="15" xfId="0" applyNumberFormat="1" applyFont="1" applyBorder="1"/>
    <xf numFmtId="0" fontId="51" fillId="0" borderId="14" xfId="0" applyFont="1" applyBorder="1"/>
    <xf numFmtId="166" fontId="51" fillId="0" borderId="20" xfId="0" applyNumberFormat="1" applyFont="1" applyBorder="1"/>
    <xf numFmtId="184" fontId="0" fillId="0" borderId="15" xfId="30" applyNumberFormat="1" applyFont="1" applyBorder="1"/>
    <xf numFmtId="166" fontId="0" fillId="0" borderId="23" xfId="1" applyNumberFormat="1" applyFont="1" applyBorder="1"/>
    <xf numFmtId="172" fontId="62" fillId="0" borderId="0" xfId="1" applyNumberFormat="1" applyFont="1" applyBorder="1"/>
    <xf numFmtId="166" fontId="58" fillId="0" borderId="0" xfId="1" applyNumberFormat="1" applyFont="1" applyBorder="1" applyAlignment="1">
      <alignment horizontal="right" vertical="center"/>
    </xf>
    <xf numFmtId="2" fontId="59" fillId="0" borderId="0" xfId="1" applyNumberFormat="1" applyFont="1" applyBorder="1" applyAlignment="1">
      <alignment horizontal="right" vertical="center"/>
    </xf>
    <xf numFmtId="0" fontId="51" fillId="0" borderId="21" xfId="0" applyFont="1" applyBorder="1"/>
    <xf numFmtId="175" fontId="51" fillId="0" borderId="22" xfId="0" applyNumberFormat="1" applyFont="1" applyBorder="1"/>
    <xf numFmtId="175" fontId="51" fillId="0" borderId="23" xfId="0" applyNumberFormat="1" applyFont="1" applyBorder="1"/>
    <xf numFmtId="9" fontId="14" fillId="0" borderId="0" xfId="1" applyFont="1" applyAlignment="1">
      <alignment horizontal="left" vertical="center" wrapText="1"/>
    </xf>
    <xf numFmtId="0" fontId="14" fillId="0" borderId="0" xfId="0" applyFont="1" applyAlignment="1">
      <alignment horizontal="left" vertical="center" wrapText="1"/>
    </xf>
    <xf numFmtId="16" fontId="19" fillId="0" borderId="0" xfId="11" applyNumberFormat="1" applyFont="1" applyAlignment="1">
      <alignment horizontal="center"/>
    </xf>
    <xf numFmtId="4" fontId="21" fillId="0" borderId="8" xfId="11" applyNumberFormat="1" applyFont="1" applyBorder="1" applyAlignment="1">
      <alignment horizontal="center" vertical="center"/>
    </xf>
    <xf numFmtId="4" fontId="21" fillId="0" borderId="3" xfId="11" applyNumberFormat="1" applyFont="1" applyBorder="1" applyAlignment="1">
      <alignment horizontal="center" vertical="center"/>
    </xf>
    <xf numFmtId="165" fontId="21" fillId="0" borderId="8" xfId="11" applyNumberFormat="1" applyFont="1" applyBorder="1" applyAlignment="1">
      <alignment horizontal="center" vertical="center"/>
    </xf>
    <xf numFmtId="165" fontId="21" fillId="0" borderId="3" xfId="11" applyNumberFormat="1" applyFont="1" applyBorder="1" applyAlignment="1">
      <alignment horizontal="center" vertical="center"/>
    </xf>
    <xf numFmtId="165" fontId="18" fillId="0" borderId="8" xfId="11" applyNumberFormat="1" applyFont="1" applyBorder="1" applyAlignment="1">
      <alignment horizontal="center" vertical="center"/>
    </xf>
    <xf numFmtId="165" fontId="18" fillId="0" borderId="3" xfId="11" applyNumberFormat="1" applyFont="1" applyBorder="1" applyAlignment="1">
      <alignment horizontal="center" vertical="center"/>
    </xf>
    <xf numFmtId="165" fontId="21" fillId="4" borderId="0" xfId="11" applyNumberFormat="1" applyFont="1" applyFill="1" applyAlignment="1">
      <alignment horizontal="center" vertical="center"/>
    </xf>
    <xf numFmtId="4" fontId="21" fillId="4" borderId="0" xfId="11" applyNumberFormat="1" applyFont="1" applyFill="1" applyAlignment="1">
      <alignment horizontal="center" vertical="center"/>
    </xf>
  </cellXfs>
  <cellStyles count="31">
    <cellStyle name="_Comma" xfId="17" xr:uid="{F151AEC4-94B1-47E3-AF3F-144D4EE1D39D}"/>
    <cellStyle name="_Currency" xfId="14" xr:uid="{A6DBBC97-D9A2-4FDC-94FF-6360B817C0BE}"/>
    <cellStyle name="_CurrencySpace" xfId="16" xr:uid="{1AA0068A-037C-41FB-A903-9DE6E3FD05CB}"/>
    <cellStyle name="_TableHead" xfId="2" xr:uid="{247FC818-099F-4935-AD18-C91F2D3EC358}"/>
    <cellStyle name="Comma" xfId="30" builtinId="3"/>
    <cellStyle name="Comma 10 12 10 2 2" xfId="26" xr:uid="{5146EB86-8CEE-48BB-AD9F-CD6D4C65A861}"/>
    <cellStyle name="Comma 16" xfId="25" xr:uid="{CBFB85B2-5CC6-421A-9DC4-8EDC70528662}"/>
    <cellStyle name="Comma 19" xfId="24" xr:uid="{317017BE-F064-4B59-A8F3-AB19BDD14485}"/>
    <cellStyle name="Comma 2" xfId="5" xr:uid="{EA5212CE-BAF6-4311-B5A2-93DA7B5F6DFF}"/>
    <cellStyle name="Comma 2 2" xfId="8" xr:uid="{6E595354-E731-4487-B880-31B5B55E0C4B}"/>
    <cellStyle name="Comma 3" xfId="10" xr:uid="{AE7F0AC9-9B25-478B-82C4-198B3E6970C8}"/>
    <cellStyle name="Comma 4" xfId="18" xr:uid="{77AF699C-5E9C-47A4-839F-32887C618169}"/>
    <cellStyle name="Comma 5" xfId="3" xr:uid="{E59F668D-0BFB-4BE7-9FB7-F7596E9187DA}"/>
    <cellStyle name="Comma 5 2" xfId="9" xr:uid="{AB224C7D-343B-4B85-962C-2AF10AD7B04A}"/>
    <cellStyle name="Hyperlink" xfId="27" builtinId="8"/>
    <cellStyle name="Hyperlink 2" xfId="7" xr:uid="{895C32F1-A36C-4650-86C4-73CBAD79C52B}"/>
    <cellStyle name="Normal" xfId="0" builtinId="0"/>
    <cellStyle name="Normal 14" xfId="19" xr:uid="{976ED44E-6973-40F4-AC7D-289524B7FCC5}"/>
    <cellStyle name="Normal 2" xfId="4" xr:uid="{4AEE7191-558A-45A8-BDBA-9464CC36519B}"/>
    <cellStyle name="Normal 2 2" xfId="20" xr:uid="{017214E0-2003-4C71-99D9-7B97A52213CC}"/>
    <cellStyle name="Normal 27" xfId="21" xr:uid="{5585B7B9-61F0-4874-B4AC-ADBFADDEBC33}"/>
    <cellStyle name="Normal 3" xfId="11" xr:uid="{89A0FB87-4428-4F0D-B677-AEBA808391E9}"/>
    <cellStyle name="Normal 4" xfId="22" xr:uid="{F87B6F77-1FAE-4586-80CC-E86E48F6AD68}"/>
    <cellStyle name="Normal 43" xfId="23" xr:uid="{51984ECE-B02F-49F9-A881-C588A7A94772}"/>
    <cellStyle name="Normal 5" xfId="28" xr:uid="{53810F97-D5F9-4F3F-855B-E95B0107B9EE}"/>
    <cellStyle name="Normal 6 2" xfId="13" xr:uid="{9D24EDA6-D19A-4F45-8D29-114A1D18A497}"/>
    <cellStyle name="Normal 7" xfId="12" xr:uid="{1F12BFA9-C8B1-45BA-8415-BEE69C4EC706}"/>
    <cellStyle name="Percent" xfId="1" builtinId="5"/>
    <cellStyle name="Percent 2" xfId="6" xr:uid="{168451DF-A6E5-4366-B6E3-E48D3E480EA1}"/>
    <cellStyle name="Percent 3" xfId="15" xr:uid="{08411931-98E1-403C-8203-A04660C8FCE4}"/>
    <cellStyle name="Percent 4" xfId="29" xr:uid="{6A71CEF7-A0F6-410D-9F62-23B8F5183496}"/>
  </cellStyles>
  <dxfs count="0"/>
  <tableStyles count="0" defaultTableStyle="TableStyleMedium2" defaultPivotStyle="PivotStyleLight16"/>
  <colors>
    <mruColors>
      <color rgb="FFF1C8C1"/>
      <color rgb="FFBF2938"/>
      <color rgb="FFE23744"/>
      <color rgb="FF0563C1"/>
      <color rgb="FF4F191E"/>
      <color rgb="FF7D1B23"/>
      <color rgb="FFFFDB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2</xdr:col>
      <xdr:colOff>67298</xdr:colOff>
      <xdr:row>2</xdr:row>
      <xdr:rowOff>55963</xdr:rowOff>
    </xdr:from>
    <xdr:to>
      <xdr:col>4</xdr:col>
      <xdr:colOff>336835</xdr:colOff>
      <xdr:row>4</xdr:row>
      <xdr:rowOff>85127</xdr:rowOff>
    </xdr:to>
    <xdr:pic>
      <xdr:nvPicPr>
        <xdr:cNvPr id="10" name="Picture 9" descr="Zomato jobs in Gurgaon | Nav Naukri | Search Jobs">
          <a:extLst>
            <a:ext uri="{FF2B5EF4-FFF2-40B4-BE49-F238E27FC236}">
              <a16:creationId xmlns:a16="http://schemas.microsoft.com/office/drawing/2014/main" id="{50AB8EAF-9976-FE1A-EB49-94DEEB4C1482}"/>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3796" t="33043" r="15904" b="33288"/>
        <a:stretch/>
      </xdr:blipFill>
      <xdr:spPr bwMode="auto">
        <a:xfrm>
          <a:off x="430980" y="436963"/>
          <a:ext cx="1481810" cy="4101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636211</xdr:colOff>
      <xdr:row>2</xdr:row>
      <xdr:rowOff>172307</xdr:rowOff>
    </xdr:from>
    <xdr:to>
      <xdr:col>20</xdr:col>
      <xdr:colOff>104462</xdr:colOff>
      <xdr:row>10</xdr:row>
      <xdr:rowOff>83869</xdr:rowOff>
    </xdr:to>
    <xdr:pic>
      <xdr:nvPicPr>
        <xdr:cNvPr id="2" name="Picture 1">
          <a:extLst>
            <a:ext uri="{FF2B5EF4-FFF2-40B4-BE49-F238E27FC236}">
              <a16:creationId xmlns:a16="http://schemas.microsoft.com/office/drawing/2014/main" id="{614ADA07-09A9-0997-2E1B-0D559DE5588C}"/>
            </a:ext>
          </a:extLst>
        </xdr:cNvPr>
        <xdr:cNvPicPr>
          <a:picLocks noChangeAspect="1"/>
        </xdr:cNvPicPr>
      </xdr:nvPicPr>
      <xdr:blipFill>
        <a:blip xmlns:r="http://schemas.openxmlformats.org/officeDocument/2006/relationships" r:embed="rId1"/>
        <a:stretch>
          <a:fillRect/>
        </a:stretch>
      </xdr:blipFill>
      <xdr:spPr>
        <a:xfrm>
          <a:off x="10624862" y="424291"/>
          <a:ext cx="4262299" cy="1248388"/>
        </a:xfrm>
        <a:prstGeom prst="rect">
          <a:avLst/>
        </a:prstGeom>
        <a:ln>
          <a:solidFill>
            <a:sysClr val="windowText" lastClr="000000"/>
          </a:solidFill>
        </a:ln>
      </xdr:spPr>
    </xdr:pic>
    <xdr:clientData/>
  </xdr:twoCellAnchor>
  <xdr:twoCellAnchor editAs="oneCell">
    <xdr:from>
      <xdr:col>23</xdr:col>
      <xdr:colOff>652992</xdr:colOff>
      <xdr:row>36</xdr:row>
      <xdr:rowOff>161553</xdr:rowOff>
    </xdr:from>
    <xdr:to>
      <xdr:col>36</xdr:col>
      <xdr:colOff>40872</xdr:colOff>
      <xdr:row>40</xdr:row>
      <xdr:rowOff>132046</xdr:rowOff>
    </xdr:to>
    <xdr:pic>
      <xdr:nvPicPr>
        <xdr:cNvPr id="3" name="Picture 2">
          <a:extLst>
            <a:ext uri="{FF2B5EF4-FFF2-40B4-BE49-F238E27FC236}">
              <a16:creationId xmlns:a16="http://schemas.microsoft.com/office/drawing/2014/main" id="{BD874BCF-293C-F9B1-E7D7-1BA5C893CE6A}"/>
            </a:ext>
          </a:extLst>
        </xdr:cNvPr>
        <xdr:cNvPicPr>
          <a:picLocks noChangeAspect="1"/>
        </xdr:cNvPicPr>
      </xdr:nvPicPr>
      <xdr:blipFill>
        <a:blip xmlns:r="http://schemas.openxmlformats.org/officeDocument/2006/relationships" r:embed="rId2"/>
        <a:stretch>
          <a:fillRect/>
        </a:stretch>
      </xdr:blipFill>
      <xdr:spPr>
        <a:xfrm>
          <a:off x="17616563" y="6279728"/>
          <a:ext cx="6897007" cy="696207"/>
        </a:xfrm>
        <a:prstGeom prst="rect">
          <a:avLst/>
        </a:prstGeom>
        <a:ln>
          <a:solidFill>
            <a:sysClr val="windowText" lastClr="000000"/>
          </a:solidFill>
        </a:ln>
      </xdr:spPr>
    </xdr:pic>
    <xdr:clientData/>
  </xdr:twoCellAnchor>
  <xdr:twoCellAnchor editAs="oneCell">
    <xdr:from>
      <xdr:col>25</xdr:col>
      <xdr:colOff>29600</xdr:colOff>
      <xdr:row>24</xdr:row>
      <xdr:rowOff>74638</xdr:rowOff>
    </xdr:from>
    <xdr:to>
      <xdr:col>32</xdr:col>
      <xdr:colOff>64336</xdr:colOff>
      <xdr:row>29</xdr:row>
      <xdr:rowOff>153278</xdr:rowOff>
    </xdr:to>
    <xdr:pic>
      <xdr:nvPicPr>
        <xdr:cNvPr id="4" name="Picture 3">
          <a:extLst>
            <a:ext uri="{FF2B5EF4-FFF2-40B4-BE49-F238E27FC236}">
              <a16:creationId xmlns:a16="http://schemas.microsoft.com/office/drawing/2014/main" id="{4E73C363-5585-CE2E-77F5-4730BDE6BD4D}"/>
            </a:ext>
          </a:extLst>
        </xdr:cNvPr>
        <xdr:cNvPicPr>
          <a:picLocks noChangeAspect="1"/>
        </xdr:cNvPicPr>
      </xdr:nvPicPr>
      <xdr:blipFill>
        <a:blip xmlns:r="http://schemas.openxmlformats.org/officeDocument/2006/relationships" r:embed="rId3"/>
        <a:stretch>
          <a:fillRect/>
        </a:stretch>
      </xdr:blipFill>
      <xdr:spPr>
        <a:xfrm>
          <a:off x="17849917" y="4015670"/>
          <a:ext cx="4274419" cy="985783"/>
        </a:xfrm>
        <a:prstGeom prst="rect">
          <a:avLst/>
        </a:prstGeom>
        <a:ln>
          <a:solidFill>
            <a:sysClr val="windowText" lastClr="000000"/>
          </a:solidFill>
        </a:ln>
      </xdr:spPr>
    </xdr:pic>
    <xdr:clientData/>
  </xdr:twoCellAnchor>
  <xdr:twoCellAnchor editAs="oneCell">
    <xdr:from>
      <xdr:col>29</xdr:col>
      <xdr:colOff>28302</xdr:colOff>
      <xdr:row>16</xdr:row>
      <xdr:rowOff>45527</xdr:rowOff>
    </xdr:from>
    <xdr:to>
      <xdr:col>35</xdr:col>
      <xdr:colOff>91147</xdr:colOff>
      <xdr:row>23</xdr:row>
      <xdr:rowOff>33183</xdr:rowOff>
    </xdr:to>
    <xdr:pic>
      <xdr:nvPicPr>
        <xdr:cNvPr id="5" name="Picture 4">
          <a:extLst>
            <a:ext uri="{FF2B5EF4-FFF2-40B4-BE49-F238E27FC236}">
              <a16:creationId xmlns:a16="http://schemas.microsoft.com/office/drawing/2014/main" id="{0AE8A3C2-F6B1-74EE-A932-1474C60BDBBC}"/>
            </a:ext>
          </a:extLst>
        </xdr:cNvPr>
        <xdr:cNvPicPr>
          <a:picLocks noChangeAspect="1"/>
        </xdr:cNvPicPr>
      </xdr:nvPicPr>
      <xdr:blipFill>
        <a:blip xmlns:r="http://schemas.openxmlformats.org/officeDocument/2006/relationships" r:embed="rId4"/>
        <a:stretch>
          <a:fillRect/>
        </a:stretch>
      </xdr:blipFill>
      <xdr:spPr>
        <a:xfrm>
          <a:off x="20563383" y="2759640"/>
          <a:ext cx="3749941" cy="1278140"/>
        </a:xfrm>
        <a:prstGeom prst="rect">
          <a:avLst/>
        </a:prstGeom>
        <a:ln>
          <a:solidFill>
            <a:schemeClr val="accent1"/>
          </a:solidFill>
        </a:ln>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0683c48a199f71f6/Desktop/Finance%20guy/Ooh%20Media%20Valuation_BS.xlsx" TargetMode="External"/><Relationship Id="rId1" Type="http://schemas.openxmlformats.org/officeDocument/2006/relationships/externalLinkPath" Target="file:///C:\Users\vbhav\OneDrive\Desktop\Finance%20guy\Ooh%20Media%20Valuation_B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Model"/>
      <sheetName val="Assumptions"/>
      <sheetName val="Assumptions Calcs"/>
      <sheetName val="Income Statement"/>
      <sheetName val="Balance Sheet"/>
      <sheetName val="Cash Flow Statement"/>
      <sheetName val="Debt Schedule"/>
      <sheetName val="Valuation"/>
      <sheetName val="Public Comps_Pull_USD"/>
      <sheetName val="Public Comps_Values_USD"/>
      <sheetName val="DCF - Perpetuity Growth"/>
      <sheetName val="DCF - Exit EBITDA"/>
      <sheetName val="BETA &amp; WACC"/>
    </sheetNames>
    <sheetDataSet>
      <sheetData sheetId="0"/>
      <sheetData sheetId="1"/>
      <sheetData sheetId="2">
        <row r="6">
          <cell r="C6">
            <v>2</v>
          </cell>
          <cell r="G6">
            <v>1</v>
          </cell>
        </row>
      </sheetData>
      <sheetData sheetId="3"/>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b.zmtcdn.com/investor-relations/0b2742ccddafa54e6310991ec25670ae_1729591296.pdf"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hyperlink" Target="https://www.thearcweb.com/article/swiggy-1000-dark-stores-march-2025-blinkit-zepto-quick-commerce-ZCGLxwXlzH396uux" TargetMode="External"/><Relationship Id="rId7" Type="http://schemas.openxmlformats.org/officeDocument/2006/relationships/hyperlink" Target="https://economictimes.indiatimes.com/tech/technology/zomato-leads-food-delivery-with-58-market-share-in-q1-blinkit-tops-quick-commerce/articleshow/115476021.cms?from=mdr" TargetMode="External"/><Relationship Id="rId2" Type="http://schemas.openxmlformats.org/officeDocument/2006/relationships/hyperlink" Target="https://economictimes.indiatimes.com/tech/technology/ubs-pegs-15-4-billion-enterprise-value-to-zomatos-blinkit-biz/articleshow/112650897.cms" TargetMode="External"/><Relationship Id="rId1" Type="http://schemas.openxmlformats.org/officeDocument/2006/relationships/hyperlink" Target="https://www.moneycontrol.com/news/business/startup/zepto-streamlines-structure-ahead-of-ipo-with-new-marketplace-entity-12901986.html" TargetMode="External"/><Relationship Id="rId6" Type="http://schemas.openxmlformats.org/officeDocument/2006/relationships/hyperlink" Target="https://economictimes.indiatimes.com/industry/services/retail/reliance-plays-catch-up-to-ride-india-quick-commerce-wave/articleshow/114756053.cms?from=mdr" TargetMode="External"/><Relationship Id="rId5" Type="http://schemas.openxmlformats.org/officeDocument/2006/relationships/hyperlink" Target="https://economictimes.indiatimes.com/tech/technology/amazon-tests-quick-commerce-tez-with-staff-flipkart-doubles-down-with-minutes/articleshow/117060739.cms?from=mdr" TargetMode="External"/><Relationship Id="rId4" Type="http://schemas.openxmlformats.org/officeDocument/2006/relationships/hyperlink" Target="https://www.ndtvprofit.com/business/bigbasket-aims-to-have-800-dark-stores-by-end-of-fy25-but-will-still-lag-zomato-swiggy"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8" Type="http://schemas.openxmlformats.org/officeDocument/2006/relationships/hyperlink" Target="https://economictimes.indiatimes.com/tech/technology/ubs-pegs-15-4-billion-enterprise-value-to-zomatos-blinkit-biz/articleshow/112650897.cms" TargetMode="External"/><Relationship Id="rId13" Type="http://schemas.openxmlformats.org/officeDocument/2006/relationships/hyperlink" Target="https://economictimes.indiatimes.com/tech/funding/zomato-infuses-rs-500-crore-in-quick-commerce-platform-blinkit/articleshow/117324852.cms?from=mdr" TargetMode="External"/><Relationship Id="rId18" Type="http://schemas.openxmlformats.org/officeDocument/2006/relationships/printerSettings" Target="../printerSettings/printerSettings7.bin"/><Relationship Id="rId3" Type="http://schemas.openxmlformats.org/officeDocument/2006/relationships/hyperlink" Target="https://economictimes.indiatimes.com/tech/startups/zomato-says-b2b-vertical-hyperpure-could-be-bigger-than-food-delivery/articleshow/93883515.cms?from=mdr" TargetMode="External"/><Relationship Id="rId7" Type="http://schemas.openxmlformats.org/officeDocument/2006/relationships/hyperlink" Target="https://in.investing.com/rates-bonds/india-10-year-bond-yield-historical-data?utm_source=chatgpt.com" TargetMode="External"/><Relationship Id="rId12" Type="http://schemas.openxmlformats.org/officeDocument/2006/relationships/hyperlink" Target="https://www.ndtvprofit.com/buzzing-stocks/hsbc-initiates-coverage-on-swiggy-with-hold-says-intense-competition-key-challenge" TargetMode="External"/><Relationship Id="rId17" Type="http://schemas.openxmlformats.org/officeDocument/2006/relationships/hyperlink" Target="https://www.financialexpress.com/business/industry-zomato-q3-results-profit-dips-significantly-to-rs-59-crore-on-continued-store-expansion-revenue-up-64-39-yoy-3720479/" TargetMode="External"/><Relationship Id="rId2" Type="http://schemas.openxmlformats.org/officeDocument/2006/relationships/hyperlink" Target="https://www.google.com/search?q=bookmyshow+grpowth+rate&amp;oq=bookmyshow+grpowth+rate&amp;gs_lcrp=EgZjaHJvbWUyBggAEEUYOTIJCAEQIRgKGKABMgkIAhAhGAoYoAEyBwgDECEYjwIyBwgEECEYjwLSAQg1MDczajBqNKgCALACAQ&amp;sourceid=chrome&amp;ie=UTF-8" TargetMode="External"/><Relationship Id="rId16" Type="http://schemas.openxmlformats.org/officeDocument/2006/relationships/hyperlink" Target="https://www.moneycontrol.com/financials/zomato/results/consolidated-quarterly-results/z" TargetMode="External"/><Relationship Id="rId1" Type="http://schemas.openxmlformats.org/officeDocument/2006/relationships/hyperlink" Target="https://economictimes.indiatimes.com/tech/tech-bytes/blinkit-contributes-more-to-zomatos-market-cap-than-its-food-delivery-biz-goldman-sachs/articleshow/109617343.cms" TargetMode="External"/><Relationship Id="rId6" Type="http://schemas.openxmlformats.org/officeDocument/2006/relationships/hyperlink" Target="https://www.moneycontrol.com/india/stockpricequote/online-services/zomato/Z" TargetMode="External"/><Relationship Id="rId11" Type="http://schemas.openxmlformats.org/officeDocument/2006/relationships/hyperlink" Target="https://companiesmarketcap.com/inr/zomato/cash-on-hand/" TargetMode="External"/><Relationship Id="rId5" Type="http://schemas.openxmlformats.org/officeDocument/2006/relationships/hyperlink" Target="https://groww.in/p/tax/corporate-tax" TargetMode="External"/><Relationship Id="rId15" Type="http://schemas.openxmlformats.org/officeDocument/2006/relationships/hyperlink" Target="https://www.financialexpress.com/sme-2/dark-store-tech-startups-see-a-glimmer-of-profit/3692620/" TargetMode="External"/><Relationship Id="rId10" Type="http://schemas.openxmlformats.org/officeDocument/2006/relationships/hyperlink" Target="https://companiesmarketcap.com/inr/zomato/total-debt/" TargetMode="External"/><Relationship Id="rId19" Type="http://schemas.openxmlformats.org/officeDocument/2006/relationships/drawing" Target="../drawings/drawing2.xml"/><Relationship Id="rId4" Type="http://schemas.openxmlformats.org/officeDocument/2006/relationships/hyperlink" Target="https://investmentguruindia.com/editorial/uploads/news-pdf/2e48e6a3_MORNING_INDIA-20240822-MOSL-MI-PG050.pdf" TargetMode="External"/><Relationship Id="rId9" Type="http://schemas.openxmlformats.org/officeDocument/2006/relationships/hyperlink" Target="https://economictimes.indiatimes.com/tech/technology/zomato-leads-food-delivery-with-58-market-share-in-q1-blinkit-tops-quick-commerce/articleshow/115476021.cms?from=mdr" TargetMode="External"/><Relationship Id="rId14" Type="http://schemas.openxmlformats.org/officeDocument/2006/relationships/hyperlink" Target="https://b.zmtcdn.com/investor-relations/Earnings-Call-Transcript-Q2FY25.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C1680-1023-49AF-AC13-145208B9C036}">
  <sheetPr codeName="Sheet1">
    <tabColor rgb="FFFF0000"/>
  </sheetPr>
  <dimension ref="A1:P18"/>
  <sheetViews>
    <sheetView showGridLines="0" zoomScaleNormal="100" workbookViewId="0"/>
  </sheetViews>
  <sheetFormatPr defaultColWidth="9.1796875" defaultRowHeight="14.5" x14ac:dyDescent="0.35"/>
  <cols>
    <col min="1" max="2" width="2.7265625" style="68" customWidth="1"/>
    <col min="3" max="16384" width="9.1796875" style="68"/>
  </cols>
  <sheetData>
    <row r="1" spans="1:16" x14ac:dyDescent="0.35">
      <c r="A1"/>
      <c r="B1"/>
      <c r="C1"/>
      <c r="D1"/>
      <c r="E1"/>
      <c r="F1"/>
      <c r="G1"/>
      <c r="H1"/>
      <c r="I1"/>
      <c r="J1"/>
      <c r="K1"/>
      <c r="L1"/>
      <c r="M1"/>
      <c r="N1"/>
      <c r="O1"/>
      <c r="P1" s="65"/>
    </row>
    <row r="2" spans="1:16" x14ac:dyDescent="0.35">
      <c r="A2"/>
      <c r="B2"/>
      <c r="C2"/>
      <c r="D2"/>
      <c r="E2"/>
      <c r="F2"/>
      <c r="G2"/>
      <c r="H2"/>
      <c r="I2"/>
      <c r="J2"/>
      <c r="K2"/>
      <c r="L2"/>
      <c r="M2"/>
      <c r="N2"/>
      <c r="O2"/>
      <c r="P2" s="65"/>
    </row>
    <row r="3" spans="1:16" x14ac:dyDescent="0.35">
      <c r="A3"/>
      <c r="B3"/>
      <c r="C3"/>
      <c r="D3"/>
      <c r="E3"/>
      <c r="F3"/>
      <c r="G3"/>
      <c r="H3"/>
      <c r="I3"/>
      <c r="J3"/>
      <c r="K3"/>
      <c r="L3"/>
      <c r="M3"/>
      <c r="N3"/>
      <c r="O3"/>
      <c r="P3" s="65"/>
    </row>
    <row r="4" spans="1:16" x14ac:dyDescent="0.35">
      <c r="A4"/>
      <c r="B4"/>
      <c r="C4"/>
      <c r="D4"/>
      <c r="E4"/>
      <c r="F4"/>
      <c r="G4"/>
      <c r="H4"/>
      <c r="I4"/>
      <c r="J4"/>
      <c r="K4"/>
      <c r="L4"/>
      <c r="M4"/>
      <c r="N4"/>
      <c r="O4"/>
      <c r="P4" s="65"/>
    </row>
    <row r="5" spans="1:16" x14ac:dyDescent="0.35">
      <c r="A5"/>
      <c r="B5"/>
      <c r="C5"/>
      <c r="D5"/>
      <c r="E5"/>
      <c r="F5"/>
      <c r="G5"/>
      <c r="H5"/>
      <c r="I5"/>
      <c r="J5"/>
      <c r="K5"/>
      <c r="L5"/>
      <c r="M5"/>
      <c r="N5"/>
      <c r="O5"/>
      <c r="P5" s="65"/>
    </row>
    <row r="6" spans="1:16" ht="71.5" x14ac:dyDescent="1.8">
      <c r="A6"/>
      <c r="B6"/>
      <c r="C6" s="114" t="s">
        <v>80</v>
      </c>
      <c r="D6"/>
      <c r="E6"/>
      <c r="F6"/>
      <c r="G6"/>
      <c r="H6"/>
      <c r="I6"/>
      <c r="J6"/>
      <c r="K6"/>
      <c r="L6"/>
      <c r="M6"/>
      <c r="N6"/>
      <c r="O6"/>
      <c r="P6" s="65"/>
    </row>
    <row r="7" spans="1:16" ht="5.25" customHeight="1" x14ac:dyDescent="0.4">
      <c r="A7"/>
      <c r="B7"/>
      <c r="C7" s="17"/>
      <c r="D7"/>
      <c r="E7"/>
      <c r="F7"/>
      <c r="G7"/>
      <c r="H7"/>
      <c r="I7"/>
      <c r="J7"/>
      <c r="K7"/>
      <c r="L7"/>
      <c r="M7"/>
      <c r="N7"/>
      <c r="O7"/>
      <c r="P7" s="65"/>
    </row>
    <row r="8" spans="1:16" ht="33" x14ac:dyDescent="0.85">
      <c r="A8"/>
      <c r="B8"/>
      <c r="C8" s="77" t="s">
        <v>174</v>
      </c>
      <c r="D8"/>
      <c r="E8"/>
      <c r="F8"/>
      <c r="G8"/>
      <c r="H8"/>
      <c r="I8"/>
      <c r="J8"/>
      <c r="K8"/>
      <c r="L8"/>
      <c r="M8"/>
      <c r="N8"/>
      <c r="O8"/>
      <c r="P8" s="65"/>
    </row>
    <row r="9" spans="1:16" ht="5.25" customHeight="1" x14ac:dyDescent="0.4">
      <c r="A9"/>
      <c r="B9"/>
      <c r="C9" s="17"/>
      <c r="D9"/>
      <c r="E9"/>
      <c r="F9"/>
      <c r="G9"/>
      <c r="H9"/>
      <c r="I9"/>
      <c r="J9"/>
      <c r="K9"/>
      <c r="L9"/>
      <c r="M9"/>
      <c r="N9"/>
      <c r="O9"/>
      <c r="P9" s="65"/>
    </row>
    <row r="10" spans="1:16" x14ac:dyDescent="0.35">
      <c r="A10"/>
      <c r="B10"/>
      <c r="C10"/>
      <c r="D10"/>
      <c r="E10"/>
      <c r="F10"/>
      <c r="G10"/>
      <c r="H10"/>
      <c r="I10"/>
      <c r="J10"/>
      <c r="K10"/>
      <c r="L10"/>
      <c r="M10"/>
      <c r="N10"/>
      <c r="O10"/>
      <c r="P10" s="65"/>
    </row>
    <row r="11" spans="1:16" ht="15" x14ac:dyDescent="0.4">
      <c r="A11"/>
      <c r="B11"/>
      <c r="C11" s="78"/>
      <c r="D11"/>
      <c r="E11"/>
      <c r="F11"/>
      <c r="G11"/>
      <c r="H11"/>
      <c r="I11"/>
      <c r="J11"/>
      <c r="K11"/>
      <c r="L11"/>
      <c r="M11"/>
      <c r="N11"/>
      <c r="O11"/>
      <c r="P11" s="65"/>
    </row>
    <row r="12" spans="1:16" x14ac:dyDescent="0.35">
      <c r="A12"/>
      <c r="B12"/>
      <c r="C12"/>
      <c r="D12"/>
      <c r="E12"/>
      <c r="F12"/>
      <c r="G12"/>
      <c r="H12"/>
      <c r="I12"/>
      <c r="J12"/>
      <c r="K12"/>
      <c r="L12"/>
      <c r="M12"/>
      <c r="N12"/>
      <c r="O12"/>
      <c r="P12" s="65"/>
    </row>
    <row r="13" spans="1:16" ht="18.5" x14ac:dyDescent="0.4">
      <c r="A13"/>
      <c r="B13"/>
      <c r="C13" s="80" t="s">
        <v>187</v>
      </c>
      <c r="D13"/>
      <c r="E13"/>
      <c r="F13"/>
      <c r="G13"/>
      <c r="H13"/>
      <c r="I13" s="122"/>
      <c r="J13"/>
      <c r="K13"/>
      <c r="L13"/>
      <c r="M13"/>
      <c r="N13"/>
      <c r="O13"/>
      <c r="P13" s="65"/>
    </row>
    <row r="14" spans="1:16" x14ac:dyDescent="0.35">
      <c r="A14"/>
      <c r="B14"/>
      <c r="C14"/>
      <c r="D14"/>
      <c r="E14"/>
      <c r="F14"/>
      <c r="G14"/>
      <c r="H14"/>
      <c r="I14"/>
      <c r="J14"/>
      <c r="K14"/>
      <c r="L14"/>
      <c r="M14"/>
      <c r="N14"/>
      <c r="O14"/>
      <c r="P14" s="65"/>
    </row>
    <row r="15" spans="1:16" x14ac:dyDescent="0.35">
      <c r="A15"/>
      <c r="B15"/>
      <c r="C15"/>
      <c r="D15"/>
      <c r="E15"/>
      <c r="F15"/>
      <c r="G15"/>
      <c r="H15"/>
      <c r="I15"/>
      <c r="J15"/>
      <c r="K15"/>
      <c r="L15"/>
      <c r="M15"/>
      <c r="N15"/>
      <c r="O15"/>
      <c r="P15" s="65"/>
    </row>
    <row r="16" spans="1:16" x14ac:dyDescent="0.35">
      <c r="A16"/>
      <c r="B16"/>
      <c r="C16"/>
      <c r="D16"/>
      <c r="E16"/>
      <c r="F16"/>
      <c r="G16"/>
      <c r="H16"/>
      <c r="I16"/>
      <c r="J16"/>
      <c r="K16"/>
      <c r="L16"/>
      <c r="M16"/>
      <c r="N16"/>
      <c r="O16"/>
      <c r="P16" s="65"/>
    </row>
    <row r="17" spans="1:16" x14ac:dyDescent="0.35">
      <c r="A17"/>
      <c r="B17"/>
      <c r="C17"/>
      <c r="D17"/>
      <c r="E17"/>
      <c r="F17"/>
      <c r="G17"/>
      <c r="H17"/>
      <c r="I17"/>
      <c r="J17"/>
      <c r="K17"/>
      <c r="L17"/>
      <c r="M17"/>
      <c r="N17"/>
      <c r="O17"/>
      <c r="P17" s="65"/>
    </row>
    <row r="18" spans="1:16" ht="15" thickBot="1" x14ac:dyDescent="0.4">
      <c r="A18" s="66"/>
      <c r="B18" s="66"/>
      <c r="C18" s="66"/>
      <c r="D18" s="66"/>
      <c r="E18" s="66"/>
      <c r="F18" s="66"/>
      <c r="G18" s="66"/>
      <c r="H18" s="66"/>
      <c r="I18" s="66"/>
      <c r="J18" s="66"/>
      <c r="K18" s="66"/>
      <c r="L18" s="66"/>
      <c r="M18" s="66"/>
      <c r="N18" s="66"/>
      <c r="O18" s="66"/>
      <c r="P18" s="67"/>
    </row>
  </sheetData>
  <hyperlinks>
    <hyperlink ref="C13" r:id="rId1" xr:uid="{93FB692D-4E23-4605-99A1-FBBAB4B1FC49}"/>
  </hyperlinks>
  <pageMargins left="0.7" right="0.7" top="0.75" bottom="0.75" header="0.3" footer="0.3"/>
  <pageSetup paperSize="9" orientation="portrait" verticalDpi="1200"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F52EF-5E96-4380-A432-E40F17381271}">
  <sheetPr codeName="Sheet2">
    <tabColor rgb="FFFF0000"/>
  </sheetPr>
  <dimension ref="A1:K13"/>
  <sheetViews>
    <sheetView showGridLines="0" topLeftCell="A3" zoomScaleNormal="100" workbookViewId="0"/>
  </sheetViews>
  <sheetFormatPr defaultRowHeight="14.5" x14ac:dyDescent="0.35"/>
  <cols>
    <col min="1" max="1" width="2.7265625" style="68" customWidth="1"/>
    <col min="2" max="2" width="6.7265625" style="68" customWidth="1"/>
    <col min="3" max="3" width="0.453125" style="68" customWidth="1"/>
    <col min="4" max="4" width="55.7265625" style="68" customWidth="1"/>
    <col min="5" max="16381" width="9.1796875" style="68"/>
    <col min="16382" max="16384" width="8.7265625" style="68"/>
  </cols>
  <sheetData>
    <row r="1" spans="1:11" ht="39" x14ac:dyDescent="1">
      <c r="A1" s="2" t="s">
        <v>68</v>
      </c>
      <c r="B1" s="2"/>
      <c r="C1" s="2"/>
      <c r="D1" s="2"/>
      <c r="E1" s="2"/>
      <c r="F1" s="2"/>
      <c r="G1" s="2"/>
      <c r="H1" s="2"/>
      <c r="I1" s="2"/>
      <c r="J1" s="2"/>
      <c r="K1" s="69"/>
    </row>
    <row r="2" spans="1:11" x14ac:dyDescent="0.35">
      <c r="A2"/>
      <c r="B2"/>
      <c r="C2"/>
      <c r="D2"/>
      <c r="E2"/>
      <c r="F2"/>
      <c r="G2"/>
      <c r="H2"/>
      <c r="I2"/>
      <c r="J2"/>
      <c r="K2" s="65"/>
    </row>
    <row r="3" spans="1:11" x14ac:dyDescent="0.35">
      <c r="A3"/>
      <c r="B3"/>
      <c r="C3"/>
      <c r="D3"/>
      <c r="E3"/>
      <c r="F3"/>
      <c r="G3"/>
      <c r="H3"/>
      <c r="I3"/>
      <c r="J3"/>
      <c r="K3" s="65"/>
    </row>
    <row r="4" spans="1:11" ht="19" thickBot="1" x14ac:dyDescent="0.55000000000000004">
      <c r="A4"/>
      <c r="B4" s="56" t="s">
        <v>65</v>
      </c>
      <c r="C4" s="64"/>
      <c r="D4" s="56" t="s">
        <v>93</v>
      </c>
      <c r="E4"/>
      <c r="F4"/>
      <c r="G4"/>
      <c r="H4"/>
      <c r="I4"/>
      <c r="J4"/>
      <c r="K4" s="65"/>
    </row>
    <row r="5" spans="1:11" ht="40" customHeight="1" thickBot="1" x14ac:dyDescent="0.6">
      <c r="A5"/>
      <c r="B5" s="74" t="s">
        <v>69</v>
      </c>
      <c r="C5" s="72"/>
      <c r="D5" s="76" t="s">
        <v>5</v>
      </c>
      <c r="E5"/>
      <c r="F5"/>
      <c r="G5"/>
      <c r="H5"/>
      <c r="I5"/>
      <c r="J5"/>
      <c r="K5" s="65"/>
    </row>
    <row r="6" spans="1:11" ht="40" customHeight="1" thickBot="1" x14ac:dyDescent="0.6">
      <c r="A6"/>
      <c r="B6" s="75" t="s">
        <v>70</v>
      </c>
      <c r="C6" s="73"/>
      <c r="D6" s="76" t="s">
        <v>27</v>
      </c>
      <c r="E6"/>
      <c r="F6"/>
      <c r="G6"/>
      <c r="H6"/>
      <c r="I6"/>
      <c r="J6"/>
      <c r="K6" s="65"/>
    </row>
    <row r="7" spans="1:11" ht="40" customHeight="1" thickBot="1" x14ac:dyDescent="0.6">
      <c r="A7"/>
      <c r="B7" s="75" t="s">
        <v>71</v>
      </c>
      <c r="C7" s="73"/>
      <c r="D7" s="76" t="s">
        <v>73</v>
      </c>
      <c r="E7"/>
      <c r="F7"/>
      <c r="G7"/>
      <c r="H7"/>
      <c r="I7"/>
      <c r="J7"/>
      <c r="K7" s="65"/>
    </row>
    <row r="8" spans="1:11" ht="40" customHeight="1" thickBot="1" x14ac:dyDescent="0.6">
      <c r="A8"/>
      <c r="B8" s="75" t="s">
        <v>72</v>
      </c>
      <c r="C8" s="73"/>
      <c r="D8" s="76" t="s">
        <v>118</v>
      </c>
      <c r="E8"/>
      <c r="F8"/>
      <c r="G8"/>
      <c r="H8"/>
      <c r="I8"/>
      <c r="J8"/>
      <c r="K8" s="65"/>
    </row>
    <row r="9" spans="1:11" x14ac:dyDescent="0.35">
      <c r="A9"/>
      <c r="B9"/>
      <c r="C9"/>
      <c r="D9"/>
      <c r="E9"/>
      <c r="F9"/>
      <c r="G9"/>
      <c r="H9"/>
      <c r="I9"/>
      <c r="J9"/>
      <c r="K9" s="65"/>
    </row>
    <row r="10" spans="1:11" x14ac:dyDescent="0.35">
      <c r="A10"/>
      <c r="B10"/>
      <c r="C10"/>
      <c r="D10"/>
      <c r="E10"/>
      <c r="F10"/>
      <c r="G10"/>
      <c r="H10"/>
      <c r="I10"/>
      <c r="J10"/>
      <c r="K10" s="65"/>
    </row>
    <row r="11" spans="1:11" x14ac:dyDescent="0.35">
      <c r="A11"/>
      <c r="B11"/>
      <c r="C11"/>
      <c r="D11"/>
      <c r="E11"/>
      <c r="F11"/>
      <c r="G11"/>
      <c r="H11"/>
      <c r="I11"/>
      <c r="J11"/>
      <c r="K11" s="65"/>
    </row>
    <row r="12" spans="1:11" x14ac:dyDescent="0.35">
      <c r="A12"/>
      <c r="B12"/>
      <c r="C12"/>
      <c r="D12"/>
      <c r="E12"/>
      <c r="F12"/>
      <c r="G12"/>
      <c r="H12"/>
      <c r="I12"/>
      <c r="J12"/>
      <c r="K12" s="65"/>
    </row>
    <row r="13" spans="1:11" ht="15" thickBot="1" x14ac:dyDescent="0.4">
      <c r="A13" s="66"/>
      <c r="B13" s="66"/>
      <c r="C13" s="66"/>
      <c r="D13" s="66"/>
      <c r="E13" s="66"/>
      <c r="F13" s="66"/>
      <c r="G13" s="66"/>
      <c r="H13" s="66"/>
      <c r="I13" s="66"/>
      <c r="J13" s="66"/>
      <c r="K13" s="67"/>
    </row>
  </sheetData>
  <hyperlinks>
    <hyperlink ref="D5" location="'A. Quarterly data'!A1" display="Quarterly data" xr:uid="{ECF67565-0438-41E5-BDC2-EA2EA8F502DC}"/>
    <hyperlink ref="D6" location="'B. Annual data'!A1" display="Annual data" xr:uid="{649526EA-8E47-4B97-BF47-3B469615C530}"/>
    <hyperlink ref="D7" location="'C. Reconciliation appendix'!A1" display="Reconciliation appendix" xr:uid="{1C71E735-837D-4A8E-B7C4-09C0DD465F70}"/>
    <hyperlink ref="D8" location="'D. Glossary'!A1" display="Glossary" xr:uid="{ED42C0EA-20C0-48E5-A499-B6D3BCF8ED3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B0660-7BF0-49D9-9589-BE931D6A8284}">
  <sheetPr codeName="Sheet8">
    <tabColor rgb="FFFF0000"/>
    <pageSetUpPr autoPageBreaks="0"/>
  </sheetPr>
  <dimension ref="A1:XFC78"/>
  <sheetViews>
    <sheetView showGridLines="0" zoomScale="75" zoomScaleNormal="100" workbookViewId="0">
      <pane ySplit="1" topLeftCell="A2" activePane="bottomLeft" state="frozen"/>
      <selection pane="bottomLeft"/>
    </sheetView>
  </sheetViews>
  <sheetFormatPr defaultColWidth="8.7265625" defaultRowHeight="16" x14ac:dyDescent="0.4"/>
  <cols>
    <col min="1" max="2" width="3.26953125" style="17" customWidth="1"/>
    <col min="3" max="3" width="50.54296875" style="18" customWidth="1"/>
    <col min="4" max="4" width="12.6328125" style="18" customWidth="1"/>
    <col min="5" max="16" width="12.6328125" style="17" customWidth="1"/>
    <col min="17" max="16384" width="8.7265625" style="17"/>
  </cols>
  <sheetData>
    <row r="1" spans="1:16" s="2" customFormat="1" ht="39" x14ac:dyDescent="1">
      <c r="A1" s="2" t="s">
        <v>78</v>
      </c>
      <c r="C1" s="16"/>
      <c r="D1" s="16"/>
    </row>
    <row r="2" spans="1:16" ht="14.5" customHeight="1" x14ac:dyDescent="0.4"/>
    <row r="3" spans="1:16" s="3" customFormat="1" ht="20.25" customHeight="1" x14ac:dyDescent="0.55000000000000004">
      <c r="A3" s="60" t="s">
        <v>81</v>
      </c>
      <c r="D3" s="80" t="s">
        <v>82</v>
      </c>
    </row>
    <row r="4" spans="1:16" s="3" customFormat="1" ht="15" customHeight="1" x14ac:dyDescent="0.55000000000000004">
      <c r="A4" s="60"/>
      <c r="D4" s="80"/>
    </row>
    <row r="5" spans="1:16" s="3" customFormat="1" ht="20.25" customHeight="1" x14ac:dyDescent="0.55000000000000004">
      <c r="A5" s="60"/>
      <c r="B5" s="80" t="s">
        <v>83</v>
      </c>
      <c r="C5" s="80" t="s">
        <v>57</v>
      </c>
      <c r="D5" s="82"/>
    </row>
    <row r="6" spans="1:16" s="3" customFormat="1" ht="5.25" customHeight="1" x14ac:dyDescent="0.55000000000000004">
      <c r="A6" s="60"/>
      <c r="B6" s="80"/>
      <c r="C6" s="80"/>
      <c r="D6" s="82"/>
    </row>
    <row r="7" spans="1:16" s="3" customFormat="1" ht="20.25" customHeight="1" x14ac:dyDescent="0.55000000000000004">
      <c r="A7" s="60"/>
      <c r="B7" s="80" t="s">
        <v>84</v>
      </c>
      <c r="C7" s="80" t="s">
        <v>58</v>
      </c>
      <c r="D7" s="82"/>
    </row>
    <row r="8" spans="1:16" ht="14.5" customHeight="1" x14ac:dyDescent="0.4"/>
    <row r="9" spans="1:16" ht="14.5" customHeight="1" x14ac:dyDescent="0.4"/>
    <row r="10" spans="1:16" ht="21" x14ac:dyDescent="0.55000000000000004">
      <c r="A10" s="60" t="s">
        <v>91</v>
      </c>
      <c r="B10" s="60"/>
    </row>
    <row r="11" spans="1:16" ht="20.25" customHeight="1" x14ac:dyDescent="0.4"/>
    <row r="12" spans="1:16" ht="18.5" x14ac:dyDescent="0.5">
      <c r="A12" s="47"/>
      <c r="B12" s="62" t="s">
        <v>64</v>
      </c>
      <c r="D12" s="50"/>
      <c r="E12" s="3"/>
      <c r="F12" s="3"/>
      <c r="G12" s="3"/>
      <c r="H12" s="3"/>
    </row>
    <row r="13" spans="1:16" ht="19" thickBot="1" x14ac:dyDescent="0.55000000000000004">
      <c r="C13" s="51" t="s">
        <v>40</v>
      </c>
      <c r="D13" s="52" t="s">
        <v>22</v>
      </c>
      <c r="E13" s="52" t="s">
        <v>23</v>
      </c>
      <c r="F13" s="52" t="s">
        <v>24</v>
      </c>
      <c r="G13" s="52" t="s">
        <v>55</v>
      </c>
      <c r="H13" s="52" t="s">
        <v>95</v>
      </c>
      <c r="I13" s="52" t="s">
        <v>96</v>
      </c>
      <c r="J13" s="52" t="s">
        <v>102</v>
      </c>
      <c r="K13" s="52" t="s">
        <v>109</v>
      </c>
      <c r="L13" s="52" t="s">
        <v>120</v>
      </c>
      <c r="M13" s="52" t="s">
        <v>150</v>
      </c>
      <c r="N13" s="52" t="s">
        <v>158</v>
      </c>
      <c r="O13" s="52" t="s">
        <v>173</v>
      </c>
      <c r="P13" s="52" t="s">
        <v>175</v>
      </c>
    </row>
    <row r="14" spans="1:16" ht="20.25" customHeight="1" x14ac:dyDescent="0.4">
      <c r="C14" s="53" t="s">
        <v>41</v>
      </c>
      <c r="D14" s="9">
        <v>10.199999999999999</v>
      </c>
      <c r="E14" s="9">
        <v>11.1</v>
      </c>
      <c r="F14" s="9">
        <v>12.1</v>
      </c>
      <c r="G14" s="9">
        <v>14.1</v>
      </c>
      <c r="H14" s="24">
        <v>16.61</v>
      </c>
      <c r="I14" s="24">
        <v>19.48</v>
      </c>
      <c r="J14" s="24">
        <v>20.56</v>
      </c>
      <c r="K14" s="24">
        <v>24.16</v>
      </c>
      <c r="L14" s="24">
        <v>28.48</v>
      </c>
      <c r="M14" s="24">
        <v>32.880000000000003</v>
      </c>
      <c r="N14" s="24">
        <v>35.619999999999997</v>
      </c>
      <c r="O14" s="24">
        <v>42.06</v>
      </c>
      <c r="P14" s="24">
        <v>47.99</v>
      </c>
    </row>
    <row r="15" spans="1:16" ht="20.25" customHeight="1" x14ac:dyDescent="0.4">
      <c r="C15" s="53" t="s">
        <v>42</v>
      </c>
      <c r="D15" s="9">
        <v>4</v>
      </c>
      <c r="E15" s="9">
        <v>3.1</v>
      </c>
      <c r="F15" s="9">
        <v>3.3</v>
      </c>
      <c r="G15" s="9">
        <v>4</v>
      </c>
      <c r="H15" s="24">
        <v>4.46</v>
      </c>
      <c r="I15" s="24">
        <v>4.1500000000000004</v>
      </c>
      <c r="J15" s="24">
        <v>3.57</v>
      </c>
      <c r="K15" s="24">
        <v>3.7</v>
      </c>
      <c r="L15" s="24">
        <v>3.79</v>
      </c>
      <c r="M15" s="24">
        <v>3.21</v>
      </c>
      <c r="N15" s="24">
        <v>2.78</v>
      </c>
      <c r="O15" s="24">
        <v>2.61</v>
      </c>
      <c r="P15" s="24">
        <v>2.5299999999999998</v>
      </c>
    </row>
    <row r="16" spans="1:16" ht="38" customHeight="1" x14ac:dyDescent="0.4">
      <c r="C16" s="53" t="s">
        <v>160</v>
      </c>
      <c r="D16" s="9" t="s">
        <v>10</v>
      </c>
      <c r="E16" s="9" t="s">
        <v>10</v>
      </c>
      <c r="F16" s="9" t="s">
        <v>10</v>
      </c>
      <c r="G16" s="9" t="s">
        <v>10</v>
      </c>
      <c r="H16" s="9" t="s">
        <v>10</v>
      </c>
      <c r="I16" s="9" t="s">
        <v>10</v>
      </c>
      <c r="J16" s="9" t="s">
        <v>10</v>
      </c>
      <c r="K16" s="9" t="s">
        <v>10</v>
      </c>
      <c r="L16" s="24">
        <v>0.13</v>
      </c>
      <c r="M16" s="24">
        <v>0.37</v>
      </c>
      <c r="N16" s="24">
        <v>0.33</v>
      </c>
      <c r="O16" s="24">
        <v>0.53</v>
      </c>
      <c r="P16" s="24">
        <v>0.75</v>
      </c>
    </row>
    <row r="17" spans="1:16" ht="20.25" customHeight="1" x14ac:dyDescent="0.4">
      <c r="C17" s="54" t="s">
        <v>39</v>
      </c>
      <c r="D17" s="30">
        <v>14.2</v>
      </c>
      <c r="E17" s="30">
        <v>14.2</v>
      </c>
      <c r="F17" s="30">
        <v>15.4</v>
      </c>
      <c r="G17" s="30">
        <v>18.100000000000001</v>
      </c>
      <c r="H17" s="44">
        <v>21.07</v>
      </c>
      <c r="I17" s="44">
        <v>23.63</v>
      </c>
      <c r="J17" s="44">
        <v>24.13</v>
      </c>
      <c r="K17" s="44">
        <v>27.86</v>
      </c>
      <c r="L17" s="44">
        <v>32.4</v>
      </c>
      <c r="M17" s="44">
        <v>36.46</v>
      </c>
      <c r="N17" s="44">
        <v>38.729999999999997</v>
      </c>
      <c r="O17" s="44">
        <v>45.2</v>
      </c>
      <c r="P17" s="44">
        <v>51.27</v>
      </c>
    </row>
    <row r="18" spans="1:16" ht="20.25" customHeight="1" x14ac:dyDescent="0.4">
      <c r="C18" s="25"/>
      <c r="D18" s="26"/>
      <c r="E18" s="26"/>
      <c r="F18" s="26"/>
      <c r="G18" s="26"/>
      <c r="H18" s="26"/>
      <c r="I18" s="26"/>
    </row>
    <row r="19" spans="1:16" ht="18.5" x14ac:dyDescent="0.5">
      <c r="A19" s="47"/>
      <c r="B19" s="62" t="s">
        <v>101</v>
      </c>
      <c r="D19" s="29"/>
      <c r="E19" s="29"/>
      <c r="F19" s="29"/>
      <c r="G19" s="29"/>
      <c r="H19" s="29"/>
      <c r="I19" s="3"/>
    </row>
    <row r="20" spans="1:16" ht="19" thickBot="1" x14ac:dyDescent="0.55000000000000004">
      <c r="A20" s="47"/>
      <c r="B20" s="62"/>
      <c r="C20" s="51" t="s">
        <v>40</v>
      </c>
      <c r="D20" s="52" t="s">
        <v>22</v>
      </c>
      <c r="E20" s="52" t="s">
        <v>23</v>
      </c>
      <c r="F20" s="52" t="s">
        <v>24</v>
      </c>
      <c r="G20" s="52" t="s">
        <v>55</v>
      </c>
      <c r="H20" s="52" t="s">
        <v>95</v>
      </c>
      <c r="I20" s="52" t="s">
        <v>96</v>
      </c>
      <c r="J20" s="52" t="s">
        <v>102</v>
      </c>
      <c r="K20" s="52" t="s">
        <v>109</v>
      </c>
      <c r="L20" s="52" t="s">
        <v>120</v>
      </c>
      <c r="M20" s="52" t="s">
        <v>150</v>
      </c>
      <c r="N20" s="52" t="s">
        <v>158</v>
      </c>
      <c r="O20" s="52" t="s">
        <v>173</v>
      </c>
      <c r="P20" s="52" t="s">
        <v>175</v>
      </c>
    </row>
    <row r="21" spans="1:16" ht="18.5" x14ac:dyDescent="0.4">
      <c r="A21" s="47"/>
      <c r="B21" s="62"/>
      <c r="C21" s="54" t="s">
        <v>2</v>
      </c>
      <c r="D21" s="30">
        <v>-3.1</v>
      </c>
      <c r="E21" s="30">
        <v>-2.7</v>
      </c>
      <c r="F21" s="30">
        <v>-2.2000000000000002</v>
      </c>
      <c r="G21" s="30">
        <v>-1.5</v>
      </c>
      <c r="H21" s="44">
        <v>-1.92</v>
      </c>
      <c r="I21" s="44">
        <v>-2.65</v>
      </c>
      <c r="J21" s="44">
        <v>-1.75</v>
      </c>
      <c r="K21" s="44">
        <v>0.12</v>
      </c>
      <c r="L21" s="44">
        <v>0.41</v>
      </c>
      <c r="M21" s="44">
        <v>1.25</v>
      </c>
      <c r="N21" s="44">
        <v>1.94</v>
      </c>
      <c r="O21" s="44">
        <v>2.99</v>
      </c>
      <c r="P21" s="44">
        <v>3.3</v>
      </c>
    </row>
    <row r="22" spans="1:16" ht="18.5" x14ac:dyDescent="0.4">
      <c r="A22" s="47"/>
      <c r="B22" s="62"/>
      <c r="C22" s="53" t="s">
        <v>141</v>
      </c>
      <c r="D22" s="9">
        <v>1.4</v>
      </c>
      <c r="E22" s="9">
        <v>1.5</v>
      </c>
      <c r="F22" s="9">
        <v>1.4</v>
      </c>
      <c r="G22" s="9">
        <v>1.7</v>
      </c>
      <c r="H22" s="24">
        <v>1.7</v>
      </c>
      <c r="I22" s="24">
        <v>1.73</v>
      </c>
      <c r="J22" s="24">
        <v>1.71</v>
      </c>
      <c r="K22" s="24">
        <v>1.81</v>
      </c>
      <c r="L22" s="24">
        <v>2.12</v>
      </c>
      <c r="M22" s="24">
        <v>2.19</v>
      </c>
      <c r="N22" s="24">
        <v>2.35</v>
      </c>
      <c r="O22" s="24">
        <v>2.36</v>
      </c>
      <c r="P22" s="24">
        <v>2.21</v>
      </c>
    </row>
    <row r="23" spans="1:16" ht="18.5" x14ac:dyDescent="0.4">
      <c r="A23" s="47"/>
      <c r="B23" s="62"/>
      <c r="C23" s="53" t="s">
        <v>142</v>
      </c>
      <c r="D23" s="9" t="s">
        <v>10</v>
      </c>
      <c r="E23" s="9" t="s">
        <v>10</v>
      </c>
      <c r="F23" s="9" t="s">
        <v>10</v>
      </c>
      <c r="G23" s="9" t="s">
        <v>10</v>
      </c>
      <c r="H23" s="24">
        <v>0.17</v>
      </c>
      <c r="I23" s="24">
        <v>0.28000000000000003</v>
      </c>
      <c r="J23" s="24">
        <v>0.33</v>
      </c>
      <c r="K23" s="24">
        <v>0.4</v>
      </c>
      <c r="L23" s="24">
        <v>0.44</v>
      </c>
      <c r="M23" s="24">
        <v>0.48</v>
      </c>
      <c r="N23" s="24">
        <v>0.53</v>
      </c>
      <c r="O23" s="24">
        <v>0.63</v>
      </c>
      <c r="P23" s="24">
        <v>0.75</v>
      </c>
    </row>
    <row r="24" spans="1:16" ht="18.5" x14ac:dyDescent="0.4">
      <c r="A24" s="47"/>
      <c r="B24" s="62"/>
      <c r="C24" s="53" t="s">
        <v>143</v>
      </c>
      <c r="D24" s="9">
        <v>0.4</v>
      </c>
      <c r="E24" s="9">
        <v>0.4</v>
      </c>
      <c r="F24" s="9">
        <v>0.4</v>
      </c>
      <c r="G24" s="9">
        <v>0.4</v>
      </c>
      <c r="H24" s="24">
        <v>1.07</v>
      </c>
      <c r="I24" s="24">
        <v>1.55</v>
      </c>
      <c r="J24" s="24">
        <v>1.34</v>
      </c>
      <c r="K24" s="24">
        <v>1.3</v>
      </c>
      <c r="L24" s="24">
        <v>1.28</v>
      </c>
      <c r="M24" s="24">
        <v>1.28</v>
      </c>
      <c r="N24" s="24">
        <v>1.4</v>
      </c>
      <c r="O24" s="24">
        <v>1.49</v>
      </c>
      <c r="P24" s="24">
        <v>1.8</v>
      </c>
    </row>
    <row r="25" spans="1:16" ht="18.5" x14ac:dyDescent="0.4">
      <c r="A25" s="47"/>
      <c r="B25" s="62"/>
      <c r="C25" s="53" t="s">
        <v>144</v>
      </c>
      <c r="D25" s="9">
        <v>0.03</v>
      </c>
      <c r="E25" s="9">
        <v>0.03</v>
      </c>
      <c r="F25" s="9">
        <v>0.03</v>
      </c>
      <c r="G25" s="9">
        <v>4.9000000000000002E-2</v>
      </c>
      <c r="H25" s="24">
        <v>0.12</v>
      </c>
      <c r="I25" s="24">
        <v>0.16</v>
      </c>
      <c r="J25" s="24">
        <v>0.15</v>
      </c>
      <c r="K25" s="24">
        <v>0.18</v>
      </c>
      <c r="L25" s="24">
        <v>0.16</v>
      </c>
      <c r="M25" s="24">
        <v>0.18</v>
      </c>
      <c r="N25" s="24">
        <v>0.2</v>
      </c>
      <c r="O25" s="24">
        <v>0.25</v>
      </c>
      <c r="P25" s="24">
        <v>0.3</v>
      </c>
    </row>
    <row r="26" spans="1:16" ht="18.5" x14ac:dyDescent="0.4">
      <c r="A26" s="47"/>
      <c r="B26" s="62"/>
      <c r="C26" s="53" t="s">
        <v>145</v>
      </c>
      <c r="D26" s="9">
        <v>2.2999999999999998</v>
      </c>
      <c r="E26" s="9">
        <v>2.2000000000000002</v>
      </c>
      <c r="F26" s="9">
        <v>2.2000000000000002</v>
      </c>
      <c r="G26" s="9">
        <v>1.6</v>
      </c>
      <c r="H26" s="24">
        <v>1.36</v>
      </c>
      <c r="I26" s="24">
        <v>1.29</v>
      </c>
      <c r="J26" s="24">
        <v>0.84</v>
      </c>
      <c r="K26" s="24">
        <v>1</v>
      </c>
      <c r="L26" s="24">
        <v>1.32</v>
      </c>
      <c r="M26" s="24">
        <v>1.22</v>
      </c>
      <c r="N26" s="24">
        <v>1.61</v>
      </c>
      <c r="O26" s="24">
        <v>1.85</v>
      </c>
      <c r="P26" s="24">
        <v>1.79</v>
      </c>
    </row>
    <row r="27" spans="1:16" ht="18.5" x14ac:dyDescent="0.4">
      <c r="A27" s="47"/>
      <c r="B27" s="62"/>
      <c r="C27" s="53" t="s">
        <v>146</v>
      </c>
      <c r="D27" s="9">
        <v>-0.1</v>
      </c>
      <c r="E27" s="9">
        <v>-3.2</v>
      </c>
      <c r="F27" s="9">
        <v>0.1</v>
      </c>
      <c r="G27" s="9">
        <v>0</v>
      </c>
      <c r="H27" s="24">
        <v>0</v>
      </c>
      <c r="I27" s="24">
        <v>0</v>
      </c>
      <c r="J27" s="24">
        <v>0</v>
      </c>
      <c r="K27" s="24">
        <v>0</v>
      </c>
      <c r="L27" s="24">
        <v>0</v>
      </c>
      <c r="M27" s="24">
        <v>0</v>
      </c>
      <c r="N27" s="24">
        <v>0</v>
      </c>
      <c r="O27" s="24">
        <v>0</v>
      </c>
      <c r="P27" s="24">
        <v>0</v>
      </c>
    </row>
    <row r="28" spans="1:16" ht="18.5" x14ac:dyDescent="0.4">
      <c r="A28" s="47"/>
      <c r="B28" s="62"/>
      <c r="C28" s="53" t="s">
        <v>147</v>
      </c>
      <c r="D28" s="9">
        <v>0</v>
      </c>
      <c r="E28" s="9">
        <v>0</v>
      </c>
      <c r="F28" s="9">
        <v>0</v>
      </c>
      <c r="G28" s="9">
        <v>0</v>
      </c>
      <c r="H28" s="24">
        <v>-0.1</v>
      </c>
      <c r="I28" s="24">
        <v>-0.17</v>
      </c>
      <c r="J28" s="24">
        <v>-0.16</v>
      </c>
      <c r="K28" s="24">
        <v>-0.17</v>
      </c>
      <c r="L28" s="24">
        <v>-0.15</v>
      </c>
      <c r="M28" s="24">
        <v>-0.14000000000000001</v>
      </c>
      <c r="N28" s="24">
        <v>-0.14000000000000001</v>
      </c>
      <c r="O28" s="24">
        <v>-0.14000000000000001</v>
      </c>
      <c r="P28" s="24">
        <v>0.61</v>
      </c>
    </row>
    <row r="29" spans="1:16" ht="18.5" x14ac:dyDescent="0.4">
      <c r="A29" s="47"/>
      <c r="B29" s="62"/>
      <c r="C29" s="54" t="s">
        <v>148</v>
      </c>
      <c r="D29" s="30">
        <v>-4.3</v>
      </c>
      <c r="E29" s="30">
        <v>-0.7</v>
      </c>
      <c r="F29" s="30">
        <v>-3.6</v>
      </c>
      <c r="G29" s="30">
        <v>-1.9</v>
      </c>
      <c r="H29" s="44">
        <v>-2.5099999999999998</v>
      </c>
      <c r="I29" s="44">
        <v>-3.47</v>
      </c>
      <c r="J29" s="44">
        <v>-1.88</v>
      </c>
      <c r="K29" s="44">
        <v>0.02</v>
      </c>
      <c r="L29" s="44">
        <v>0.36</v>
      </c>
      <c r="M29" s="44">
        <v>1.38</v>
      </c>
      <c r="N29" s="44">
        <v>1.75</v>
      </c>
      <c r="O29" s="44">
        <v>2.5299999999999998</v>
      </c>
      <c r="P29" s="44">
        <v>1.76</v>
      </c>
    </row>
    <row r="30" spans="1:16" ht="5.25" customHeight="1" x14ac:dyDescent="0.4"/>
    <row r="31" spans="1:16" ht="18.75" customHeight="1" x14ac:dyDescent="0.4">
      <c r="C31" s="352" t="s">
        <v>77</v>
      </c>
      <c r="D31" s="352"/>
      <c r="E31" s="352"/>
      <c r="F31" s="352"/>
      <c r="G31" s="352"/>
      <c r="H31" s="42"/>
      <c r="O31" s="85"/>
      <c r="P31" s="85"/>
    </row>
    <row r="32" spans="1:16" s="3" customFormat="1" ht="20" customHeight="1" x14ac:dyDescent="0.5">
      <c r="C32" s="352" t="s">
        <v>176</v>
      </c>
      <c r="D32" s="352"/>
      <c r="E32" s="352"/>
      <c r="F32" s="352"/>
      <c r="G32" s="352"/>
      <c r="H32" s="352"/>
      <c r="I32" s="352"/>
      <c r="J32" s="37"/>
      <c r="K32" s="37"/>
      <c r="L32" s="37"/>
      <c r="M32" s="37"/>
      <c r="N32" s="37"/>
      <c r="O32" s="37"/>
      <c r="P32" s="37"/>
    </row>
    <row r="33" spans="1:16" s="3" customFormat="1" ht="20" customHeight="1" x14ac:dyDescent="0.5">
      <c r="C33" s="352"/>
      <c r="D33" s="352"/>
      <c r="E33" s="352"/>
      <c r="F33" s="352"/>
      <c r="G33" s="352"/>
      <c r="H33" s="352"/>
      <c r="I33" s="352"/>
      <c r="J33" s="37"/>
      <c r="K33" s="37"/>
      <c r="L33" s="37"/>
      <c r="M33" s="37"/>
      <c r="N33" s="37"/>
      <c r="O33" s="37"/>
      <c r="P33" s="37"/>
    </row>
    <row r="34" spans="1:16" s="3" customFormat="1" ht="20" customHeight="1" x14ac:dyDescent="0.5">
      <c r="C34" s="352"/>
      <c r="D34" s="352"/>
      <c r="E34" s="352"/>
      <c r="F34" s="352"/>
      <c r="G34" s="352"/>
      <c r="H34" s="352"/>
      <c r="I34" s="352"/>
      <c r="J34" s="37"/>
      <c r="K34" s="37"/>
      <c r="L34" s="37"/>
      <c r="M34" s="37"/>
      <c r="N34" s="37"/>
      <c r="O34" s="37"/>
      <c r="P34" s="37"/>
    </row>
    <row r="35" spans="1:16" ht="18.75" customHeight="1" x14ac:dyDescent="0.4">
      <c r="C35" s="71" t="s">
        <v>163</v>
      </c>
      <c r="D35" s="59"/>
      <c r="E35" s="59"/>
      <c r="F35" s="59"/>
      <c r="G35" s="59"/>
      <c r="H35" s="42"/>
    </row>
    <row r="36" spans="1:16" ht="12" customHeight="1" x14ac:dyDescent="0.4">
      <c r="C36" s="352" t="s">
        <v>164</v>
      </c>
      <c r="D36" s="352"/>
      <c r="E36" s="352"/>
      <c r="F36" s="352"/>
      <c r="G36" s="352"/>
      <c r="H36" s="352"/>
      <c r="I36" s="352"/>
      <c r="J36" s="123"/>
      <c r="K36" s="123"/>
      <c r="L36" s="123"/>
      <c r="M36" s="123"/>
      <c r="N36" s="123"/>
      <c r="O36" s="123"/>
    </row>
    <row r="37" spans="1:16" ht="12" customHeight="1" x14ac:dyDescent="0.4">
      <c r="C37" s="352"/>
      <c r="D37" s="352"/>
      <c r="E37" s="352"/>
      <c r="F37" s="352"/>
      <c r="G37" s="352"/>
      <c r="H37" s="352"/>
      <c r="I37" s="352"/>
      <c r="J37" s="123"/>
      <c r="K37" s="123"/>
      <c r="L37" s="123"/>
      <c r="M37" s="123"/>
      <c r="N37" s="123"/>
      <c r="O37" s="123"/>
    </row>
    <row r="38" spans="1:16" ht="12" customHeight="1" x14ac:dyDescent="0.4">
      <c r="C38" s="352"/>
      <c r="D38" s="352"/>
      <c r="E38" s="352"/>
      <c r="F38" s="352"/>
      <c r="G38" s="352"/>
      <c r="H38" s="352"/>
      <c r="I38" s="352"/>
      <c r="J38" s="123"/>
      <c r="K38" s="123"/>
      <c r="L38" s="123"/>
      <c r="M38" s="123"/>
      <c r="N38" s="123"/>
      <c r="O38" s="123"/>
    </row>
    <row r="39" spans="1:16" ht="12" customHeight="1" x14ac:dyDescent="0.4">
      <c r="C39" s="352"/>
      <c r="D39" s="352"/>
      <c r="E39" s="352"/>
      <c r="F39" s="352"/>
      <c r="G39" s="352"/>
      <c r="H39" s="352"/>
      <c r="I39" s="352"/>
      <c r="J39" s="123"/>
      <c r="K39" s="123"/>
      <c r="L39" s="123"/>
      <c r="M39" s="123"/>
      <c r="N39" s="123"/>
      <c r="O39" s="123"/>
    </row>
    <row r="40" spans="1:16" ht="12" customHeight="1" x14ac:dyDescent="0.4">
      <c r="C40" s="352" t="s">
        <v>192</v>
      </c>
      <c r="D40" s="352"/>
      <c r="E40" s="352"/>
      <c r="F40" s="352"/>
      <c r="G40" s="352"/>
      <c r="H40" s="352"/>
      <c r="I40" s="352"/>
      <c r="J40" s="123"/>
      <c r="K40" s="123"/>
      <c r="L40" s="123"/>
      <c r="M40" s="123"/>
      <c r="N40" s="123"/>
      <c r="O40" s="123"/>
    </row>
    <row r="41" spans="1:16" ht="12" customHeight="1" x14ac:dyDescent="0.4">
      <c r="C41" s="352"/>
      <c r="D41" s="352"/>
      <c r="E41" s="352"/>
      <c r="F41" s="352"/>
      <c r="G41" s="352"/>
      <c r="H41" s="352"/>
      <c r="I41" s="352"/>
      <c r="J41" s="123"/>
      <c r="K41" s="123"/>
      <c r="L41" s="123"/>
      <c r="M41" s="123"/>
      <c r="N41" s="123"/>
      <c r="O41" s="123"/>
    </row>
    <row r="42" spans="1:16" ht="12" customHeight="1" x14ac:dyDescent="0.4">
      <c r="C42" s="352"/>
      <c r="D42" s="352"/>
      <c r="E42" s="352"/>
      <c r="F42" s="352"/>
      <c r="G42" s="352"/>
      <c r="H42" s="352"/>
      <c r="I42" s="352"/>
      <c r="J42" s="123"/>
      <c r="K42" s="123"/>
      <c r="L42" s="123"/>
      <c r="M42" s="123"/>
      <c r="N42" s="123"/>
      <c r="O42" s="123"/>
    </row>
    <row r="43" spans="1:16" ht="18.75" customHeight="1" x14ac:dyDescent="0.4">
      <c r="C43" s="352" t="s">
        <v>162</v>
      </c>
      <c r="D43" s="352"/>
      <c r="E43" s="352"/>
      <c r="F43" s="352"/>
      <c r="G43" s="352"/>
      <c r="H43" s="352"/>
    </row>
    <row r="44" spans="1:16" ht="18.75" customHeight="1" x14ac:dyDescent="0.4">
      <c r="C44" s="80" t="s">
        <v>90</v>
      </c>
      <c r="D44" s="71"/>
      <c r="E44" s="71"/>
      <c r="F44" s="71"/>
      <c r="G44" s="71"/>
      <c r="H44" s="59"/>
    </row>
    <row r="45" spans="1:16" ht="14.5" customHeight="1" x14ac:dyDescent="0.4">
      <c r="C45" s="80"/>
      <c r="D45" s="42"/>
      <c r="E45" s="42"/>
      <c r="F45" s="42"/>
      <c r="G45" s="42"/>
      <c r="H45" s="42"/>
    </row>
    <row r="46" spans="1:16" ht="14.5" customHeight="1" x14ac:dyDescent="0.4">
      <c r="C46" s="80"/>
      <c r="D46" s="42"/>
      <c r="E46" s="42"/>
      <c r="F46" s="42"/>
      <c r="G46" s="42"/>
      <c r="H46" s="42"/>
    </row>
    <row r="47" spans="1:16" ht="20.25" customHeight="1" x14ac:dyDescent="0.55000000000000004">
      <c r="A47" s="60" t="s">
        <v>92</v>
      </c>
      <c r="B47" s="13"/>
      <c r="C47" s="42"/>
      <c r="D47" s="42"/>
      <c r="E47" s="42"/>
      <c r="F47" s="42"/>
      <c r="G47" s="42"/>
      <c r="H47" s="42"/>
    </row>
    <row r="48" spans="1:16" ht="20.25" customHeight="1" x14ac:dyDescent="0.4">
      <c r="C48" s="43"/>
    </row>
    <row r="49" spans="1:7" ht="20.25" customHeight="1" x14ac:dyDescent="0.4">
      <c r="A49" s="47"/>
      <c r="B49" s="62" t="s">
        <v>59</v>
      </c>
    </row>
    <row r="50" spans="1:7" ht="19" thickBot="1" x14ac:dyDescent="0.55000000000000004">
      <c r="C50" s="51" t="s">
        <v>40</v>
      </c>
      <c r="D50" s="52" t="s">
        <v>7</v>
      </c>
      <c r="E50" s="52" t="s">
        <v>4</v>
      </c>
      <c r="F50" s="52" t="s">
        <v>103</v>
      </c>
      <c r="G50" s="52" t="s">
        <v>159</v>
      </c>
    </row>
    <row r="51" spans="1:7" ht="20.25" customHeight="1" x14ac:dyDescent="0.4">
      <c r="C51" s="53" t="s">
        <v>41</v>
      </c>
      <c r="D51" s="9">
        <v>19.899999999999999</v>
      </c>
      <c r="E51" s="9">
        <v>41.9</v>
      </c>
      <c r="F51" s="24">
        <v>70.790000000000006</v>
      </c>
      <c r="G51" s="24">
        <v>121.14</v>
      </c>
    </row>
    <row r="52" spans="1:7" ht="20.25" customHeight="1" x14ac:dyDescent="0.4">
      <c r="C52" s="53" t="s">
        <v>42</v>
      </c>
      <c r="D52" s="9">
        <v>6.6</v>
      </c>
      <c r="E52" s="9">
        <v>13.5</v>
      </c>
      <c r="F52" s="24">
        <v>16.13</v>
      </c>
      <c r="G52" s="24">
        <v>13.48</v>
      </c>
    </row>
    <row r="53" spans="1:7" ht="35.5" customHeight="1" x14ac:dyDescent="0.4">
      <c r="C53" s="53" t="s">
        <v>160</v>
      </c>
      <c r="D53" s="9" t="s">
        <v>10</v>
      </c>
      <c r="E53" s="9" t="s">
        <v>10</v>
      </c>
      <c r="F53" s="9" t="s">
        <v>10</v>
      </c>
      <c r="G53" s="24">
        <v>0.83</v>
      </c>
    </row>
    <row r="54" spans="1:7" ht="20.25" customHeight="1" x14ac:dyDescent="0.4">
      <c r="C54" s="54" t="s">
        <v>39</v>
      </c>
      <c r="D54" s="30">
        <v>26.5</v>
      </c>
      <c r="E54" s="30">
        <v>55.4</v>
      </c>
      <c r="F54" s="44">
        <v>86.93</v>
      </c>
      <c r="G54" s="44">
        <v>135.44999999999999</v>
      </c>
    </row>
    <row r="55" spans="1:7" ht="20.25" customHeight="1" x14ac:dyDescent="0.4">
      <c r="C55" s="50"/>
      <c r="D55" s="55"/>
      <c r="E55" s="55"/>
    </row>
    <row r="56" spans="1:7" ht="18.5" x14ac:dyDescent="0.4">
      <c r="A56" s="47"/>
      <c r="B56" s="62" t="s">
        <v>101</v>
      </c>
      <c r="D56" s="55"/>
      <c r="E56" s="55"/>
    </row>
    <row r="57" spans="1:7" ht="19" thickBot="1" x14ac:dyDescent="0.55000000000000004">
      <c r="A57" s="47"/>
      <c r="B57" s="62"/>
      <c r="C57" s="51" t="s">
        <v>40</v>
      </c>
      <c r="D57" s="52" t="s">
        <v>7</v>
      </c>
      <c r="E57" s="52" t="s">
        <v>4</v>
      </c>
      <c r="F57" s="52" t="s">
        <v>103</v>
      </c>
      <c r="G57" s="52" t="s">
        <v>159</v>
      </c>
    </row>
    <row r="58" spans="1:7" ht="18.5" x14ac:dyDescent="0.4">
      <c r="A58" s="47"/>
      <c r="B58" s="62"/>
      <c r="C58" s="54" t="s">
        <v>2</v>
      </c>
      <c r="D58" s="30">
        <v>-3.3</v>
      </c>
      <c r="E58" s="30">
        <v>-9.6999999999999993</v>
      </c>
      <c r="F58" s="44">
        <v>-7.83</v>
      </c>
      <c r="G58" s="44">
        <v>3.72</v>
      </c>
    </row>
    <row r="59" spans="1:7" ht="18.5" x14ac:dyDescent="0.4">
      <c r="A59" s="47"/>
      <c r="B59" s="62"/>
      <c r="C59" s="53" t="s">
        <v>141</v>
      </c>
      <c r="D59" s="9">
        <v>1.2</v>
      </c>
      <c r="E59" s="9">
        <v>4.9000000000000004</v>
      </c>
      <c r="F59" s="24">
        <v>6.82</v>
      </c>
      <c r="G59" s="24">
        <v>8.4700000000000006</v>
      </c>
    </row>
    <row r="60" spans="1:7" ht="18.5" x14ac:dyDescent="0.4">
      <c r="A60" s="47"/>
      <c r="B60" s="62"/>
      <c r="C60" s="53" t="s">
        <v>142</v>
      </c>
      <c r="D60" s="9" t="s">
        <v>10</v>
      </c>
      <c r="E60" s="9" t="s">
        <v>10</v>
      </c>
      <c r="F60" s="24">
        <v>0.78</v>
      </c>
      <c r="G60" s="24">
        <v>1.85</v>
      </c>
    </row>
    <row r="61" spans="1:7" ht="18.5" x14ac:dyDescent="0.4">
      <c r="A61" s="47"/>
      <c r="B61" s="62"/>
      <c r="C61" s="53" t="s">
        <v>143</v>
      </c>
      <c r="D61" s="9">
        <v>1.4</v>
      </c>
      <c r="E61" s="9">
        <v>1.5</v>
      </c>
      <c r="F61" s="24">
        <v>4.37</v>
      </c>
      <c r="G61" s="24">
        <v>5.26</v>
      </c>
    </row>
    <row r="62" spans="1:7" ht="18.5" x14ac:dyDescent="0.4">
      <c r="A62" s="47"/>
      <c r="B62" s="62"/>
      <c r="C62" s="53" t="s">
        <v>144</v>
      </c>
      <c r="D62" s="9">
        <v>0.1</v>
      </c>
      <c r="E62" s="9">
        <v>0.1</v>
      </c>
      <c r="F62" s="24">
        <v>0.48</v>
      </c>
      <c r="G62" s="24">
        <v>0.72</v>
      </c>
    </row>
    <row r="63" spans="1:7" ht="18.5" x14ac:dyDescent="0.4">
      <c r="A63" s="47"/>
      <c r="B63" s="62"/>
      <c r="C63" s="53" t="s">
        <v>145</v>
      </c>
      <c r="D63" s="9">
        <v>1.4</v>
      </c>
      <c r="E63" s="9">
        <v>8.8000000000000007</v>
      </c>
      <c r="F63" s="24">
        <v>5.0599999999999996</v>
      </c>
      <c r="G63" s="24">
        <v>5.15</v>
      </c>
    </row>
    <row r="64" spans="1:7" ht="18.5" x14ac:dyDescent="0.4">
      <c r="A64" s="47"/>
      <c r="B64" s="62"/>
      <c r="C64" s="53" t="s">
        <v>146</v>
      </c>
      <c r="D64" s="9">
        <v>3.2</v>
      </c>
      <c r="E64" s="9">
        <v>-3</v>
      </c>
      <c r="F64" s="24">
        <v>0</v>
      </c>
      <c r="G64" s="24">
        <v>0</v>
      </c>
    </row>
    <row r="65" spans="1:16383" ht="18.5" x14ac:dyDescent="0.4">
      <c r="A65" s="47"/>
      <c r="B65" s="62"/>
      <c r="C65" s="53" t="s">
        <v>147</v>
      </c>
      <c r="D65" s="9">
        <v>0</v>
      </c>
      <c r="E65" s="9">
        <v>0</v>
      </c>
      <c r="F65" s="24">
        <v>-0.43</v>
      </c>
      <c r="G65" s="24">
        <v>-0.6</v>
      </c>
    </row>
    <row r="66" spans="1:16383" ht="18.5" x14ac:dyDescent="0.4">
      <c r="A66" s="47"/>
      <c r="B66" s="62"/>
      <c r="C66" s="54" t="s">
        <v>148</v>
      </c>
      <c r="D66" s="30">
        <v>-8.1999999999999993</v>
      </c>
      <c r="E66" s="30">
        <v>-12.2</v>
      </c>
      <c r="F66" s="44">
        <v>-9.7100000000000009</v>
      </c>
      <c r="G66" s="44">
        <v>3.51</v>
      </c>
      <c r="H66" s="85"/>
      <c r="I66" s="85"/>
      <c r="J66" s="85"/>
      <c r="K66" s="85"/>
      <c r="L66" s="119"/>
    </row>
    <row r="67" spans="1:16383" ht="5.25" customHeight="1" x14ac:dyDescent="0.4"/>
    <row r="68" spans="1:16383" ht="18.75" customHeight="1" x14ac:dyDescent="0.4">
      <c r="C68" s="351" t="s">
        <v>63</v>
      </c>
      <c r="D68" s="351"/>
      <c r="E68" s="351"/>
      <c r="F68" s="351"/>
      <c r="G68" s="351"/>
    </row>
    <row r="69" spans="1:16383" ht="22" customHeight="1" x14ac:dyDescent="0.4">
      <c r="C69" s="351" t="s">
        <v>184</v>
      </c>
      <c r="D69" s="351"/>
      <c r="E69" s="351"/>
      <c r="F69" s="351"/>
      <c r="G69" s="351"/>
      <c r="H69" s="351"/>
    </row>
    <row r="70" spans="1:16383" ht="22" customHeight="1" x14ac:dyDescent="0.4">
      <c r="C70" s="351"/>
      <c r="D70" s="351"/>
      <c r="E70" s="351"/>
      <c r="F70" s="351"/>
      <c r="G70" s="351"/>
      <c r="H70" s="351"/>
    </row>
    <row r="71" spans="1:16383" ht="22" customHeight="1" x14ac:dyDescent="0.4">
      <c r="C71" s="351"/>
      <c r="D71" s="351"/>
      <c r="E71" s="351"/>
      <c r="F71" s="351"/>
      <c r="G71" s="351"/>
      <c r="H71" s="351"/>
    </row>
    <row r="72" spans="1:16383" ht="22" customHeight="1" x14ac:dyDescent="0.4">
      <c r="C72" s="351" t="s">
        <v>108</v>
      </c>
      <c r="D72" s="351"/>
      <c r="E72" s="351"/>
      <c r="F72" s="351"/>
      <c r="G72" s="351"/>
      <c r="H72" s="351"/>
    </row>
    <row r="73" spans="1:16383" ht="22" customHeight="1" x14ac:dyDescent="0.4">
      <c r="C73" s="351"/>
      <c r="D73" s="351"/>
      <c r="E73" s="351"/>
      <c r="F73" s="351"/>
      <c r="G73" s="351"/>
      <c r="H73" s="351"/>
    </row>
    <row r="74" spans="1:16383" ht="18" customHeight="1" x14ac:dyDescent="0.4">
      <c r="C74" s="351" t="s">
        <v>79</v>
      </c>
      <c r="D74" s="351"/>
      <c r="E74" s="351"/>
      <c r="F74" s="351"/>
      <c r="G74" s="351"/>
      <c r="H74" s="351"/>
    </row>
    <row r="75" spans="1:16383" ht="1" customHeight="1" x14ac:dyDescent="0.4">
      <c r="C75" s="86"/>
      <c r="D75" s="86"/>
      <c r="E75" s="86"/>
      <c r="F75" s="86"/>
      <c r="G75" s="86"/>
    </row>
    <row r="76" spans="1:16383" s="70" customFormat="1" ht="18.5" x14ac:dyDescent="0.5">
      <c r="A76" s="70">
        <v>0</v>
      </c>
      <c r="B76" s="70">
        <v>0</v>
      </c>
      <c r="C76" s="80" t="s">
        <v>90</v>
      </c>
      <c r="D76" s="70">
        <v>0</v>
      </c>
      <c r="E76" s="70">
        <v>0</v>
      </c>
      <c r="F76" s="70">
        <v>0</v>
      </c>
      <c r="G76" s="70">
        <v>0</v>
      </c>
      <c r="H76" s="70">
        <v>0</v>
      </c>
      <c r="I76" s="70">
        <v>0</v>
      </c>
      <c r="J76" s="70">
        <v>0</v>
      </c>
      <c r="K76" s="70">
        <v>0</v>
      </c>
      <c r="L76" s="70">
        <v>0</v>
      </c>
      <c r="M76" s="70">
        <v>0</v>
      </c>
      <c r="N76" s="70">
        <v>0</v>
      </c>
      <c r="Q76" s="70">
        <v>0</v>
      </c>
      <c r="R76" s="70">
        <v>0</v>
      </c>
      <c r="S76" s="70">
        <v>0</v>
      </c>
      <c r="T76" s="70">
        <v>0</v>
      </c>
      <c r="U76" s="70">
        <v>0</v>
      </c>
      <c r="V76" s="70">
        <v>0</v>
      </c>
      <c r="W76" s="70">
        <v>0</v>
      </c>
      <c r="X76" s="70">
        <v>0</v>
      </c>
      <c r="Y76" s="70">
        <v>0</v>
      </c>
      <c r="Z76" s="70">
        <v>0</v>
      </c>
      <c r="AA76" s="70">
        <v>0</v>
      </c>
      <c r="AB76" s="70">
        <v>0</v>
      </c>
      <c r="AC76" s="70">
        <v>0</v>
      </c>
      <c r="AD76" s="70">
        <v>0</v>
      </c>
      <c r="AE76" s="70">
        <v>0</v>
      </c>
      <c r="AF76" s="70">
        <v>0</v>
      </c>
      <c r="AG76" s="70">
        <v>0</v>
      </c>
      <c r="AH76" s="70">
        <v>0</v>
      </c>
      <c r="AI76" s="70">
        <v>0</v>
      </c>
      <c r="AJ76" s="70">
        <v>0</v>
      </c>
      <c r="AK76" s="70">
        <v>0</v>
      </c>
      <c r="AL76" s="70">
        <v>0</v>
      </c>
      <c r="AM76" s="70">
        <v>0</v>
      </c>
      <c r="AN76" s="70">
        <v>0</v>
      </c>
      <c r="AO76" s="70">
        <v>0</v>
      </c>
      <c r="AP76" s="70">
        <v>0</v>
      </c>
      <c r="AQ76" s="70">
        <v>0</v>
      </c>
      <c r="AR76" s="70">
        <v>0</v>
      </c>
      <c r="AS76" s="70">
        <v>0</v>
      </c>
      <c r="AT76" s="70">
        <v>0</v>
      </c>
      <c r="AU76" s="70">
        <v>0</v>
      </c>
      <c r="AV76" s="70">
        <v>0</v>
      </c>
      <c r="AW76" s="70">
        <v>0</v>
      </c>
      <c r="AX76" s="70">
        <v>0</v>
      </c>
      <c r="AY76" s="70">
        <v>0</v>
      </c>
      <c r="AZ76" s="70">
        <v>0</v>
      </c>
      <c r="BA76" s="70">
        <v>0</v>
      </c>
      <c r="BB76" s="70">
        <v>0</v>
      </c>
      <c r="BC76" s="70">
        <v>0</v>
      </c>
      <c r="BD76" s="70">
        <v>0</v>
      </c>
      <c r="BE76" s="70">
        <v>0</v>
      </c>
      <c r="BF76" s="70">
        <v>0</v>
      </c>
      <c r="BG76" s="70">
        <v>0</v>
      </c>
      <c r="BH76" s="70">
        <v>0</v>
      </c>
      <c r="BI76" s="70">
        <v>0</v>
      </c>
      <c r="BJ76" s="70">
        <v>0</v>
      </c>
      <c r="BK76" s="70">
        <v>0</v>
      </c>
      <c r="BL76" s="70">
        <v>0</v>
      </c>
      <c r="BM76" s="70">
        <v>0</v>
      </c>
      <c r="BN76" s="70">
        <v>0</v>
      </c>
      <c r="BO76" s="70">
        <v>0</v>
      </c>
      <c r="BP76" s="70">
        <v>0</v>
      </c>
      <c r="BQ76" s="70">
        <v>0</v>
      </c>
      <c r="BR76" s="70">
        <v>0</v>
      </c>
      <c r="BS76" s="70">
        <v>0</v>
      </c>
      <c r="BT76" s="70">
        <v>0</v>
      </c>
      <c r="BU76" s="70">
        <v>0</v>
      </c>
      <c r="BV76" s="70">
        <v>0</v>
      </c>
      <c r="BW76" s="70">
        <v>0</v>
      </c>
      <c r="BX76" s="70">
        <v>0</v>
      </c>
      <c r="BY76" s="70">
        <v>0</v>
      </c>
      <c r="BZ76" s="70">
        <v>0</v>
      </c>
      <c r="CA76" s="70">
        <v>0</v>
      </c>
      <c r="CB76" s="70">
        <v>0</v>
      </c>
      <c r="CC76" s="70">
        <v>0</v>
      </c>
      <c r="CD76" s="70">
        <v>0</v>
      </c>
      <c r="CE76" s="70">
        <v>0</v>
      </c>
      <c r="CF76" s="70">
        <v>0</v>
      </c>
      <c r="CG76" s="70">
        <v>0</v>
      </c>
      <c r="CH76" s="70">
        <v>0</v>
      </c>
      <c r="CI76" s="70">
        <v>0</v>
      </c>
      <c r="CJ76" s="70">
        <v>0</v>
      </c>
      <c r="CK76" s="70">
        <v>0</v>
      </c>
      <c r="CL76" s="70">
        <v>0</v>
      </c>
      <c r="CM76" s="70">
        <v>0</v>
      </c>
      <c r="CN76" s="70">
        <v>0</v>
      </c>
      <c r="CO76" s="70">
        <v>0</v>
      </c>
      <c r="CP76" s="70">
        <v>0</v>
      </c>
      <c r="CQ76" s="70">
        <v>0</v>
      </c>
      <c r="CR76" s="70">
        <v>0</v>
      </c>
      <c r="CS76" s="70">
        <v>0</v>
      </c>
      <c r="CT76" s="70">
        <v>0</v>
      </c>
      <c r="CU76" s="70">
        <v>0</v>
      </c>
      <c r="CV76" s="70">
        <v>0</v>
      </c>
      <c r="CW76" s="70">
        <v>0</v>
      </c>
      <c r="CX76" s="70">
        <v>0</v>
      </c>
      <c r="CY76" s="70">
        <v>0</v>
      </c>
      <c r="CZ76" s="70">
        <v>0</v>
      </c>
      <c r="DA76" s="70">
        <v>0</v>
      </c>
      <c r="DB76" s="70">
        <v>0</v>
      </c>
      <c r="DC76" s="70">
        <v>0</v>
      </c>
      <c r="DD76" s="70">
        <v>0</v>
      </c>
      <c r="DE76" s="70">
        <v>0</v>
      </c>
      <c r="DF76" s="70">
        <v>0</v>
      </c>
      <c r="DG76" s="70">
        <v>0</v>
      </c>
      <c r="DH76" s="70">
        <v>0</v>
      </c>
      <c r="DI76" s="70">
        <v>0</v>
      </c>
      <c r="DJ76" s="70">
        <v>0</v>
      </c>
      <c r="DK76" s="70">
        <v>0</v>
      </c>
      <c r="DL76" s="70">
        <v>0</v>
      </c>
      <c r="DM76" s="70">
        <v>0</v>
      </c>
      <c r="DN76" s="70">
        <v>0</v>
      </c>
      <c r="DO76" s="70">
        <v>0</v>
      </c>
      <c r="DP76" s="70">
        <v>0</v>
      </c>
      <c r="DQ76" s="70">
        <v>0</v>
      </c>
      <c r="DR76" s="70">
        <v>0</v>
      </c>
      <c r="DS76" s="70">
        <v>0</v>
      </c>
      <c r="DT76" s="70">
        <v>0</v>
      </c>
      <c r="DU76" s="70">
        <v>0</v>
      </c>
      <c r="DV76" s="70">
        <v>0</v>
      </c>
      <c r="DW76" s="70">
        <v>0</v>
      </c>
      <c r="DX76" s="70">
        <v>0</v>
      </c>
      <c r="DY76" s="70">
        <v>0</v>
      </c>
      <c r="DZ76" s="70">
        <v>0</v>
      </c>
      <c r="EA76" s="70">
        <v>0</v>
      </c>
      <c r="EB76" s="70">
        <v>0</v>
      </c>
      <c r="EC76" s="70">
        <v>0</v>
      </c>
      <c r="ED76" s="70">
        <v>0</v>
      </c>
      <c r="EE76" s="70">
        <v>0</v>
      </c>
      <c r="EF76" s="70">
        <v>0</v>
      </c>
      <c r="EG76" s="70">
        <v>0</v>
      </c>
      <c r="EH76" s="70">
        <v>0</v>
      </c>
      <c r="EI76" s="70">
        <v>0</v>
      </c>
      <c r="EJ76" s="70">
        <v>0</v>
      </c>
      <c r="EK76" s="70">
        <v>0</v>
      </c>
      <c r="EL76" s="70">
        <v>0</v>
      </c>
      <c r="EM76" s="70">
        <v>0</v>
      </c>
      <c r="EN76" s="70">
        <v>0</v>
      </c>
      <c r="EO76" s="70">
        <v>0</v>
      </c>
      <c r="EP76" s="70">
        <v>0</v>
      </c>
      <c r="EQ76" s="70">
        <v>0</v>
      </c>
      <c r="ER76" s="70">
        <v>0</v>
      </c>
      <c r="ES76" s="70">
        <v>0</v>
      </c>
      <c r="ET76" s="70">
        <v>0</v>
      </c>
      <c r="EU76" s="70">
        <v>0</v>
      </c>
      <c r="EV76" s="70">
        <v>0</v>
      </c>
      <c r="EW76" s="70">
        <v>0</v>
      </c>
      <c r="EX76" s="70">
        <v>0</v>
      </c>
      <c r="EY76" s="70">
        <v>0</v>
      </c>
      <c r="EZ76" s="70">
        <v>0</v>
      </c>
      <c r="FA76" s="70">
        <v>0</v>
      </c>
      <c r="FB76" s="70">
        <v>0</v>
      </c>
      <c r="FC76" s="70">
        <v>0</v>
      </c>
      <c r="FD76" s="70">
        <v>0</v>
      </c>
      <c r="FE76" s="70">
        <v>0</v>
      </c>
      <c r="FF76" s="70">
        <v>0</v>
      </c>
      <c r="FG76" s="70">
        <v>0</v>
      </c>
      <c r="FH76" s="70">
        <v>0</v>
      </c>
      <c r="FI76" s="70">
        <v>0</v>
      </c>
      <c r="FJ76" s="70">
        <v>0</v>
      </c>
      <c r="FK76" s="70">
        <v>0</v>
      </c>
      <c r="FL76" s="70">
        <v>0</v>
      </c>
      <c r="FM76" s="70">
        <v>0</v>
      </c>
      <c r="FN76" s="70">
        <v>0</v>
      </c>
      <c r="FO76" s="70">
        <v>0</v>
      </c>
      <c r="FP76" s="70">
        <v>0</v>
      </c>
      <c r="FQ76" s="70">
        <v>0</v>
      </c>
      <c r="FR76" s="70">
        <v>0</v>
      </c>
      <c r="FS76" s="70">
        <v>0</v>
      </c>
      <c r="FT76" s="70">
        <v>0</v>
      </c>
      <c r="FU76" s="70">
        <v>0</v>
      </c>
      <c r="FV76" s="70">
        <v>0</v>
      </c>
      <c r="FW76" s="70">
        <v>0</v>
      </c>
      <c r="FX76" s="70">
        <v>0</v>
      </c>
      <c r="FY76" s="70">
        <v>0</v>
      </c>
      <c r="FZ76" s="70">
        <v>0</v>
      </c>
      <c r="GA76" s="70">
        <v>0</v>
      </c>
      <c r="GB76" s="70">
        <v>0</v>
      </c>
      <c r="GC76" s="70">
        <v>0</v>
      </c>
      <c r="GD76" s="70">
        <v>0</v>
      </c>
      <c r="GE76" s="70">
        <v>0</v>
      </c>
      <c r="GF76" s="70">
        <v>0</v>
      </c>
      <c r="GG76" s="70">
        <v>0</v>
      </c>
      <c r="GH76" s="70">
        <v>0</v>
      </c>
      <c r="GI76" s="70">
        <v>0</v>
      </c>
      <c r="GJ76" s="70">
        <v>0</v>
      </c>
      <c r="GK76" s="70">
        <v>0</v>
      </c>
      <c r="GL76" s="70">
        <v>0</v>
      </c>
      <c r="GM76" s="70">
        <v>0</v>
      </c>
      <c r="GN76" s="70">
        <v>0</v>
      </c>
      <c r="GO76" s="70">
        <v>0</v>
      </c>
      <c r="GP76" s="70">
        <v>0</v>
      </c>
      <c r="GQ76" s="70">
        <v>0</v>
      </c>
      <c r="GR76" s="70">
        <v>0</v>
      </c>
      <c r="GS76" s="70">
        <v>0</v>
      </c>
      <c r="GT76" s="70">
        <v>0</v>
      </c>
      <c r="GU76" s="70">
        <v>0</v>
      </c>
      <c r="GV76" s="70">
        <v>0</v>
      </c>
      <c r="GW76" s="70">
        <v>0</v>
      </c>
      <c r="GX76" s="70">
        <v>0</v>
      </c>
      <c r="GY76" s="70">
        <v>0</v>
      </c>
      <c r="GZ76" s="70">
        <v>0</v>
      </c>
      <c r="HA76" s="70">
        <v>0</v>
      </c>
      <c r="HB76" s="70">
        <v>0</v>
      </c>
      <c r="HC76" s="70">
        <v>0</v>
      </c>
      <c r="HD76" s="70">
        <v>0</v>
      </c>
      <c r="HE76" s="70">
        <v>0</v>
      </c>
      <c r="HF76" s="70">
        <v>0</v>
      </c>
      <c r="HG76" s="70">
        <v>0</v>
      </c>
      <c r="HH76" s="70">
        <v>0</v>
      </c>
      <c r="HI76" s="70">
        <v>0</v>
      </c>
      <c r="HJ76" s="70">
        <v>0</v>
      </c>
      <c r="HK76" s="70">
        <v>0</v>
      </c>
      <c r="HL76" s="70">
        <v>0</v>
      </c>
      <c r="HM76" s="70">
        <v>0</v>
      </c>
      <c r="HN76" s="70">
        <v>0</v>
      </c>
      <c r="HO76" s="70">
        <v>0</v>
      </c>
      <c r="HP76" s="70">
        <v>0</v>
      </c>
      <c r="HQ76" s="70">
        <v>0</v>
      </c>
      <c r="HR76" s="70">
        <v>0</v>
      </c>
      <c r="HS76" s="70">
        <v>0</v>
      </c>
      <c r="HT76" s="70">
        <v>0</v>
      </c>
      <c r="HU76" s="70">
        <v>0</v>
      </c>
      <c r="HV76" s="70">
        <v>0</v>
      </c>
      <c r="HW76" s="70">
        <v>0</v>
      </c>
      <c r="HX76" s="70">
        <v>0</v>
      </c>
      <c r="HY76" s="70">
        <v>0</v>
      </c>
      <c r="HZ76" s="70">
        <v>0</v>
      </c>
      <c r="IA76" s="70">
        <v>0</v>
      </c>
      <c r="IB76" s="70">
        <v>0</v>
      </c>
      <c r="IC76" s="70">
        <v>0</v>
      </c>
      <c r="ID76" s="70">
        <v>0</v>
      </c>
      <c r="IE76" s="70">
        <v>0</v>
      </c>
      <c r="IF76" s="70">
        <v>0</v>
      </c>
      <c r="IG76" s="70">
        <v>0</v>
      </c>
      <c r="IH76" s="70">
        <v>0</v>
      </c>
      <c r="II76" s="70">
        <v>0</v>
      </c>
      <c r="IJ76" s="70">
        <v>0</v>
      </c>
      <c r="IK76" s="70">
        <v>0</v>
      </c>
      <c r="IL76" s="70">
        <v>0</v>
      </c>
      <c r="IM76" s="70">
        <v>0</v>
      </c>
      <c r="IN76" s="70">
        <v>0</v>
      </c>
      <c r="IO76" s="70">
        <v>0</v>
      </c>
      <c r="IP76" s="70">
        <v>0</v>
      </c>
      <c r="IQ76" s="70">
        <v>0</v>
      </c>
      <c r="IR76" s="70">
        <v>0</v>
      </c>
      <c r="IS76" s="70">
        <v>0</v>
      </c>
      <c r="IT76" s="70">
        <v>0</v>
      </c>
      <c r="IU76" s="70">
        <v>0</v>
      </c>
      <c r="IV76" s="70">
        <v>0</v>
      </c>
      <c r="IW76" s="70">
        <v>0</v>
      </c>
      <c r="IX76" s="70">
        <v>0</v>
      </c>
      <c r="IY76" s="70">
        <v>0</v>
      </c>
      <c r="IZ76" s="70">
        <v>0</v>
      </c>
      <c r="JA76" s="70">
        <v>0</v>
      </c>
      <c r="JB76" s="70">
        <v>0</v>
      </c>
      <c r="JC76" s="70">
        <v>0</v>
      </c>
      <c r="JD76" s="70">
        <v>0</v>
      </c>
      <c r="JE76" s="70">
        <v>0</v>
      </c>
      <c r="JF76" s="70">
        <v>0</v>
      </c>
      <c r="JG76" s="70">
        <v>0</v>
      </c>
      <c r="JH76" s="70">
        <v>0</v>
      </c>
      <c r="JI76" s="70">
        <v>0</v>
      </c>
      <c r="JJ76" s="70">
        <v>0</v>
      </c>
      <c r="JK76" s="70">
        <v>0</v>
      </c>
      <c r="JL76" s="70">
        <v>0</v>
      </c>
      <c r="JM76" s="70">
        <v>0</v>
      </c>
      <c r="JN76" s="70">
        <v>0</v>
      </c>
      <c r="JO76" s="70">
        <v>0</v>
      </c>
      <c r="JP76" s="70">
        <v>0</v>
      </c>
      <c r="JQ76" s="70">
        <v>0</v>
      </c>
      <c r="JR76" s="70">
        <v>0</v>
      </c>
      <c r="JS76" s="70">
        <v>0</v>
      </c>
      <c r="JT76" s="70">
        <v>0</v>
      </c>
      <c r="JU76" s="70">
        <v>0</v>
      </c>
      <c r="JV76" s="70">
        <v>0</v>
      </c>
      <c r="JW76" s="70">
        <v>0</v>
      </c>
      <c r="JX76" s="70">
        <v>0</v>
      </c>
      <c r="JY76" s="70">
        <v>0</v>
      </c>
      <c r="JZ76" s="70">
        <v>0</v>
      </c>
      <c r="KA76" s="70">
        <v>0</v>
      </c>
      <c r="KB76" s="70">
        <v>0</v>
      </c>
      <c r="KC76" s="70">
        <v>0</v>
      </c>
      <c r="KD76" s="70">
        <v>0</v>
      </c>
      <c r="KE76" s="70">
        <v>0</v>
      </c>
      <c r="KF76" s="70">
        <v>0</v>
      </c>
      <c r="KG76" s="70">
        <v>0</v>
      </c>
      <c r="KH76" s="70">
        <v>0</v>
      </c>
      <c r="KI76" s="70">
        <v>0</v>
      </c>
      <c r="KJ76" s="70">
        <v>0</v>
      </c>
      <c r="KK76" s="70">
        <v>0</v>
      </c>
      <c r="KL76" s="70">
        <v>0</v>
      </c>
      <c r="KM76" s="70">
        <v>0</v>
      </c>
      <c r="KN76" s="70">
        <v>0</v>
      </c>
      <c r="KO76" s="70">
        <v>0</v>
      </c>
      <c r="KP76" s="70">
        <v>0</v>
      </c>
      <c r="KQ76" s="70">
        <v>0</v>
      </c>
      <c r="KR76" s="70">
        <v>0</v>
      </c>
      <c r="KS76" s="70">
        <v>0</v>
      </c>
      <c r="KT76" s="70">
        <v>0</v>
      </c>
      <c r="KU76" s="70">
        <v>0</v>
      </c>
      <c r="KV76" s="70">
        <v>0</v>
      </c>
      <c r="KW76" s="70">
        <v>0</v>
      </c>
      <c r="KX76" s="70">
        <v>0</v>
      </c>
      <c r="KY76" s="70">
        <v>0</v>
      </c>
      <c r="KZ76" s="70">
        <v>0</v>
      </c>
      <c r="LA76" s="70">
        <v>0</v>
      </c>
      <c r="LB76" s="70">
        <v>0</v>
      </c>
      <c r="LC76" s="70">
        <v>0</v>
      </c>
      <c r="LD76" s="70">
        <v>0</v>
      </c>
      <c r="LE76" s="70">
        <v>0</v>
      </c>
      <c r="LF76" s="70">
        <v>0</v>
      </c>
      <c r="LG76" s="70">
        <v>0</v>
      </c>
      <c r="LH76" s="70">
        <v>0</v>
      </c>
      <c r="LI76" s="70">
        <v>0</v>
      </c>
      <c r="LJ76" s="70">
        <v>0</v>
      </c>
      <c r="LK76" s="70">
        <v>0</v>
      </c>
      <c r="LL76" s="70">
        <v>0</v>
      </c>
      <c r="LM76" s="70">
        <v>0</v>
      </c>
      <c r="LN76" s="70">
        <v>0</v>
      </c>
      <c r="LO76" s="70">
        <v>0</v>
      </c>
      <c r="LP76" s="70">
        <v>0</v>
      </c>
      <c r="LQ76" s="70">
        <v>0</v>
      </c>
      <c r="LR76" s="70">
        <v>0</v>
      </c>
      <c r="LS76" s="70">
        <v>0</v>
      </c>
      <c r="LT76" s="70">
        <v>0</v>
      </c>
      <c r="LU76" s="70">
        <v>0</v>
      </c>
      <c r="LV76" s="70">
        <v>0</v>
      </c>
      <c r="LW76" s="70">
        <v>0</v>
      </c>
      <c r="LX76" s="70">
        <v>0</v>
      </c>
      <c r="LY76" s="70">
        <v>0</v>
      </c>
      <c r="LZ76" s="70">
        <v>0</v>
      </c>
      <c r="MA76" s="70">
        <v>0</v>
      </c>
      <c r="MB76" s="70">
        <v>0</v>
      </c>
      <c r="MC76" s="70">
        <v>0</v>
      </c>
      <c r="MD76" s="70">
        <v>0</v>
      </c>
      <c r="ME76" s="70">
        <v>0</v>
      </c>
      <c r="MF76" s="70">
        <v>0</v>
      </c>
      <c r="MG76" s="70">
        <v>0</v>
      </c>
      <c r="MH76" s="70">
        <v>0</v>
      </c>
      <c r="MI76" s="70">
        <v>0</v>
      </c>
      <c r="MJ76" s="70">
        <v>0</v>
      </c>
      <c r="MK76" s="70">
        <v>0</v>
      </c>
      <c r="ML76" s="70">
        <v>0</v>
      </c>
      <c r="MM76" s="70">
        <v>0</v>
      </c>
      <c r="MN76" s="70">
        <v>0</v>
      </c>
      <c r="MO76" s="70">
        <v>0</v>
      </c>
      <c r="MP76" s="70">
        <v>0</v>
      </c>
      <c r="MQ76" s="70">
        <v>0</v>
      </c>
      <c r="MR76" s="70">
        <v>0</v>
      </c>
      <c r="MS76" s="70">
        <v>0</v>
      </c>
      <c r="MT76" s="70">
        <v>0</v>
      </c>
      <c r="MU76" s="70">
        <v>0</v>
      </c>
      <c r="MV76" s="70">
        <v>0</v>
      </c>
      <c r="MW76" s="70">
        <v>0</v>
      </c>
      <c r="MX76" s="70">
        <v>0</v>
      </c>
      <c r="MY76" s="70">
        <v>0</v>
      </c>
      <c r="MZ76" s="70">
        <v>0</v>
      </c>
      <c r="NA76" s="70">
        <v>0</v>
      </c>
      <c r="NB76" s="70">
        <v>0</v>
      </c>
      <c r="NC76" s="70">
        <v>0</v>
      </c>
      <c r="ND76" s="70">
        <v>0</v>
      </c>
      <c r="NE76" s="70">
        <v>0</v>
      </c>
      <c r="NF76" s="70">
        <v>0</v>
      </c>
      <c r="NG76" s="70">
        <v>0</v>
      </c>
      <c r="NH76" s="70">
        <v>0</v>
      </c>
      <c r="NI76" s="70">
        <v>0</v>
      </c>
      <c r="NJ76" s="70">
        <v>0</v>
      </c>
      <c r="NK76" s="70">
        <v>0</v>
      </c>
      <c r="NL76" s="70">
        <v>0</v>
      </c>
      <c r="NM76" s="70">
        <v>0</v>
      </c>
      <c r="NN76" s="70">
        <v>0</v>
      </c>
      <c r="NO76" s="70">
        <v>0</v>
      </c>
      <c r="NP76" s="70">
        <v>0</v>
      </c>
      <c r="NQ76" s="70">
        <v>0</v>
      </c>
      <c r="NR76" s="70">
        <v>0</v>
      </c>
      <c r="NS76" s="70">
        <v>0</v>
      </c>
      <c r="NT76" s="70">
        <v>0</v>
      </c>
      <c r="NU76" s="70">
        <v>0</v>
      </c>
      <c r="NV76" s="70">
        <v>0</v>
      </c>
      <c r="NW76" s="70">
        <v>0</v>
      </c>
      <c r="NX76" s="70">
        <v>0</v>
      </c>
      <c r="NY76" s="70">
        <v>0</v>
      </c>
      <c r="NZ76" s="70">
        <v>0</v>
      </c>
      <c r="OA76" s="70">
        <v>0</v>
      </c>
      <c r="OB76" s="70">
        <v>0</v>
      </c>
      <c r="OC76" s="70">
        <v>0</v>
      </c>
      <c r="OD76" s="70">
        <v>0</v>
      </c>
      <c r="OE76" s="70">
        <v>0</v>
      </c>
      <c r="OF76" s="70">
        <v>0</v>
      </c>
      <c r="OG76" s="70">
        <v>0</v>
      </c>
      <c r="OH76" s="70">
        <v>0</v>
      </c>
      <c r="OI76" s="70">
        <v>0</v>
      </c>
      <c r="OJ76" s="70">
        <v>0</v>
      </c>
      <c r="OK76" s="70">
        <v>0</v>
      </c>
      <c r="OL76" s="70">
        <v>0</v>
      </c>
      <c r="OM76" s="70">
        <v>0</v>
      </c>
      <c r="ON76" s="70">
        <v>0</v>
      </c>
      <c r="OO76" s="70">
        <v>0</v>
      </c>
      <c r="OP76" s="70">
        <v>0</v>
      </c>
      <c r="OQ76" s="70">
        <v>0</v>
      </c>
      <c r="OR76" s="70">
        <v>0</v>
      </c>
      <c r="OS76" s="70">
        <v>0</v>
      </c>
      <c r="OT76" s="70">
        <v>0</v>
      </c>
      <c r="OU76" s="70">
        <v>0</v>
      </c>
      <c r="OV76" s="70">
        <v>0</v>
      </c>
      <c r="OW76" s="70">
        <v>0</v>
      </c>
      <c r="OX76" s="70">
        <v>0</v>
      </c>
      <c r="OY76" s="70">
        <v>0</v>
      </c>
      <c r="OZ76" s="70">
        <v>0</v>
      </c>
      <c r="PA76" s="70">
        <v>0</v>
      </c>
      <c r="PB76" s="70">
        <v>0</v>
      </c>
      <c r="PC76" s="70">
        <v>0</v>
      </c>
      <c r="PD76" s="70">
        <v>0</v>
      </c>
      <c r="PE76" s="70">
        <v>0</v>
      </c>
      <c r="PF76" s="70">
        <v>0</v>
      </c>
      <c r="PG76" s="70">
        <v>0</v>
      </c>
      <c r="PH76" s="70">
        <v>0</v>
      </c>
      <c r="PI76" s="70">
        <v>0</v>
      </c>
      <c r="PJ76" s="70">
        <v>0</v>
      </c>
      <c r="PK76" s="70">
        <v>0</v>
      </c>
      <c r="PL76" s="70">
        <v>0</v>
      </c>
      <c r="PM76" s="70">
        <v>0</v>
      </c>
      <c r="PN76" s="70">
        <v>0</v>
      </c>
      <c r="PO76" s="70">
        <v>0</v>
      </c>
      <c r="PP76" s="70">
        <v>0</v>
      </c>
      <c r="PQ76" s="70">
        <v>0</v>
      </c>
      <c r="PR76" s="70">
        <v>0</v>
      </c>
      <c r="PS76" s="70">
        <v>0</v>
      </c>
      <c r="PT76" s="70">
        <v>0</v>
      </c>
      <c r="PU76" s="70">
        <v>0</v>
      </c>
      <c r="PV76" s="70">
        <v>0</v>
      </c>
      <c r="PW76" s="70">
        <v>0</v>
      </c>
      <c r="PX76" s="70">
        <v>0</v>
      </c>
      <c r="PY76" s="70">
        <v>0</v>
      </c>
      <c r="PZ76" s="70">
        <v>0</v>
      </c>
      <c r="QA76" s="70">
        <v>0</v>
      </c>
      <c r="QB76" s="70">
        <v>0</v>
      </c>
      <c r="QC76" s="70">
        <v>0</v>
      </c>
      <c r="QD76" s="70">
        <v>0</v>
      </c>
      <c r="QE76" s="70">
        <v>0</v>
      </c>
      <c r="QF76" s="70">
        <v>0</v>
      </c>
      <c r="QG76" s="70">
        <v>0</v>
      </c>
      <c r="QH76" s="70">
        <v>0</v>
      </c>
      <c r="QI76" s="70">
        <v>0</v>
      </c>
      <c r="QJ76" s="70">
        <v>0</v>
      </c>
      <c r="QK76" s="70">
        <v>0</v>
      </c>
      <c r="QL76" s="70">
        <v>0</v>
      </c>
      <c r="QM76" s="70">
        <v>0</v>
      </c>
      <c r="QN76" s="70">
        <v>0</v>
      </c>
      <c r="QO76" s="70">
        <v>0</v>
      </c>
      <c r="QP76" s="70">
        <v>0</v>
      </c>
      <c r="QQ76" s="70">
        <v>0</v>
      </c>
      <c r="QR76" s="70">
        <v>0</v>
      </c>
      <c r="QS76" s="70">
        <v>0</v>
      </c>
      <c r="QT76" s="70">
        <v>0</v>
      </c>
      <c r="QU76" s="70">
        <v>0</v>
      </c>
      <c r="QV76" s="70">
        <v>0</v>
      </c>
      <c r="QW76" s="70">
        <v>0</v>
      </c>
      <c r="QX76" s="70">
        <v>0</v>
      </c>
      <c r="QY76" s="70">
        <v>0</v>
      </c>
      <c r="QZ76" s="70">
        <v>0</v>
      </c>
      <c r="RA76" s="70">
        <v>0</v>
      </c>
      <c r="RB76" s="70">
        <v>0</v>
      </c>
      <c r="RC76" s="70">
        <v>0</v>
      </c>
      <c r="RD76" s="70">
        <v>0</v>
      </c>
      <c r="RE76" s="70">
        <v>0</v>
      </c>
      <c r="RF76" s="70">
        <v>0</v>
      </c>
      <c r="RG76" s="70">
        <v>0</v>
      </c>
      <c r="RH76" s="70">
        <v>0</v>
      </c>
      <c r="RI76" s="70">
        <v>0</v>
      </c>
      <c r="RJ76" s="70">
        <v>0</v>
      </c>
      <c r="RK76" s="70">
        <v>0</v>
      </c>
      <c r="RL76" s="70">
        <v>0</v>
      </c>
      <c r="RM76" s="70">
        <v>0</v>
      </c>
      <c r="RN76" s="70">
        <v>0</v>
      </c>
      <c r="RO76" s="70">
        <v>0</v>
      </c>
      <c r="RP76" s="70">
        <v>0</v>
      </c>
      <c r="RQ76" s="70">
        <v>0</v>
      </c>
      <c r="RR76" s="70">
        <v>0</v>
      </c>
      <c r="RS76" s="70">
        <v>0</v>
      </c>
      <c r="RT76" s="70">
        <v>0</v>
      </c>
      <c r="RU76" s="70">
        <v>0</v>
      </c>
      <c r="RV76" s="70">
        <v>0</v>
      </c>
      <c r="RW76" s="70">
        <v>0</v>
      </c>
      <c r="RX76" s="70">
        <v>0</v>
      </c>
      <c r="RY76" s="70">
        <v>0</v>
      </c>
      <c r="RZ76" s="70">
        <v>0</v>
      </c>
      <c r="SA76" s="70">
        <v>0</v>
      </c>
      <c r="SB76" s="70">
        <v>0</v>
      </c>
      <c r="SC76" s="70">
        <v>0</v>
      </c>
      <c r="SD76" s="70">
        <v>0</v>
      </c>
      <c r="SE76" s="70">
        <v>0</v>
      </c>
      <c r="SF76" s="70">
        <v>0</v>
      </c>
      <c r="SG76" s="70">
        <v>0</v>
      </c>
      <c r="SH76" s="70">
        <v>0</v>
      </c>
      <c r="SI76" s="70">
        <v>0</v>
      </c>
      <c r="SJ76" s="70">
        <v>0</v>
      </c>
      <c r="SK76" s="70">
        <v>0</v>
      </c>
      <c r="SL76" s="70">
        <v>0</v>
      </c>
      <c r="SM76" s="70">
        <v>0</v>
      </c>
      <c r="SN76" s="70">
        <v>0</v>
      </c>
      <c r="SO76" s="70">
        <v>0</v>
      </c>
      <c r="SP76" s="70">
        <v>0</v>
      </c>
      <c r="SQ76" s="70">
        <v>0</v>
      </c>
      <c r="SR76" s="70">
        <v>0</v>
      </c>
      <c r="SS76" s="70">
        <v>0</v>
      </c>
      <c r="ST76" s="70">
        <v>0</v>
      </c>
      <c r="SU76" s="70">
        <v>0</v>
      </c>
      <c r="SV76" s="70">
        <v>0</v>
      </c>
      <c r="SW76" s="70">
        <v>0</v>
      </c>
      <c r="SX76" s="70">
        <v>0</v>
      </c>
      <c r="SY76" s="70">
        <v>0</v>
      </c>
      <c r="SZ76" s="70">
        <v>0</v>
      </c>
      <c r="TA76" s="70">
        <v>0</v>
      </c>
      <c r="TB76" s="70">
        <v>0</v>
      </c>
      <c r="TC76" s="70">
        <v>0</v>
      </c>
      <c r="TD76" s="70">
        <v>0</v>
      </c>
      <c r="TE76" s="70">
        <v>0</v>
      </c>
      <c r="TF76" s="70">
        <v>0</v>
      </c>
      <c r="TG76" s="70">
        <v>0</v>
      </c>
      <c r="TH76" s="70">
        <v>0</v>
      </c>
      <c r="TI76" s="70">
        <v>0</v>
      </c>
      <c r="TJ76" s="70">
        <v>0</v>
      </c>
      <c r="TK76" s="70">
        <v>0</v>
      </c>
      <c r="TL76" s="70">
        <v>0</v>
      </c>
      <c r="TM76" s="70">
        <v>0</v>
      </c>
      <c r="TN76" s="70">
        <v>0</v>
      </c>
      <c r="TO76" s="70">
        <v>0</v>
      </c>
      <c r="TP76" s="70">
        <v>0</v>
      </c>
      <c r="TQ76" s="70">
        <v>0</v>
      </c>
      <c r="TR76" s="70">
        <v>0</v>
      </c>
      <c r="TS76" s="70">
        <v>0</v>
      </c>
      <c r="TT76" s="70">
        <v>0</v>
      </c>
      <c r="TU76" s="70">
        <v>0</v>
      </c>
      <c r="TV76" s="70">
        <v>0</v>
      </c>
      <c r="TW76" s="70">
        <v>0</v>
      </c>
      <c r="TX76" s="70">
        <v>0</v>
      </c>
      <c r="TY76" s="70">
        <v>0</v>
      </c>
      <c r="TZ76" s="70">
        <v>0</v>
      </c>
      <c r="UA76" s="70">
        <v>0</v>
      </c>
      <c r="UB76" s="70">
        <v>0</v>
      </c>
      <c r="UC76" s="70">
        <v>0</v>
      </c>
      <c r="UD76" s="70">
        <v>0</v>
      </c>
      <c r="UE76" s="70">
        <v>0</v>
      </c>
      <c r="UF76" s="70">
        <v>0</v>
      </c>
      <c r="UG76" s="70">
        <v>0</v>
      </c>
      <c r="UH76" s="70">
        <v>0</v>
      </c>
      <c r="UI76" s="70">
        <v>0</v>
      </c>
      <c r="UJ76" s="70">
        <v>0</v>
      </c>
      <c r="UK76" s="70">
        <v>0</v>
      </c>
      <c r="UL76" s="70">
        <v>0</v>
      </c>
      <c r="UM76" s="70">
        <v>0</v>
      </c>
      <c r="UN76" s="70">
        <v>0</v>
      </c>
      <c r="UO76" s="70">
        <v>0</v>
      </c>
      <c r="UP76" s="70">
        <v>0</v>
      </c>
      <c r="UQ76" s="70">
        <v>0</v>
      </c>
      <c r="UR76" s="70">
        <v>0</v>
      </c>
      <c r="US76" s="70">
        <v>0</v>
      </c>
      <c r="UT76" s="70">
        <v>0</v>
      </c>
      <c r="UU76" s="70">
        <v>0</v>
      </c>
      <c r="UV76" s="70">
        <v>0</v>
      </c>
      <c r="UW76" s="70">
        <v>0</v>
      </c>
      <c r="UX76" s="70">
        <v>0</v>
      </c>
      <c r="UY76" s="70">
        <v>0</v>
      </c>
      <c r="UZ76" s="70">
        <v>0</v>
      </c>
      <c r="VA76" s="70">
        <v>0</v>
      </c>
      <c r="VB76" s="70">
        <v>0</v>
      </c>
      <c r="VC76" s="70">
        <v>0</v>
      </c>
      <c r="VD76" s="70">
        <v>0</v>
      </c>
      <c r="VE76" s="70">
        <v>0</v>
      </c>
      <c r="VF76" s="70">
        <v>0</v>
      </c>
      <c r="VG76" s="70">
        <v>0</v>
      </c>
      <c r="VH76" s="70">
        <v>0</v>
      </c>
      <c r="VI76" s="70">
        <v>0</v>
      </c>
      <c r="VJ76" s="70">
        <v>0</v>
      </c>
      <c r="VK76" s="70">
        <v>0</v>
      </c>
      <c r="VL76" s="70">
        <v>0</v>
      </c>
      <c r="VM76" s="70">
        <v>0</v>
      </c>
      <c r="VN76" s="70">
        <v>0</v>
      </c>
      <c r="VO76" s="70">
        <v>0</v>
      </c>
      <c r="VP76" s="70">
        <v>0</v>
      </c>
      <c r="VQ76" s="70">
        <v>0</v>
      </c>
      <c r="VR76" s="70">
        <v>0</v>
      </c>
      <c r="VS76" s="70">
        <v>0</v>
      </c>
      <c r="VT76" s="70">
        <v>0</v>
      </c>
      <c r="VU76" s="70">
        <v>0</v>
      </c>
      <c r="VV76" s="70">
        <v>0</v>
      </c>
      <c r="VW76" s="70">
        <v>0</v>
      </c>
      <c r="VX76" s="70">
        <v>0</v>
      </c>
      <c r="VY76" s="70">
        <v>0</v>
      </c>
      <c r="VZ76" s="70">
        <v>0</v>
      </c>
      <c r="WA76" s="70">
        <v>0</v>
      </c>
      <c r="WB76" s="70">
        <v>0</v>
      </c>
      <c r="WC76" s="70">
        <v>0</v>
      </c>
      <c r="WD76" s="70">
        <v>0</v>
      </c>
      <c r="WE76" s="70">
        <v>0</v>
      </c>
      <c r="WF76" s="70">
        <v>0</v>
      </c>
      <c r="WG76" s="70">
        <v>0</v>
      </c>
      <c r="WH76" s="70">
        <v>0</v>
      </c>
      <c r="WI76" s="70">
        <v>0</v>
      </c>
      <c r="WJ76" s="70">
        <v>0</v>
      </c>
      <c r="WK76" s="70">
        <v>0</v>
      </c>
      <c r="WL76" s="70">
        <v>0</v>
      </c>
      <c r="WM76" s="70">
        <v>0</v>
      </c>
      <c r="WN76" s="70">
        <v>0</v>
      </c>
      <c r="WO76" s="70">
        <v>0</v>
      </c>
      <c r="WP76" s="70">
        <v>0</v>
      </c>
      <c r="WQ76" s="70">
        <v>0</v>
      </c>
      <c r="WR76" s="70">
        <v>0</v>
      </c>
      <c r="WS76" s="70">
        <v>0</v>
      </c>
      <c r="WT76" s="70">
        <v>0</v>
      </c>
      <c r="WU76" s="70">
        <v>0</v>
      </c>
      <c r="WV76" s="70">
        <v>0</v>
      </c>
      <c r="WW76" s="70">
        <v>0</v>
      </c>
      <c r="WX76" s="70">
        <v>0</v>
      </c>
      <c r="WY76" s="70">
        <v>0</v>
      </c>
      <c r="WZ76" s="70">
        <v>0</v>
      </c>
      <c r="XA76" s="70">
        <v>0</v>
      </c>
      <c r="XB76" s="70">
        <v>0</v>
      </c>
      <c r="XC76" s="70">
        <v>0</v>
      </c>
      <c r="XD76" s="70">
        <v>0</v>
      </c>
      <c r="XE76" s="70">
        <v>0</v>
      </c>
      <c r="XF76" s="70">
        <v>0</v>
      </c>
      <c r="XG76" s="70">
        <v>0</v>
      </c>
      <c r="XH76" s="70">
        <v>0</v>
      </c>
      <c r="XI76" s="70">
        <v>0</v>
      </c>
      <c r="XJ76" s="70">
        <v>0</v>
      </c>
      <c r="XK76" s="70">
        <v>0</v>
      </c>
      <c r="XL76" s="70">
        <v>0</v>
      </c>
      <c r="XM76" s="70">
        <v>0</v>
      </c>
      <c r="XN76" s="70">
        <v>0</v>
      </c>
      <c r="XO76" s="70">
        <v>0</v>
      </c>
      <c r="XP76" s="70">
        <v>0</v>
      </c>
      <c r="XQ76" s="70">
        <v>0</v>
      </c>
      <c r="XR76" s="70">
        <v>0</v>
      </c>
      <c r="XS76" s="70">
        <v>0</v>
      </c>
      <c r="XT76" s="70">
        <v>0</v>
      </c>
      <c r="XU76" s="70">
        <v>0</v>
      </c>
      <c r="XV76" s="70">
        <v>0</v>
      </c>
      <c r="XW76" s="70">
        <v>0</v>
      </c>
      <c r="XX76" s="70">
        <v>0</v>
      </c>
      <c r="XY76" s="70">
        <v>0</v>
      </c>
      <c r="XZ76" s="70">
        <v>0</v>
      </c>
      <c r="YA76" s="70">
        <v>0</v>
      </c>
      <c r="YB76" s="70">
        <v>0</v>
      </c>
      <c r="YC76" s="70">
        <v>0</v>
      </c>
      <c r="YD76" s="70">
        <v>0</v>
      </c>
      <c r="YE76" s="70">
        <v>0</v>
      </c>
      <c r="YF76" s="70">
        <v>0</v>
      </c>
      <c r="YG76" s="70">
        <v>0</v>
      </c>
      <c r="YH76" s="70">
        <v>0</v>
      </c>
      <c r="YI76" s="70">
        <v>0</v>
      </c>
      <c r="YJ76" s="70">
        <v>0</v>
      </c>
      <c r="YK76" s="70">
        <v>0</v>
      </c>
      <c r="YL76" s="70">
        <v>0</v>
      </c>
      <c r="YM76" s="70">
        <v>0</v>
      </c>
      <c r="YN76" s="70">
        <v>0</v>
      </c>
      <c r="YO76" s="70">
        <v>0</v>
      </c>
      <c r="YP76" s="70">
        <v>0</v>
      </c>
      <c r="YQ76" s="70">
        <v>0</v>
      </c>
      <c r="YR76" s="70">
        <v>0</v>
      </c>
      <c r="YS76" s="70">
        <v>0</v>
      </c>
      <c r="YT76" s="70">
        <v>0</v>
      </c>
      <c r="YU76" s="70">
        <v>0</v>
      </c>
      <c r="YV76" s="70">
        <v>0</v>
      </c>
      <c r="YW76" s="70">
        <v>0</v>
      </c>
      <c r="YX76" s="70">
        <v>0</v>
      </c>
      <c r="YY76" s="70">
        <v>0</v>
      </c>
      <c r="YZ76" s="70">
        <v>0</v>
      </c>
      <c r="ZA76" s="70">
        <v>0</v>
      </c>
      <c r="ZB76" s="70">
        <v>0</v>
      </c>
      <c r="ZC76" s="70">
        <v>0</v>
      </c>
      <c r="ZD76" s="70">
        <v>0</v>
      </c>
      <c r="ZE76" s="70">
        <v>0</v>
      </c>
      <c r="ZF76" s="70">
        <v>0</v>
      </c>
      <c r="ZG76" s="70">
        <v>0</v>
      </c>
      <c r="ZH76" s="70">
        <v>0</v>
      </c>
      <c r="ZI76" s="70">
        <v>0</v>
      </c>
      <c r="ZJ76" s="70">
        <v>0</v>
      </c>
      <c r="ZK76" s="70">
        <v>0</v>
      </c>
      <c r="ZL76" s="70">
        <v>0</v>
      </c>
      <c r="ZM76" s="70">
        <v>0</v>
      </c>
      <c r="ZN76" s="70">
        <v>0</v>
      </c>
      <c r="ZO76" s="70">
        <v>0</v>
      </c>
      <c r="ZP76" s="70">
        <v>0</v>
      </c>
      <c r="ZQ76" s="70">
        <v>0</v>
      </c>
      <c r="ZR76" s="70">
        <v>0</v>
      </c>
      <c r="ZS76" s="70">
        <v>0</v>
      </c>
      <c r="ZT76" s="70">
        <v>0</v>
      </c>
      <c r="ZU76" s="70">
        <v>0</v>
      </c>
      <c r="ZV76" s="70">
        <v>0</v>
      </c>
      <c r="ZW76" s="70">
        <v>0</v>
      </c>
      <c r="ZX76" s="70">
        <v>0</v>
      </c>
      <c r="ZY76" s="70">
        <v>0</v>
      </c>
      <c r="ZZ76" s="70">
        <v>0</v>
      </c>
      <c r="AAA76" s="70">
        <v>0</v>
      </c>
      <c r="AAB76" s="70">
        <v>0</v>
      </c>
      <c r="AAC76" s="70">
        <v>0</v>
      </c>
      <c r="AAD76" s="70">
        <v>0</v>
      </c>
      <c r="AAE76" s="70">
        <v>0</v>
      </c>
      <c r="AAF76" s="70">
        <v>0</v>
      </c>
      <c r="AAG76" s="70">
        <v>0</v>
      </c>
      <c r="AAH76" s="70">
        <v>0</v>
      </c>
      <c r="AAI76" s="70">
        <v>0</v>
      </c>
      <c r="AAJ76" s="70">
        <v>0</v>
      </c>
      <c r="AAK76" s="70">
        <v>0</v>
      </c>
      <c r="AAL76" s="70">
        <v>0</v>
      </c>
      <c r="AAM76" s="70">
        <v>0</v>
      </c>
      <c r="AAN76" s="70">
        <v>0</v>
      </c>
      <c r="AAO76" s="70">
        <v>0</v>
      </c>
      <c r="AAP76" s="70">
        <v>0</v>
      </c>
      <c r="AAQ76" s="70">
        <v>0</v>
      </c>
      <c r="AAR76" s="70">
        <v>0</v>
      </c>
      <c r="AAS76" s="70">
        <v>0</v>
      </c>
      <c r="AAT76" s="70">
        <v>0</v>
      </c>
      <c r="AAU76" s="70">
        <v>0</v>
      </c>
      <c r="AAV76" s="70">
        <v>0</v>
      </c>
      <c r="AAW76" s="70">
        <v>0</v>
      </c>
      <c r="AAX76" s="70">
        <v>0</v>
      </c>
      <c r="AAY76" s="70">
        <v>0</v>
      </c>
      <c r="AAZ76" s="70">
        <v>0</v>
      </c>
      <c r="ABA76" s="70">
        <v>0</v>
      </c>
      <c r="ABB76" s="70">
        <v>0</v>
      </c>
      <c r="ABC76" s="70">
        <v>0</v>
      </c>
      <c r="ABD76" s="70">
        <v>0</v>
      </c>
      <c r="ABE76" s="70">
        <v>0</v>
      </c>
      <c r="ABF76" s="70">
        <v>0</v>
      </c>
      <c r="ABG76" s="70">
        <v>0</v>
      </c>
      <c r="ABH76" s="70">
        <v>0</v>
      </c>
      <c r="ABI76" s="70">
        <v>0</v>
      </c>
      <c r="ABJ76" s="70">
        <v>0</v>
      </c>
      <c r="ABK76" s="70">
        <v>0</v>
      </c>
      <c r="ABL76" s="70">
        <v>0</v>
      </c>
      <c r="ABM76" s="70">
        <v>0</v>
      </c>
      <c r="ABN76" s="70">
        <v>0</v>
      </c>
      <c r="ABO76" s="70">
        <v>0</v>
      </c>
      <c r="ABP76" s="70">
        <v>0</v>
      </c>
      <c r="ABQ76" s="70">
        <v>0</v>
      </c>
      <c r="ABR76" s="70">
        <v>0</v>
      </c>
      <c r="ABS76" s="70">
        <v>0</v>
      </c>
      <c r="ABT76" s="70">
        <v>0</v>
      </c>
      <c r="ABU76" s="70">
        <v>0</v>
      </c>
      <c r="ABV76" s="70">
        <v>0</v>
      </c>
      <c r="ABW76" s="70">
        <v>0</v>
      </c>
      <c r="ABX76" s="70">
        <v>0</v>
      </c>
      <c r="ABY76" s="70">
        <v>0</v>
      </c>
      <c r="ABZ76" s="70">
        <v>0</v>
      </c>
      <c r="ACA76" s="70">
        <v>0</v>
      </c>
      <c r="ACB76" s="70">
        <v>0</v>
      </c>
      <c r="ACC76" s="70">
        <v>0</v>
      </c>
      <c r="ACD76" s="70">
        <v>0</v>
      </c>
      <c r="ACE76" s="70">
        <v>0</v>
      </c>
      <c r="ACF76" s="70">
        <v>0</v>
      </c>
      <c r="ACG76" s="70">
        <v>0</v>
      </c>
      <c r="ACH76" s="70">
        <v>0</v>
      </c>
      <c r="ACI76" s="70">
        <v>0</v>
      </c>
      <c r="ACJ76" s="70">
        <v>0</v>
      </c>
      <c r="ACK76" s="70">
        <v>0</v>
      </c>
      <c r="ACL76" s="70">
        <v>0</v>
      </c>
      <c r="ACM76" s="70">
        <v>0</v>
      </c>
      <c r="ACN76" s="70">
        <v>0</v>
      </c>
      <c r="ACO76" s="70">
        <v>0</v>
      </c>
      <c r="ACP76" s="70">
        <v>0</v>
      </c>
      <c r="ACQ76" s="70">
        <v>0</v>
      </c>
      <c r="ACR76" s="70">
        <v>0</v>
      </c>
      <c r="ACS76" s="70">
        <v>0</v>
      </c>
      <c r="ACT76" s="70">
        <v>0</v>
      </c>
      <c r="ACU76" s="70">
        <v>0</v>
      </c>
      <c r="ACV76" s="70">
        <v>0</v>
      </c>
      <c r="ACW76" s="70">
        <v>0</v>
      </c>
      <c r="ACX76" s="70">
        <v>0</v>
      </c>
      <c r="ACY76" s="70">
        <v>0</v>
      </c>
      <c r="ACZ76" s="70">
        <v>0</v>
      </c>
      <c r="ADA76" s="70">
        <v>0</v>
      </c>
      <c r="ADB76" s="70">
        <v>0</v>
      </c>
      <c r="ADC76" s="70">
        <v>0</v>
      </c>
      <c r="ADD76" s="70">
        <v>0</v>
      </c>
      <c r="ADE76" s="70">
        <v>0</v>
      </c>
      <c r="ADF76" s="70">
        <v>0</v>
      </c>
      <c r="ADG76" s="70">
        <v>0</v>
      </c>
      <c r="ADH76" s="70">
        <v>0</v>
      </c>
      <c r="ADI76" s="70">
        <v>0</v>
      </c>
      <c r="ADJ76" s="70">
        <v>0</v>
      </c>
      <c r="ADK76" s="70">
        <v>0</v>
      </c>
      <c r="ADL76" s="70">
        <v>0</v>
      </c>
      <c r="ADM76" s="70">
        <v>0</v>
      </c>
      <c r="ADN76" s="70">
        <v>0</v>
      </c>
      <c r="ADO76" s="70">
        <v>0</v>
      </c>
      <c r="ADP76" s="70">
        <v>0</v>
      </c>
      <c r="ADQ76" s="70">
        <v>0</v>
      </c>
      <c r="ADR76" s="70">
        <v>0</v>
      </c>
      <c r="ADS76" s="70">
        <v>0</v>
      </c>
      <c r="ADT76" s="70">
        <v>0</v>
      </c>
      <c r="ADU76" s="70">
        <v>0</v>
      </c>
      <c r="ADV76" s="70">
        <v>0</v>
      </c>
      <c r="ADW76" s="70">
        <v>0</v>
      </c>
      <c r="ADX76" s="70">
        <v>0</v>
      </c>
      <c r="ADY76" s="70">
        <v>0</v>
      </c>
      <c r="ADZ76" s="70">
        <v>0</v>
      </c>
      <c r="AEA76" s="70">
        <v>0</v>
      </c>
      <c r="AEB76" s="70">
        <v>0</v>
      </c>
      <c r="AEC76" s="70">
        <v>0</v>
      </c>
      <c r="AED76" s="70">
        <v>0</v>
      </c>
      <c r="AEE76" s="70">
        <v>0</v>
      </c>
      <c r="AEF76" s="70">
        <v>0</v>
      </c>
      <c r="AEG76" s="70">
        <v>0</v>
      </c>
      <c r="AEH76" s="70">
        <v>0</v>
      </c>
      <c r="AEI76" s="70">
        <v>0</v>
      </c>
      <c r="AEJ76" s="70">
        <v>0</v>
      </c>
      <c r="AEK76" s="70">
        <v>0</v>
      </c>
      <c r="AEL76" s="70">
        <v>0</v>
      </c>
      <c r="AEM76" s="70">
        <v>0</v>
      </c>
      <c r="AEN76" s="70">
        <v>0</v>
      </c>
      <c r="AEO76" s="70">
        <v>0</v>
      </c>
      <c r="AEP76" s="70">
        <v>0</v>
      </c>
      <c r="AEQ76" s="70">
        <v>0</v>
      </c>
      <c r="AER76" s="70">
        <v>0</v>
      </c>
      <c r="AES76" s="70">
        <v>0</v>
      </c>
      <c r="AET76" s="70">
        <v>0</v>
      </c>
      <c r="AEU76" s="70">
        <v>0</v>
      </c>
      <c r="AEV76" s="70">
        <v>0</v>
      </c>
      <c r="AEW76" s="70">
        <v>0</v>
      </c>
      <c r="AEX76" s="70">
        <v>0</v>
      </c>
      <c r="AEY76" s="70">
        <v>0</v>
      </c>
      <c r="AEZ76" s="70">
        <v>0</v>
      </c>
      <c r="AFA76" s="70">
        <v>0</v>
      </c>
      <c r="AFB76" s="70">
        <v>0</v>
      </c>
      <c r="AFC76" s="70">
        <v>0</v>
      </c>
      <c r="AFD76" s="70">
        <v>0</v>
      </c>
      <c r="AFE76" s="70">
        <v>0</v>
      </c>
      <c r="AFF76" s="70">
        <v>0</v>
      </c>
      <c r="AFG76" s="70">
        <v>0</v>
      </c>
      <c r="AFH76" s="70">
        <v>0</v>
      </c>
      <c r="AFI76" s="70">
        <v>0</v>
      </c>
      <c r="AFJ76" s="70">
        <v>0</v>
      </c>
      <c r="AFK76" s="70">
        <v>0</v>
      </c>
      <c r="AFL76" s="70">
        <v>0</v>
      </c>
      <c r="AFM76" s="70">
        <v>0</v>
      </c>
      <c r="AFN76" s="70">
        <v>0</v>
      </c>
      <c r="AFO76" s="70">
        <v>0</v>
      </c>
      <c r="AFP76" s="70">
        <v>0</v>
      </c>
      <c r="AFQ76" s="70">
        <v>0</v>
      </c>
      <c r="AFR76" s="70">
        <v>0</v>
      </c>
      <c r="AFS76" s="70">
        <v>0</v>
      </c>
      <c r="AFT76" s="70">
        <v>0</v>
      </c>
      <c r="AFU76" s="70">
        <v>0</v>
      </c>
      <c r="AFV76" s="70">
        <v>0</v>
      </c>
      <c r="AFW76" s="70">
        <v>0</v>
      </c>
      <c r="AFX76" s="70">
        <v>0</v>
      </c>
      <c r="AFY76" s="70">
        <v>0</v>
      </c>
      <c r="AFZ76" s="70">
        <v>0</v>
      </c>
      <c r="AGA76" s="70">
        <v>0</v>
      </c>
      <c r="AGB76" s="70">
        <v>0</v>
      </c>
      <c r="AGC76" s="70">
        <v>0</v>
      </c>
      <c r="AGD76" s="70">
        <v>0</v>
      </c>
      <c r="AGE76" s="70">
        <v>0</v>
      </c>
      <c r="AGF76" s="70">
        <v>0</v>
      </c>
      <c r="AGG76" s="70">
        <v>0</v>
      </c>
      <c r="AGH76" s="70">
        <v>0</v>
      </c>
      <c r="AGI76" s="70">
        <v>0</v>
      </c>
      <c r="AGJ76" s="70">
        <v>0</v>
      </c>
      <c r="AGK76" s="70">
        <v>0</v>
      </c>
      <c r="AGL76" s="70">
        <v>0</v>
      </c>
      <c r="AGM76" s="70">
        <v>0</v>
      </c>
      <c r="AGN76" s="70">
        <v>0</v>
      </c>
      <c r="AGO76" s="70">
        <v>0</v>
      </c>
      <c r="AGP76" s="70">
        <v>0</v>
      </c>
      <c r="AGQ76" s="70">
        <v>0</v>
      </c>
      <c r="AGR76" s="70">
        <v>0</v>
      </c>
      <c r="AGS76" s="70">
        <v>0</v>
      </c>
      <c r="AGT76" s="70">
        <v>0</v>
      </c>
      <c r="AGU76" s="70">
        <v>0</v>
      </c>
      <c r="AGV76" s="70">
        <v>0</v>
      </c>
      <c r="AGW76" s="70">
        <v>0</v>
      </c>
      <c r="AGX76" s="70">
        <v>0</v>
      </c>
      <c r="AGY76" s="70">
        <v>0</v>
      </c>
      <c r="AGZ76" s="70">
        <v>0</v>
      </c>
      <c r="AHA76" s="70">
        <v>0</v>
      </c>
      <c r="AHB76" s="70">
        <v>0</v>
      </c>
      <c r="AHC76" s="70">
        <v>0</v>
      </c>
      <c r="AHD76" s="70">
        <v>0</v>
      </c>
      <c r="AHE76" s="70">
        <v>0</v>
      </c>
      <c r="AHF76" s="70">
        <v>0</v>
      </c>
      <c r="AHG76" s="70">
        <v>0</v>
      </c>
      <c r="AHH76" s="70">
        <v>0</v>
      </c>
      <c r="AHI76" s="70">
        <v>0</v>
      </c>
      <c r="AHJ76" s="70">
        <v>0</v>
      </c>
      <c r="AHK76" s="70">
        <v>0</v>
      </c>
      <c r="AHL76" s="70">
        <v>0</v>
      </c>
      <c r="AHM76" s="70">
        <v>0</v>
      </c>
      <c r="AHN76" s="70">
        <v>0</v>
      </c>
      <c r="AHO76" s="70">
        <v>0</v>
      </c>
      <c r="AHP76" s="70">
        <v>0</v>
      </c>
      <c r="AHQ76" s="70">
        <v>0</v>
      </c>
      <c r="AHR76" s="70">
        <v>0</v>
      </c>
      <c r="AHS76" s="70">
        <v>0</v>
      </c>
      <c r="AHT76" s="70">
        <v>0</v>
      </c>
      <c r="AHU76" s="70">
        <v>0</v>
      </c>
      <c r="AHV76" s="70">
        <v>0</v>
      </c>
      <c r="AHW76" s="70">
        <v>0</v>
      </c>
      <c r="AHX76" s="70">
        <v>0</v>
      </c>
      <c r="AHY76" s="70">
        <v>0</v>
      </c>
      <c r="AHZ76" s="70">
        <v>0</v>
      </c>
      <c r="AIA76" s="70">
        <v>0</v>
      </c>
      <c r="AIB76" s="70">
        <v>0</v>
      </c>
      <c r="AIC76" s="70">
        <v>0</v>
      </c>
      <c r="AID76" s="70">
        <v>0</v>
      </c>
      <c r="AIE76" s="70">
        <v>0</v>
      </c>
      <c r="AIF76" s="70">
        <v>0</v>
      </c>
      <c r="AIG76" s="70">
        <v>0</v>
      </c>
      <c r="AIH76" s="70">
        <v>0</v>
      </c>
      <c r="AII76" s="70">
        <v>0</v>
      </c>
      <c r="AIJ76" s="70">
        <v>0</v>
      </c>
      <c r="AIK76" s="70">
        <v>0</v>
      </c>
      <c r="AIL76" s="70">
        <v>0</v>
      </c>
      <c r="AIM76" s="70">
        <v>0</v>
      </c>
      <c r="AIN76" s="70">
        <v>0</v>
      </c>
      <c r="AIO76" s="70">
        <v>0</v>
      </c>
      <c r="AIP76" s="70">
        <v>0</v>
      </c>
      <c r="AIQ76" s="70">
        <v>0</v>
      </c>
      <c r="AIR76" s="70">
        <v>0</v>
      </c>
      <c r="AIS76" s="70">
        <v>0</v>
      </c>
      <c r="AIT76" s="70">
        <v>0</v>
      </c>
      <c r="AIU76" s="70">
        <v>0</v>
      </c>
      <c r="AIV76" s="70">
        <v>0</v>
      </c>
      <c r="AIW76" s="70">
        <v>0</v>
      </c>
      <c r="AIX76" s="70">
        <v>0</v>
      </c>
      <c r="AIY76" s="70">
        <v>0</v>
      </c>
      <c r="AIZ76" s="70">
        <v>0</v>
      </c>
      <c r="AJA76" s="70">
        <v>0</v>
      </c>
      <c r="AJB76" s="70">
        <v>0</v>
      </c>
      <c r="AJC76" s="70">
        <v>0</v>
      </c>
      <c r="AJD76" s="70">
        <v>0</v>
      </c>
      <c r="AJE76" s="70">
        <v>0</v>
      </c>
      <c r="AJF76" s="70">
        <v>0</v>
      </c>
      <c r="AJG76" s="70">
        <v>0</v>
      </c>
      <c r="AJH76" s="70">
        <v>0</v>
      </c>
      <c r="AJI76" s="70">
        <v>0</v>
      </c>
      <c r="AJJ76" s="70">
        <v>0</v>
      </c>
      <c r="AJK76" s="70">
        <v>0</v>
      </c>
      <c r="AJL76" s="70">
        <v>0</v>
      </c>
      <c r="AJM76" s="70">
        <v>0</v>
      </c>
      <c r="AJN76" s="70">
        <v>0</v>
      </c>
      <c r="AJO76" s="70">
        <v>0</v>
      </c>
      <c r="AJP76" s="70">
        <v>0</v>
      </c>
      <c r="AJQ76" s="70">
        <v>0</v>
      </c>
      <c r="AJR76" s="70">
        <v>0</v>
      </c>
      <c r="AJS76" s="70">
        <v>0</v>
      </c>
      <c r="AJT76" s="70">
        <v>0</v>
      </c>
      <c r="AJU76" s="70">
        <v>0</v>
      </c>
      <c r="AJV76" s="70">
        <v>0</v>
      </c>
      <c r="AJW76" s="70">
        <v>0</v>
      </c>
      <c r="AJX76" s="70">
        <v>0</v>
      </c>
      <c r="AJY76" s="70">
        <v>0</v>
      </c>
      <c r="AJZ76" s="70">
        <v>0</v>
      </c>
      <c r="AKA76" s="70">
        <v>0</v>
      </c>
      <c r="AKB76" s="70">
        <v>0</v>
      </c>
      <c r="AKC76" s="70">
        <v>0</v>
      </c>
      <c r="AKD76" s="70">
        <v>0</v>
      </c>
      <c r="AKE76" s="70">
        <v>0</v>
      </c>
      <c r="AKF76" s="70">
        <v>0</v>
      </c>
      <c r="AKG76" s="70">
        <v>0</v>
      </c>
      <c r="AKH76" s="70">
        <v>0</v>
      </c>
      <c r="AKI76" s="70">
        <v>0</v>
      </c>
      <c r="AKJ76" s="70">
        <v>0</v>
      </c>
      <c r="AKK76" s="70">
        <v>0</v>
      </c>
      <c r="AKL76" s="70">
        <v>0</v>
      </c>
      <c r="AKM76" s="70">
        <v>0</v>
      </c>
      <c r="AKN76" s="70">
        <v>0</v>
      </c>
      <c r="AKO76" s="70">
        <v>0</v>
      </c>
      <c r="AKP76" s="70">
        <v>0</v>
      </c>
      <c r="AKQ76" s="70">
        <v>0</v>
      </c>
      <c r="AKR76" s="70">
        <v>0</v>
      </c>
      <c r="AKS76" s="70">
        <v>0</v>
      </c>
      <c r="AKT76" s="70">
        <v>0</v>
      </c>
      <c r="AKU76" s="70">
        <v>0</v>
      </c>
      <c r="AKV76" s="70">
        <v>0</v>
      </c>
      <c r="AKW76" s="70">
        <v>0</v>
      </c>
      <c r="AKX76" s="70">
        <v>0</v>
      </c>
      <c r="AKY76" s="70">
        <v>0</v>
      </c>
      <c r="AKZ76" s="70">
        <v>0</v>
      </c>
      <c r="ALA76" s="70">
        <v>0</v>
      </c>
      <c r="ALB76" s="70">
        <v>0</v>
      </c>
      <c r="ALC76" s="70">
        <v>0</v>
      </c>
      <c r="ALD76" s="70">
        <v>0</v>
      </c>
      <c r="ALE76" s="70">
        <v>0</v>
      </c>
      <c r="ALF76" s="70">
        <v>0</v>
      </c>
      <c r="ALG76" s="70">
        <v>0</v>
      </c>
      <c r="ALH76" s="70">
        <v>0</v>
      </c>
      <c r="ALI76" s="70">
        <v>0</v>
      </c>
      <c r="ALJ76" s="70">
        <v>0</v>
      </c>
      <c r="ALK76" s="70">
        <v>0</v>
      </c>
      <c r="ALL76" s="70">
        <v>0</v>
      </c>
      <c r="ALM76" s="70">
        <v>0</v>
      </c>
      <c r="ALN76" s="70">
        <v>0</v>
      </c>
      <c r="ALO76" s="70">
        <v>0</v>
      </c>
      <c r="ALP76" s="70">
        <v>0</v>
      </c>
      <c r="ALQ76" s="70">
        <v>0</v>
      </c>
      <c r="ALR76" s="70">
        <v>0</v>
      </c>
      <c r="ALS76" s="70">
        <v>0</v>
      </c>
      <c r="ALT76" s="70">
        <v>0</v>
      </c>
      <c r="ALU76" s="70">
        <v>0</v>
      </c>
      <c r="ALV76" s="70">
        <v>0</v>
      </c>
      <c r="ALW76" s="70">
        <v>0</v>
      </c>
      <c r="ALX76" s="70">
        <v>0</v>
      </c>
      <c r="ALY76" s="70">
        <v>0</v>
      </c>
      <c r="ALZ76" s="70">
        <v>0</v>
      </c>
      <c r="AMA76" s="70">
        <v>0</v>
      </c>
      <c r="AMB76" s="70">
        <v>0</v>
      </c>
      <c r="AMC76" s="70">
        <v>0</v>
      </c>
      <c r="AMD76" s="70">
        <v>0</v>
      </c>
      <c r="AME76" s="70">
        <v>0</v>
      </c>
      <c r="AMF76" s="70">
        <v>0</v>
      </c>
      <c r="AMG76" s="70">
        <v>0</v>
      </c>
      <c r="AMH76" s="70">
        <v>0</v>
      </c>
      <c r="AMI76" s="70">
        <v>0</v>
      </c>
      <c r="AMJ76" s="70">
        <v>0</v>
      </c>
      <c r="AMK76" s="70">
        <v>0</v>
      </c>
      <c r="AML76" s="70">
        <v>0</v>
      </c>
      <c r="AMM76" s="70">
        <v>0</v>
      </c>
      <c r="AMN76" s="70">
        <v>0</v>
      </c>
      <c r="AMO76" s="70">
        <v>0</v>
      </c>
      <c r="AMP76" s="70">
        <v>0</v>
      </c>
      <c r="AMQ76" s="70">
        <v>0</v>
      </c>
      <c r="AMR76" s="70">
        <v>0</v>
      </c>
      <c r="AMS76" s="70">
        <v>0</v>
      </c>
      <c r="AMT76" s="70">
        <v>0</v>
      </c>
      <c r="AMU76" s="70">
        <v>0</v>
      </c>
      <c r="AMV76" s="70">
        <v>0</v>
      </c>
      <c r="AMW76" s="70">
        <v>0</v>
      </c>
      <c r="AMX76" s="70">
        <v>0</v>
      </c>
      <c r="AMY76" s="70">
        <v>0</v>
      </c>
      <c r="AMZ76" s="70">
        <v>0</v>
      </c>
      <c r="ANA76" s="70">
        <v>0</v>
      </c>
      <c r="ANB76" s="70">
        <v>0</v>
      </c>
      <c r="ANC76" s="70">
        <v>0</v>
      </c>
      <c r="AND76" s="70">
        <v>0</v>
      </c>
      <c r="ANE76" s="70">
        <v>0</v>
      </c>
      <c r="ANF76" s="70">
        <v>0</v>
      </c>
      <c r="ANG76" s="70">
        <v>0</v>
      </c>
      <c r="ANH76" s="70">
        <v>0</v>
      </c>
      <c r="ANI76" s="70">
        <v>0</v>
      </c>
      <c r="ANJ76" s="70">
        <v>0</v>
      </c>
      <c r="ANK76" s="70">
        <v>0</v>
      </c>
      <c r="ANL76" s="70">
        <v>0</v>
      </c>
      <c r="ANM76" s="70">
        <v>0</v>
      </c>
      <c r="ANN76" s="70">
        <v>0</v>
      </c>
      <c r="ANO76" s="70">
        <v>0</v>
      </c>
      <c r="ANP76" s="70">
        <v>0</v>
      </c>
      <c r="ANQ76" s="70">
        <v>0</v>
      </c>
      <c r="ANR76" s="70">
        <v>0</v>
      </c>
      <c r="ANS76" s="70">
        <v>0</v>
      </c>
      <c r="ANT76" s="70">
        <v>0</v>
      </c>
      <c r="ANU76" s="70">
        <v>0</v>
      </c>
      <c r="ANV76" s="70">
        <v>0</v>
      </c>
      <c r="ANW76" s="70">
        <v>0</v>
      </c>
      <c r="ANX76" s="70">
        <v>0</v>
      </c>
      <c r="ANY76" s="70">
        <v>0</v>
      </c>
      <c r="ANZ76" s="70">
        <v>0</v>
      </c>
      <c r="AOA76" s="70">
        <v>0</v>
      </c>
      <c r="AOB76" s="70">
        <v>0</v>
      </c>
      <c r="AOC76" s="70">
        <v>0</v>
      </c>
      <c r="AOD76" s="70">
        <v>0</v>
      </c>
      <c r="AOE76" s="70">
        <v>0</v>
      </c>
      <c r="AOF76" s="70">
        <v>0</v>
      </c>
      <c r="AOG76" s="70">
        <v>0</v>
      </c>
      <c r="AOH76" s="70">
        <v>0</v>
      </c>
      <c r="AOI76" s="70">
        <v>0</v>
      </c>
      <c r="AOJ76" s="70">
        <v>0</v>
      </c>
      <c r="AOK76" s="70">
        <v>0</v>
      </c>
      <c r="AOL76" s="70">
        <v>0</v>
      </c>
      <c r="AOM76" s="70">
        <v>0</v>
      </c>
      <c r="AON76" s="70">
        <v>0</v>
      </c>
      <c r="AOO76" s="70">
        <v>0</v>
      </c>
      <c r="AOP76" s="70">
        <v>0</v>
      </c>
      <c r="AOQ76" s="70">
        <v>0</v>
      </c>
      <c r="AOR76" s="70">
        <v>0</v>
      </c>
      <c r="AOS76" s="70">
        <v>0</v>
      </c>
      <c r="AOT76" s="70">
        <v>0</v>
      </c>
      <c r="AOU76" s="70">
        <v>0</v>
      </c>
      <c r="AOV76" s="70">
        <v>0</v>
      </c>
      <c r="AOW76" s="70">
        <v>0</v>
      </c>
      <c r="AOX76" s="70">
        <v>0</v>
      </c>
      <c r="AOY76" s="70">
        <v>0</v>
      </c>
      <c r="AOZ76" s="70">
        <v>0</v>
      </c>
      <c r="APA76" s="70">
        <v>0</v>
      </c>
      <c r="APB76" s="70">
        <v>0</v>
      </c>
      <c r="APC76" s="70">
        <v>0</v>
      </c>
      <c r="APD76" s="70">
        <v>0</v>
      </c>
      <c r="APE76" s="70">
        <v>0</v>
      </c>
      <c r="APF76" s="70">
        <v>0</v>
      </c>
      <c r="APG76" s="70">
        <v>0</v>
      </c>
      <c r="APH76" s="70">
        <v>0</v>
      </c>
      <c r="API76" s="70">
        <v>0</v>
      </c>
      <c r="APJ76" s="70">
        <v>0</v>
      </c>
      <c r="APK76" s="70">
        <v>0</v>
      </c>
      <c r="APL76" s="70">
        <v>0</v>
      </c>
      <c r="APM76" s="70">
        <v>0</v>
      </c>
      <c r="APN76" s="70">
        <v>0</v>
      </c>
      <c r="APO76" s="70">
        <v>0</v>
      </c>
      <c r="APP76" s="70">
        <v>0</v>
      </c>
      <c r="APQ76" s="70">
        <v>0</v>
      </c>
      <c r="APR76" s="70">
        <v>0</v>
      </c>
      <c r="APS76" s="70">
        <v>0</v>
      </c>
      <c r="APT76" s="70">
        <v>0</v>
      </c>
      <c r="APU76" s="70">
        <v>0</v>
      </c>
      <c r="APV76" s="70">
        <v>0</v>
      </c>
      <c r="APW76" s="70">
        <v>0</v>
      </c>
      <c r="APX76" s="70">
        <v>0</v>
      </c>
      <c r="APY76" s="70">
        <v>0</v>
      </c>
      <c r="APZ76" s="70">
        <v>0</v>
      </c>
      <c r="AQA76" s="70">
        <v>0</v>
      </c>
      <c r="AQB76" s="70">
        <v>0</v>
      </c>
      <c r="AQC76" s="70">
        <v>0</v>
      </c>
      <c r="AQD76" s="70">
        <v>0</v>
      </c>
      <c r="AQE76" s="70">
        <v>0</v>
      </c>
      <c r="AQF76" s="70">
        <v>0</v>
      </c>
      <c r="AQG76" s="70">
        <v>0</v>
      </c>
      <c r="AQH76" s="70">
        <v>0</v>
      </c>
      <c r="AQI76" s="70">
        <v>0</v>
      </c>
      <c r="AQJ76" s="70">
        <v>0</v>
      </c>
      <c r="AQK76" s="70">
        <v>0</v>
      </c>
      <c r="AQL76" s="70">
        <v>0</v>
      </c>
      <c r="AQM76" s="70">
        <v>0</v>
      </c>
      <c r="AQN76" s="70">
        <v>0</v>
      </c>
      <c r="AQO76" s="70">
        <v>0</v>
      </c>
      <c r="AQP76" s="70">
        <v>0</v>
      </c>
      <c r="AQQ76" s="70">
        <v>0</v>
      </c>
      <c r="AQR76" s="70">
        <v>0</v>
      </c>
      <c r="AQS76" s="70">
        <v>0</v>
      </c>
      <c r="AQT76" s="70">
        <v>0</v>
      </c>
      <c r="AQU76" s="70">
        <v>0</v>
      </c>
      <c r="AQV76" s="70">
        <v>0</v>
      </c>
      <c r="AQW76" s="70">
        <v>0</v>
      </c>
      <c r="AQX76" s="70">
        <v>0</v>
      </c>
      <c r="AQY76" s="70">
        <v>0</v>
      </c>
      <c r="AQZ76" s="70">
        <v>0</v>
      </c>
      <c r="ARA76" s="70">
        <v>0</v>
      </c>
      <c r="ARB76" s="70">
        <v>0</v>
      </c>
      <c r="ARC76" s="70">
        <v>0</v>
      </c>
      <c r="ARD76" s="70">
        <v>0</v>
      </c>
      <c r="ARE76" s="70">
        <v>0</v>
      </c>
      <c r="ARF76" s="70">
        <v>0</v>
      </c>
      <c r="ARG76" s="70">
        <v>0</v>
      </c>
      <c r="ARH76" s="70">
        <v>0</v>
      </c>
      <c r="ARI76" s="70">
        <v>0</v>
      </c>
      <c r="ARJ76" s="70">
        <v>0</v>
      </c>
      <c r="ARK76" s="70">
        <v>0</v>
      </c>
      <c r="ARL76" s="70">
        <v>0</v>
      </c>
      <c r="ARM76" s="70">
        <v>0</v>
      </c>
      <c r="ARN76" s="70">
        <v>0</v>
      </c>
      <c r="ARO76" s="70">
        <v>0</v>
      </c>
      <c r="ARP76" s="70">
        <v>0</v>
      </c>
      <c r="ARQ76" s="70">
        <v>0</v>
      </c>
      <c r="ARR76" s="70">
        <v>0</v>
      </c>
      <c r="ARS76" s="70">
        <v>0</v>
      </c>
      <c r="ART76" s="70">
        <v>0</v>
      </c>
      <c r="ARU76" s="70">
        <v>0</v>
      </c>
      <c r="ARV76" s="70">
        <v>0</v>
      </c>
      <c r="ARW76" s="70">
        <v>0</v>
      </c>
      <c r="ARX76" s="70">
        <v>0</v>
      </c>
      <c r="ARY76" s="70">
        <v>0</v>
      </c>
      <c r="ARZ76" s="70">
        <v>0</v>
      </c>
      <c r="ASA76" s="70">
        <v>0</v>
      </c>
      <c r="ASB76" s="70">
        <v>0</v>
      </c>
      <c r="ASC76" s="70">
        <v>0</v>
      </c>
      <c r="ASD76" s="70">
        <v>0</v>
      </c>
      <c r="ASE76" s="70">
        <v>0</v>
      </c>
      <c r="ASF76" s="70">
        <v>0</v>
      </c>
      <c r="ASG76" s="70">
        <v>0</v>
      </c>
      <c r="ASH76" s="70">
        <v>0</v>
      </c>
      <c r="ASI76" s="70">
        <v>0</v>
      </c>
      <c r="ASJ76" s="70">
        <v>0</v>
      </c>
      <c r="ASK76" s="70">
        <v>0</v>
      </c>
      <c r="ASL76" s="70">
        <v>0</v>
      </c>
      <c r="ASM76" s="70">
        <v>0</v>
      </c>
      <c r="ASN76" s="70">
        <v>0</v>
      </c>
      <c r="ASO76" s="70">
        <v>0</v>
      </c>
      <c r="ASP76" s="70">
        <v>0</v>
      </c>
      <c r="ASQ76" s="70">
        <v>0</v>
      </c>
      <c r="ASR76" s="70">
        <v>0</v>
      </c>
      <c r="ASS76" s="70">
        <v>0</v>
      </c>
      <c r="AST76" s="70">
        <v>0</v>
      </c>
      <c r="ASU76" s="70">
        <v>0</v>
      </c>
      <c r="ASV76" s="70">
        <v>0</v>
      </c>
      <c r="ASW76" s="70">
        <v>0</v>
      </c>
      <c r="ASX76" s="70">
        <v>0</v>
      </c>
      <c r="ASY76" s="70">
        <v>0</v>
      </c>
      <c r="ASZ76" s="70">
        <v>0</v>
      </c>
      <c r="ATA76" s="70">
        <v>0</v>
      </c>
      <c r="ATB76" s="70">
        <v>0</v>
      </c>
      <c r="ATC76" s="70">
        <v>0</v>
      </c>
      <c r="ATD76" s="70">
        <v>0</v>
      </c>
      <c r="ATE76" s="70">
        <v>0</v>
      </c>
      <c r="ATF76" s="70">
        <v>0</v>
      </c>
      <c r="ATG76" s="70">
        <v>0</v>
      </c>
      <c r="ATH76" s="70">
        <v>0</v>
      </c>
      <c r="ATI76" s="70">
        <v>0</v>
      </c>
      <c r="ATJ76" s="70">
        <v>0</v>
      </c>
      <c r="ATK76" s="70">
        <v>0</v>
      </c>
      <c r="ATL76" s="70">
        <v>0</v>
      </c>
      <c r="ATM76" s="70">
        <v>0</v>
      </c>
      <c r="ATN76" s="70">
        <v>0</v>
      </c>
      <c r="ATO76" s="70">
        <v>0</v>
      </c>
      <c r="ATP76" s="70">
        <v>0</v>
      </c>
      <c r="ATQ76" s="70">
        <v>0</v>
      </c>
      <c r="ATR76" s="70">
        <v>0</v>
      </c>
      <c r="ATS76" s="70">
        <v>0</v>
      </c>
      <c r="ATT76" s="70">
        <v>0</v>
      </c>
      <c r="ATU76" s="70">
        <v>0</v>
      </c>
      <c r="ATV76" s="70">
        <v>0</v>
      </c>
      <c r="ATW76" s="70">
        <v>0</v>
      </c>
      <c r="ATX76" s="70">
        <v>0</v>
      </c>
      <c r="ATY76" s="70">
        <v>0</v>
      </c>
      <c r="ATZ76" s="70">
        <v>0</v>
      </c>
      <c r="AUA76" s="70">
        <v>0</v>
      </c>
      <c r="AUB76" s="70">
        <v>0</v>
      </c>
      <c r="AUC76" s="70">
        <v>0</v>
      </c>
      <c r="AUD76" s="70">
        <v>0</v>
      </c>
      <c r="AUE76" s="70">
        <v>0</v>
      </c>
      <c r="AUF76" s="70">
        <v>0</v>
      </c>
      <c r="AUG76" s="70">
        <v>0</v>
      </c>
      <c r="AUH76" s="70">
        <v>0</v>
      </c>
      <c r="AUI76" s="70">
        <v>0</v>
      </c>
      <c r="AUJ76" s="70">
        <v>0</v>
      </c>
      <c r="AUK76" s="70">
        <v>0</v>
      </c>
      <c r="AUL76" s="70">
        <v>0</v>
      </c>
      <c r="AUM76" s="70">
        <v>0</v>
      </c>
      <c r="AUN76" s="70">
        <v>0</v>
      </c>
      <c r="AUO76" s="70">
        <v>0</v>
      </c>
      <c r="AUP76" s="70">
        <v>0</v>
      </c>
      <c r="AUQ76" s="70">
        <v>0</v>
      </c>
      <c r="AUR76" s="70">
        <v>0</v>
      </c>
      <c r="AUS76" s="70">
        <v>0</v>
      </c>
      <c r="AUT76" s="70">
        <v>0</v>
      </c>
      <c r="AUU76" s="70">
        <v>0</v>
      </c>
      <c r="AUV76" s="70">
        <v>0</v>
      </c>
      <c r="AUW76" s="70">
        <v>0</v>
      </c>
      <c r="AUX76" s="70">
        <v>0</v>
      </c>
      <c r="AUY76" s="70">
        <v>0</v>
      </c>
      <c r="AUZ76" s="70">
        <v>0</v>
      </c>
      <c r="AVA76" s="70">
        <v>0</v>
      </c>
      <c r="AVB76" s="70">
        <v>0</v>
      </c>
      <c r="AVC76" s="70">
        <v>0</v>
      </c>
      <c r="AVD76" s="70">
        <v>0</v>
      </c>
      <c r="AVE76" s="70">
        <v>0</v>
      </c>
      <c r="AVF76" s="70">
        <v>0</v>
      </c>
      <c r="AVG76" s="70">
        <v>0</v>
      </c>
      <c r="AVH76" s="70">
        <v>0</v>
      </c>
      <c r="AVI76" s="70">
        <v>0</v>
      </c>
      <c r="AVJ76" s="70">
        <v>0</v>
      </c>
      <c r="AVK76" s="70">
        <v>0</v>
      </c>
      <c r="AVL76" s="70">
        <v>0</v>
      </c>
      <c r="AVM76" s="70">
        <v>0</v>
      </c>
      <c r="AVN76" s="70">
        <v>0</v>
      </c>
      <c r="AVO76" s="70">
        <v>0</v>
      </c>
      <c r="AVP76" s="70">
        <v>0</v>
      </c>
      <c r="AVQ76" s="70">
        <v>0</v>
      </c>
      <c r="AVR76" s="70">
        <v>0</v>
      </c>
      <c r="AVS76" s="70">
        <v>0</v>
      </c>
      <c r="AVT76" s="70">
        <v>0</v>
      </c>
      <c r="AVU76" s="70">
        <v>0</v>
      </c>
      <c r="AVV76" s="70">
        <v>0</v>
      </c>
      <c r="AVW76" s="70">
        <v>0</v>
      </c>
      <c r="AVX76" s="70">
        <v>0</v>
      </c>
      <c r="AVY76" s="70">
        <v>0</v>
      </c>
      <c r="AVZ76" s="70">
        <v>0</v>
      </c>
      <c r="AWA76" s="70">
        <v>0</v>
      </c>
      <c r="AWB76" s="70">
        <v>0</v>
      </c>
      <c r="AWC76" s="70">
        <v>0</v>
      </c>
      <c r="AWD76" s="70">
        <v>0</v>
      </c>
      <c r="AWE76" s="70">
        <v>0</v>
      </c>
      <c r="AWF76" s="70">
        <v>0</v>
      </c>
      <c r="AWG76" s="70">
        <v>0</v>
      </c>
      <c r="AWH76" s="70">
        <v>0</v>
      </c>
      <c r="AWI76" s="70">
        <v>0</v>
      </c>
      <c r="AWJ76" s="70">
        <v>0</v>
      </c>
      <c r="AWK76" s="70">
        <v>0</v>
      </c>
      <c r="AWL76" s="70">
        <v>0</v>
      </c>
      <c r="AWM76" s="70">
        <v>0</v>
      </c>
      <c r="AWN76" s="70">
        <v>0</v>
      </c>
      <c r="AWO76" s="70">
        <v>0</v>
      </c>
      <c r="AWP76" s="70">
        <v>0</v>
      </c>
      <c r="AWQ76" s="70">
        <v>0</v>
      </c>
      <c r="AWR76" s="70">
        <v>0</v>
      </c>
      <c r="AWS76" s="70">
        <v>0</v>
      </c>
      <c r="AWT76" s="70">
        <v>0</v>
      </c>
      <c r="AWU76" s="70">
        <v>0</v>
      </c>
      <c r="AWV76" s="70">
        <v>0</v>
      </c>
      <c r="AWW76" s="70">
        <v>0</v>
      </c>
      <c r="AWX76" s="70">
        <v>0</v>
      </c>
      <c r="AWY76" s="70">
        <v>0</v>
      </c>
      <c r="AWZ76" s="70">
        <v>0</v>
      </c>
      <c r="AXA76" s="70">
        <v>0</v>
      </c>
      <c r="AXB76" s="70">
        <v>0</v>
      </c>
      <c r="AXC76" s="70">
        <v>0</v>
      </c>
      <c r="AXD76" s="70">
        <v>0</v>
      </c>
      <c r="AXE76" s="70">
        <v>0</v>
      </c>
      <c r="AXF76" s="70">
        <v>0</v>
      </c>
      <c r="AXG76" s="70">
        <v>0</v>
      </c>
      <c r="AXH76" s="70">
        <v>0</v>
      </c>
      <c r="AXI76" s="70">
        <v>0</v>
      </c>
      <c r="AXJ76" s="70">
        <v>0</v>
      </c>
      <c r="AXK76" s="70">
        <v>0</v>
      </c>
      <c r="AXL76" s="70">
        <v>0</v>
      </c>
      <c r="AXM76" s="70">
        <v>0</v>
      </c>
      <c r="AXN76" s="70">
        <v>0</v>
      </c>
      <c r="AXO76" s="70">
        <v>0</v>
      </c>
      <c r="AXP76" s="70">
        <v>0</v>
      </c>
      <c r="AXQ76" s="70">
        <v>0</v>
      </c>
      <c r="AXR76" s="70">
        <v>0</v>
      </c>
      <c r="AXS76" s="70">
        <v>0</v>
      </c>
      <c r="AXT76" s="70">
        <v>0</v>
      </c>
      <c r="AXU76" s="70">
        <v>0</v>
      </c>
      <c r="AXV76" s="70">
        <v>0</v>
      </c>
      <c r="AXW76" s="70">
        <v>0</v>
      </c>
      <c r="AXX76" s="70">
        <v>0</v>
      </c>
      <c r="AXY76" s="70">
        <v>0</v>
      </c>
      <c r="AXZ76" s="70">
        <v>0</v>
      </c>
      <c r="AYA76" s="70">
        <v>0</v>
      </c>
      <c r="AYB76" s="70">
        <v>0</v>
      </c>
      <c r="AYC76" s="70">
        <v>0</v>
      </c>
      <c r="AYD76" s="70">
        <v>0</v>
      </c>
      <c r="AYE76" s="70">
        <v>0</v>
      </c>
      <c r="AYF76" s="70">
        <v>0</v>
      </c>
      <c r="AYG76" s="70">
        <v>0</v>
      </c>
      <c r="AYH76" s="70">
        <v>0</v>
      </c>
      <c r="AYI76" s="70">
        <v>0</v>
      </c>
      <c r="AYJ76" s="70">
        <v>0</v>
      </c>
      <c r="AYK76" s="70">
        <v>0</v>
      </c>
      <c r="AYL76" s="70">
        <v>0</v>
      </c>
      <c r="AYM76" s="70">
        <v>0</v>
      </c>
      <c r="AYN76" s="70">
        <v>0</v>
      </c>
      <c r="AYO76" s="70">
        <v>0</v>
      </c>
      <c r="AYP76" s="70">
        <v>0</v>
      </c>
      <c r="AYQ76" s="70">
        <v>0</v>
      </c>
      <c r="AYR76" s="70">
        <v>0</v>
      </c>
      <c r="AYS76" s="70">
        <v>0</v>
      </c>
      <c r="AYT76" s="70">
        <v>0</v>
      </c>
      <c r="AYU76" s="70">
        <v>0</v>
      </c>
      <c r="AYV76" s="70">
        <v>0</v>
      </c>
      <c r="AYW76" s="70">
        <v>0</v>
      </c>
      <c r="AYX76" s="70">
        <v>0</v>
      </c>
      <c r="AYY76" s="70">
        <v>0</v>
      </c>
      <c r="AYZ76" s="70">
        <v>0</v>
      </c>
      <c r="AZA76" s="70">
        <v>0</v>
      </c>
      <c r="AZB76" s="70">
        <v>0</v>
      </c>
      <c r="AZC76" s="70">
        <v>0</v>
      </c>
      <c r="AZD76" s="70">
        <v>0</v>
      </c>
      <c r="AZE76" s="70">
        <v>0</v>
      </c>
      <c r="AZF76" s="70">
        <v>0</v>
      </c>
      <c r="AZG76" s="70">
        <v>0</v>
      </c>
      <c r="AZH76" s="70">
        <v>0</v>
      </c>
      <c r="AZI76" s="70">
        <v>0</v>
      </c>
      <c r="AZJ76" s="70">
        <v>0</v>
      </c>
      <c r="AZK76" s="70">
        <v>0</v>
      </c>
      <c r="AZL76" s="70">
        <v>0</v>
      </c>
      <c r="AZM76" s="70">
        <v>0</v>
      </c>
      <c r="AZN76" s="70">
        <v>0</v>
      </c>
      <c r="AZO76" s="70">
        <v>0</v>
      </c>
      <c r="AZP76" s="70">
        <v>0</v>
      </c>
      <c r="AZQ76" s="70">
        <v>0</v>
      </c>
      <c r="AZR76" s="70">
        <v>0</v>
      </c>
      <c r="AZS76" s="70">
        <v>0</v>
      </c>
      <c r="AZT76" s="70">
        <v>0</v>
      </c>
      <c r="AZU76" s="70">
        <v>0</v>
      </c>
      <c r="AZV76" s="70">
        <v>0</v>
      </c>
      <c r="AZW76" s="70">
        <v>0</v>
      </c>
      <c r="AZX76" s="70">
        <v>0</v>
      </c>
      <c r="AZY76" s="70">
        <v>0</v>
      </c>
      <c r="AZZ76" s="70">
        <v>0</v>
      </c>
      <c r="BAA76" s="70">
        <v>0</v>
      </c>
      <c r="BAB76" s="70">
        <v>0</v>
      </c>
      <c r="BAC76" s="70">
        <v>0</v>
      </c>
      <c r="BAD76" s="70">
        <v>0</v>
      </c>
      <c r="BAE76" s="70">
        <v>0</v>
      </c>
      <c r="BAF76" s="70">
        <v>0</v>
      </c>
      <c r="BAG76" s="70">
        <v>0</v>
      </c>
      <c r="BAH76" s="70">
        <v>0</v>
      </c>
      <c r="BAI76" s="70">
        <v>0</v>
      </c>
      <c r="BAJ76" s="70">
        <v>0</v>
      </c>
      <c r="BAK76" s="70">
        <v>0</v>
      </c>
      <c r="BAL76" s="70">
        <v>0</v>
      </c>
      <c r="BAM76" s="70">
        <v>0</v>
      </c>
      <c r="BAN76" s="70">
        <v>0</v>
      </c>
      <c r="BAO76" s="70">
        <v>0</v>
      </c>
      <c r="BAP76" s="70">
        <v>0</v>
      </c>
      <c r="BAQ76" s="70">
        <v>0</v>
      </c>
      <c r="BAR76" s="70">
        <v>0</v>
      </c>
      <c r="BAS76" s="70">
        <v>0</v>
      </c>
      <c r="BAT76" s="70">
        <v>0</v>
      </c>
      <c r="BAU76" s="70">
        <v>0</v>
      </c>
      <c r="BAV76" s="70">
        <v>0</v>
      </c>
      <c r="BAW76" s="70">
        <v>0</v>
      </c>
      <c r="BAX76" s="70">
        <v>0</v>
      </c>
      <c r="BAY76" s="70">
        <v>0</v>
      </c>
      <c r="BAZ76" s="70">
        <v>0</v>
      </c>
      <c r="BBA76" s="70">
        <v>0</v>
      </c>
      <c r="BBB76" s="70">
        <v>0</v>
      </c>
      <c r="BBC76" s="70">
        <v>0</v>
      </c>
      <c r="BBD76" s="70">
        <v>0</v>
      </c>
      <c r="BBE76" s="70">
        <v>0</v>
      </c>
      <c r="BBF76" s="70">
        <v>0</v>
      </c>
      <c r="BBG76" s="70">
        <v>0</v>
      </c>
      <c r="BBH76" s="70">
        <v>0</v>
      </c>
      <c r="BBI76" s="70">
        <v>0</v>
      </c>
      <c r="BBJ76" s="70">
        <v>0</v>
      </c>
      <c r="BBK76" s="70">
        <v>0</v>
      </c>
      <c r="BBL76" s="70">
        <v>0</v>
      </c>
      <c r="BBM76" s="70">
        <v>0</v>
      </c>
      <c r="BBN76" s="70">
        <v>0</v>
      </c>
      <c r="BBO76" s="70">
        <v>0</v>
      </c>
      <c r="BBP76" s="70">
        <v>0</v>
      </c>
      <c r="BBQ76" s="70">
        <v>0</v>
      </c>
      <c r="BBR76" s="70">
        <v>0</v>
      </c>
      <c r="BBS76" s="70">
        <v>0</v>
      </c>
      <c r="BBT76" s="70">
        <v>0</v>
      </c>
      <c r="BBU76" s="70">
        <v>0</v>
      </c>
      <c r="BBV76" s="70">
        <v>0</v>
      </c>
      <c r="BBW76" s="70">
        <v>0</v>
      </c>
      <c r="BBX76" s="70">
        <v>0</v>
      </c>
      <c r="BBY76" s="70">
        <v>0</v>
      </c>
      <c r="BBZ76" s="70">
        <v>0</v>
      </c>
      <c r="BCA76" s="70">
        <v>0</v>
      </c>
      <c r="BCB76" s="70">
        <v>0</v>
      </c>
      <c r="BCC76" s="70">
        <v>0</v>
      </c>
      <c r="BCD76" s="70">
        <v>0</v>
      </c>
      <c r="BCE76" s="70">
        <v>0</v>
      </c>
      <c r="BCF76" s="70">
        <v>0</v>
      </c>
      <c r="BCG76" s="70">
        <v>0</v>
      </c>
      <c r="BCH76" s="70">
        <v>0</v>
      </c>
      <c r="BCI76" s="70">
        <v>0</v>
      </c>
      <c r="BCJ76" s="70">
        <v>0</v>
      </c>
      <c r="BCK76" s="70">
        <v>0</v>
      </c>
      <c r="BCL76" s="70">
        <v>0</v>
      </c>
      <c r="BCM76" s="70">
        <v>0</v>
      </c>
      <c r="BCN76" s="70">
        <v>0</v>
      </c>
      <c r="BCO76" s="70">
        <v>0</v>
      </c>
      <c r="BCP76" s="70">
        <v>0</v>
      </c>
      <c r="BCQ76" s="70">
        <v>0</v>
      </c>
      <c r="BCR76" s="70">
        <v>0</v>
      </c>
      <c r="BCS76" s="70">
        <v>0</v>
      </c>
      <c r="BCT76" s="70">
        <v>0</v>
      </c>
      <c r="BCU76" s="70">
        <v>0</v>
      </c>
      <c r="BCV76" s="70">
        <v>0</v>
      </c>
      <c r="BCW76" s="70">
        <v>0</v>
      </c>
      <c r="BCX76" s="70">
        <v>0</v>
      </c>
      <c r="BCY76" s="70">
        <v>0</v>
      </c>
      <c r="BCZ76" s="70">
        <v>0</v>
      </c>
      <c r="BDA76" s="70">
        <v>0</v>
      </c>
      <c r="BDB76" s="70">
        <v>0</v>
      </c>
      <c r="BDC76" s="70">
        <v>0</v>
      </c>
      <c r="BDD76" s="70">
        <v>0</v>
      </c>
      <c r="BDE76" s="70">
        <v>0</v>
      </c>
      <c r="BDF76" s="70">
        <v>0</v>
      </c>
      <c r="BDG76" s="70">
        <v>0</v>
      </c>
      <c r="BDH76" s="70">
        <v>0</v>
      </c>
      <c r="BDI76" s="70">
        <v>0</v>
      </c>
      <c r="BDJ76" s="70">
        <v>0</v>
      </c>
      <c r="BDK76" s="70">
        <v>0</v>
      </c>
      <c r="BDL76" s="70">
        <v>0</v>
      </c>
      <c r="BDM76" s="70">
        <v>0</v>
      </c>
      <c r="BDN76" s="70">
        <v>0</v>
      </c>
      <c r="BDO76" s="70">
        <v>0</v>
      </c>
      <c r="BDP76" s="70">
        <v>0</v>
      </c>
      <c r="BDQ76" s="70">
        <v>0</v>
      </c>
      <c r="BDR76" s="70">
        <v>0</v>
      </c>
      <c r="BDS76" s="70">
        <v>0</v>
      </c>
      <c r="BDT76" s="70">
        <v>0</v>
      </c>
      <c r="BDU76" s="70">
        <v>0</v>
      </c>
      <c r="BDV76" s="70">
        <v>0</v>
      </c>
      <c r="BDW76" s="70">
        <v>0</v>
      </c>
      <c r="BDX76" s="70">
        <v>0</v>
      </c>
      <c r="BDY76" s="70">
        <v>0</v>
      </c>
      <c r="BDZ76" s="70">
        <v>0</v>
      </c>
      <c r="BEA76" s="70">
        <v>0</v>
      </c>
      <c r="BEB76" s="70">
        <v>0</v>
      </c>
      <c r="BEC76" s="70">
        <v>0</v>
      </c>
      <c r="BED76" s="70">
        <v>0</v>
      </c>
      <c r="BEE76" s="70">
        <v>0</v>
      </c>
      <c r="BEF76" s="70">
        <v>0</v>
      </c>
      <c r="BEG76" s="70">
        <v>0</v>
      </c>
      <c r="BEH76" s="70">
        <v>0</v>
      </c>
      <c r="BEI76" s="70">
        <v>0</v>
      </c>
      <c r="BEJ76" s="70">
        <v>0</v>
      </c>
      <c r="BEK76" s="70">
        <v>0</v>
      </c>
      <c r="BEL76" s="70">
        <v>0</v>
      </c>
      <c r="BEM76" s="70">
        <v>0</v>
      </c>
      <c r="BEN76" s="70">
        <v>0</v>
      </c>
      <c r="BEO76" s="70">
        <v>0</v>
      </c>
      <c r="BEP76" s="70">
        <v>0</v>
      </c>
      <c r="BEQ76" s="70">
        <v>0</v>
      </c>
      <c r="BER76" s="70">
        <v>0</v>
      </c>
      <c r="BES76" s="70">
        <v>0</v>
      </c>
      <c r="BET76" s="70">
        <v>0</v>
      </c>
      <c r="BEU76" s="70">
        <v>0</v>
      </c>
      <c r="BEV76" s="70">
        <v>0</v>
      </c>
      <c r="BEW76" s="70">
        <v>0</v>
      </c>
      <c r="BEX76" s="70">
        <v>0</v>
      </c>
      <c r="BEY76" s="70">
        <v>0</v>
      </c>
      <c r="BEZ76" s="70">
        <v>0</v>
      </c>
      <c r="BFA76" s="70">
        <v>0</v>
      </c>
      <c r="BFB76" s="70">
        <v>0</v>
      </c>
      <c r="BFC76" s="70">
        <v>0</v>
      </c>
      <c r="BFD76" s="70">
        <v>0</v>
      </c>
      <c r="BFE76" s="70">
        <v>0</v>
      </c>
      <c r="BFF76" s="70">
        <v>0</v>
      </c>
      <c r="BFG76" s="70">
        <v>0</v>
      </c>
      <c r="BFH76" s="70">
        <v>0</v>
      </c>
      <c r="BFI76" s="70">
        <v>0</v>
      </c>
      <c r="BFJ76" s="70">
        <v>0</v>
      </c>
      <c r="BFK76" s="70">
        <v>0</v>
      </c>
      <c r="BFL76" s="70">
        <v>0</v>
      </c>
      <c r="BFM76" s="70">
        <v>0</v>
      </c>
      <c r="BFN76" s="70">
        <v>0</v>
      </c>
      <c r="BFO76" s="70">
        <v>0</v>
      </c>
      <c r="BFP76" s="70">
        <v>0</v>
      </c>
      <c r="BFQ76" s="70">
        <v>0</v>
      </c>
      <c r="BFR76" s="70">
        <v>0</v>
      </c>
      <c r="BFS76" s="70">
        <v>0</v>
      </c>
      <c r="BFT76" s="70">
        <v>0</v>
      </c>
      <c r="BFU76" s="70">
        <v>0</v>
      </c>
      <c r="BFV76" s="70">
        <v>0</v>
      </c>
      <c r="BFW76" s="70">
        <v>0</v>
      </c>
      <c r="BFX76" s="70">
        <v>0</v>
      </c>
      <c r="BFY76" s="70">
        <v>0</v>
      </c>
      <c r="BFZ76" s="70">
        <v>0</v>
      </c>
      <c r="BGA76" s="70">
        <v>0</v>
      </c>
      <c r="BGB76" s="70">
        <v>0</v>
      </c>
      <c r="BGC76" s="70">
        <v>0</v>
      </c>
      <c r="BGD76" s="70">
        <v>0</v>
      </c>
      <c r="BGE76" s="70">
        <v>0</v>
      </c>
      <c r="BGF76" s="70">
        <v>0</v>
      </c>
      <c r="BGG76" s="70">
        <v>0</v>
      </c>
      <c r="BGH76" s="70">
        <v>0</v>
      </c>
      <c r="BGI76" s="70">
        <v>0</v>
      </c>
      <c r="BGJ76" s="70">
        <v>0</v>
      </c>
      <c r="BGK76" s="70">
        <v>0</v>
      </c>
      <c r="BGL76" s="70">
        <v>0</v>
      </c>
      <c r="BGM76" s="70">
        <v>0</v>
      </c>
      <c r="BGN76" s="70">
        <v>0</v>
      </c>
      <c r="BGO76" s="70">
        <v>0</v>
      </c>
      <c r="BGP76" s="70">
        <v>0</v>
      </c>
      <c r="BGQ76" s="70">
        <v>0</v>
      </c>
      <c r="BGR76" s="70">
        <v>0</v>
      </c>
      <c r="BGS76" s="70">
        <v>0</v>
      </c>
      <c r="BGT76" s="70">
        <v>0</v>
      </c>
      <c r="BGU76" s="70">
        <v>0</v>
      </c>
      <c r="BGV76" s="70">
        <v>0</v>
      </c>
      <c r="BGW76" s="70">
        <v>0</v>
      </c>
      <c r="BGX76" s="70">
        <v>0</v>
      </c>
      <c r="BGY76" s="70">
        <v>0</v>
      </c>
      <c r="BGZ76" s="70">
        <v>0</v>
      </c>
      <c r="BHA76" s="70">
        <v>0</v>
      </c>
      <c r="BHB76" s="70">
        <v>0</v>
      </c>
      <c r="BHC76" s="70">
        <v>0</v>
      </c>
      <c r="BHD76" s="70">
        <v>0</v>
      </c>
      <c r="BHE76" s="70">
        <v>0</v>
      </c>
      <c r="BHF76" s="70">
        <v>0</v>
      </c>
      <c r="BHG76" s="70">
        <v>0</v>
      </c>
      <c r="BHH76" s="70">
        <v>0</v>
      </c>
      <c r="BHI76" s="70">
        <v>0</v>
      </c>
      <c r="BHJ76" s="70">
        <v>0</v>
      </c>
      <c r="BHK76" s="70">
        <v>0</v>
      </c>
      <c r="BHL76" s="70">
        <v>0</v>
      </c>
      <c r="BHM76" s="70">
        <v>0</v>
      </c>
      <c r="BHN76" s="70">
        <v>0</v>
      </c>
      <c r="BHO76" s="70">
        <v>0</v>
      </c>
      <c r="BHP76" s="70">
        <v>0</v>
      </c>
      <c r="BHQ76" s="70">
        <v>0</v>
      </c>
      <c r="BHR76" s="70">
        <v>0</v>
      </c>
      <c r="BHS76" s="70">
        <v>0</v>
      </c>
      <c r="BHT76" s="70">
        <v>0</v>
      </c>
      <c r="BHU76" s="70">
        <v>0</v>
      </c>
      <c r="BHV76" s="70">
        <v>0</v>
      </c>
      <c r="BHW76" s="70">
        <v>0</v>
      </c>
      <c r="BHX76" s="70">
        <v>0</v>
      </c>
      <c r="BHY76" s="70">
        <v>0</v>
      </c>
      <c r="BHZ76" s="70">
        <v>0</v>
      </c>
      <c r="BIA76" s="70">
        <v>0</v>
      </c>
      <c r="BIB76" s="70">
        <v>0</v>
      </c>
      <c r="BIC76" s="70">
        <v>0</v>
      </c>
      <c r="BID76" s="70">
        <v>0</v>
      </c>
      <c r="BIE76" s="70">
        <v>0</v>
      </c>
      <c r="BIF76" s="70">
        <v>0</v>
      </c>
      <c r="BIG76" s="70">
        <v>0</v>
      </c>
      <c r="BIH76" s="70">
        <v>0</v>
      </c>
      <c r="BII76" s="70">
        <v>0</v>
      </c>
      <c r="BIJ76" s="70">
        <v>0</v>
      </c>
      <c r="BIK76" s="70">
        <v>0</v>
      </c>
      <c r="BIL76" s="70">
        <v>0</v>
      </c>
      <c r="BIM76" s="70">
        <v>0</v>
      </c>
      <c r="BIN76" s="70">
        <v>0</v>
      </c>
      <c r="BIO76" s="70">
        <v>0</v>
      </c>
      <c r="BIP76" s="70">
        <v>0</v>
      </c>
      <c r="BIQ76" s="70">
        <v>0</v>
      </c>
      <c r="BIR76" s="70">
        <v>0</v>
      </c>
      <c r="BIS76" s="70">
        <v>0</v>
      </c>
      <c r="BIT76" s="70">
        <v>0</v>
      </c>
      <c r="BIU76" s="70">
        <v>0</v>
      </c>
      <c r="BIV76" s="70">
        <v>0</v>
      </c>
      <c r="BIW76" s="70">
        <v>0</v>
      </c>
      <c r="BIX76" s="70">
        <v>0</v>
      </c>
      <c r="BIY76" s="70">
        <v>0</v>
      </c>
      <c r="BIZ76" s="70">
        <v>0</v>
      </c>
      <c r="BJA76" s="70">
        <v>0</v>
      </c>
      <c r="BJB76" s="70">
        <v>0</v>
      </c>
      <c r="BJC76" s="70">
        <v>0</v>
      </c>
      <c r="BJD76" s="70">
        <v>0</v>
      </c>
      <c r="BJE76" s="70">
        <v>0</v>
      </c>
      <c r="BJF76" s="70">
        <v>0</v>
      </c>
      <c r="BJG76" s="70">
        <v>0</v>
      </c>
      <c r="BJH76" s="70">
        <v>0</v>
      </c>
      <c r="BJI76" s="70">
        <v>0</v>
      </c>
      <c r="BJJ76" s="70">
        <v>0</v>
      </c>
      <c r="BJK76" s="70">
        <v>0</v>
      </c>
      <c r="BJL76" s="70">
        <v>0</v>
      </c>
      <c r="BJM76" s="70">
        <v>0</v>
      </c>
      <c r="BJN76" s="70">
        <v>0</v>
      </c>
      <c r="BJO76" s="70">
        <v>0</v>
      </c>
      <c r="BJP76" s="70">
        <v>0</v>
      </c>
      <c r="BJQ76" s="70">
        <v>0</v>
      </c>
      <c r="BJR76" s="70">
        <v>0</v>
      </c>
      <c r="BJS76" s="70">
        <v>0</v>
      </c>
      <c r="BJT76" s="70">
        <v>0</v>
      </c>
      <c r="BJU76" s="70">
        <v>0</v>
      </c>
      <c r="BJV76" s="70">
        <v>0</v>
      </c>
      <c r="BJW76" s="70">
        <v>0</v>
      </c>
      <c r="BJX76" s="70">
        <v>0</v>
      </c>
      <c r="BJY76" s="70">
        <v>0</v>
      </c>
      <c r="BJZ76" s="70">
        <v>0</v>
      </c>
      <c r="BKA76" s="70">
        <v>0</v>
      </c>
      <c r="BKB76" s="70">
        <v>0</v>
      </c>
      <c r="BKC76" s="70">
        <v>0</v>
      </c>
      <c r="BKD76" s="70">
        <v>0</v>
      </c>
      <c r="BKE76" s="70">
        <v>0</v>
      </c>
      <c r="BKF76" s="70">
        <v>0</v>
      </c>
      <c r="BKG76" s="70">
        <v>0</v>
      </c>
      <c r="BKH76" s="70">
        <v>0</v>
      </c>
      <c r="BKI76" s="70">
        <v>0</v>
      </c>
      <c r="BKJ76" s="70">
        <v>0</v>
      </c>
      <c r="BKK76" s="70">
        <v>0</v>
      </c>
      <c r="BKL76" s="70">
        <v>0</v>
      </c>
      <c r="BKM76" s="70">
        <v>0</v>
      </c>
      <c r="BKN76" s="70">
        <v>0</v>
      </c>
      <c r="BKO76" s="70">
        <v>0</v>
      </c>
      <c r="BKP76" s="70">
        <v>0</v>
      </c>
      <c r="BKQ76" s="70">
        <v>0</v>
      </c>
      <c r="BKR76" s="70">
        <v>0</v>
      </c>
      <c r="BKS76" s="70">
        <v>0</v>
      </c>
      <c r="BKT76" s="70">
        <v>0</v>
      </c>
      <c r="BKU76" s="70">
        <v>0</v>
      </c>
      <c r="BKV76" s="70">
        <v>0</v>
      </c>
      <c r="BKW76" s="70">
        <v>0</v>
      </c>
      <c r="BKX76" s="70">
        <v>0</v>
      </c>
      <c r="BKY76" s="70">
        <v>0</v>
      </c>
      <c r="BKZ76" s="70">
        <v>0</v>
      </c>
      <c r="BLA76" s="70">
        <v>0</v>
      </c>
      <c r="BLB76" s="70">
        <v>0</v>
      </c>
      <c r="BLC76" s="70">
        <v>0</v>
      </c>
      <c r="BLD76" s="70">
        <v>0</v>
      </c>
      <c r="BLE76" s="70">
        <v>0</v>
      </c>
      <c r="BLF76" s="70">
        <v>0</v>
      </c>
      <c r="BLG76" s="70">
        <v>0</v>
      </c>
      <c r="BLH76" s="70">
        <v>0</v>
      </c>
      <c r="BLI76" s="70">
        <v>0</v>
      </c>
      <c r="BLJ76" s="70">
        <v>0</v>
      </c>
      <c r="BLK76" s="70">
        <v>0</v>
      </c>
      <c r="BLL76" s="70">
        <v>0</v>
      </c>
      <c r="BLM76" s="70">
        <v>0</v>
      </c>
      <c r="BLN76" s="70">
        <v>0</v>
      </c>
      <c r="BLO76" s="70">
        <v>0</v>
      </c>
      <c r="BLP76" s="70">
        <v>0</v>
      </c>
      <c r="BLQ76" s="70">
        <v>0</v>
      </c>
      <c r="BLR76" s="70">
        <v>0</v>
      </c>
      <c r="BLS76" s="70">
        <v>0</v>
      </c>
      <c r="BLT76" s="70">
        <v>0</v>
      </c>
      <c r="BLU76" s="70">
        <v>0</v>
      </c>
      <c r="BLV76" s="70">
        <v>0</v>
      </c>
      <c r="BLW76" s="70">
        <v>0</v>
      </c>
      <c r="BLX76" s="70">
        <v>0</v>
      </c>
      <c r="BLY76" s="70">
        <v>0</v>
      </c>
      <c r="BLZ76" s="70">
        <v>0</v>
      </c>
      <c r="BMA76" s="70">
        <v>0</v>
      </c>
      <c r="BMB76" s="70">
        <v>0</v>
      </c>
      <c r="BMC76" s="70">
        <v>0</v>
      </c>
      <c r="BMD76" s="70">
        <v>0</v>
      </c>
      <c r="BME76" s="70">
        <v>0</v>
      </c>
      <c r="BMF76" s="70">
        <v>0</v>
      </c>
      <c r="BMG76" s="70">
        <v>0</v>
      </c>
      <c r="BMH76" s="70">
        <v>0</v>
      </c>
      <c r="BMI76" s="70">
        <v>0</v>
      </c>
      <c r="BMJ76" s="70">
        <v>0</v>
      </c>
      <c r="BMK76" s="70">
        <v>0</v>
      </c>
      <c r="BML76" s="70">
        <v>0</v>
      </c>
      <c r="BMM76" s="70">
        <v>0</v>
      </c>
      <c r="BMN76" s="70">
        <v>0</v>
      </c>
      <c r="BMO76" s="70">
        <v>0</v>
      </c>
      <c r="BMP76" s="70">
        <v>0</v>
      </c>
      <c r="BMQ76" s="70">
        <v>0</v>
      </c>
      <c r="BMR76" s="70">
        <v>0</v>
      </c>
      <c r="BMS76" s="70">
        <v>0</v>
      </c>
      <c r="BMT76" s="70">
        <v>0</v>
      </c>
      <c r="BMU76" s="70">
        <v>0</v>
      </c>
      <c r="BMV76" s="70">
        <v>0</v>
      </c>
      <c r="BMW76" s="70">
        <v>0</v>
      </c>
      <c r="BMX76" s="70">
        <v>0</v>
      </c>
      <c r="BMY76" s="70">
        <v>0</v>
      </c>
      <c r="BMZ76" s="70">
        <v>0</v>
      </c>
      <c r="BNA76" s="70">
        <v>0</v>
      </c>
      <c r="BNB76" s="70">
        <v>0</v>
      </c>
      <c r="BNC76" s="70">
        <v>0</v>
      </c>
      <c r="BND76" s="70">
        <v>0</v>
      </c>
      <c r="BNE76" s="70">
        <v>0</v>
      </c>
      <c r="BNF76" s="70">
        <v>0</v>
      </c>
      <c r="BNG76" s="70">
        <v>0</v>
      </c>
      <c r="BNH76" s="70">
        <v>0</v>
      </c>
      <c r="BNI76" s="70">
        <v>0</v>
      </c>
      <c r="BNJ76" s="70">
        <v>0</v>
      </c>
      <c r="BNK76" s="70">
        <v>0</v>
      </c>
      <c r="BNL76" s="70">
        <v>0</v>
      </c>
      <c r="BNM76" s="70">
        <v>0</v>
      </c>
      <c r="BNN76" s="70">
        <v>0</v>
      </c>
      <c r="BNO76" s="70">
        <v>0</v>
      </c>
      <c r="BNP76" s="70">
        <v>0</v>
      </c>
      <c r="BNQ76" s="70">
        <v>0</v>
      </c>
      <c r="BNR76" s="70">
        <v>0</v>
      </c>
      <c r="BNS76" s="70">
        <v>0</v>
      </c>
      <c r="BNT76" s="70">
        <v>0</v>
      </c>
      <c r="BNU76" s="70">
        <v>0</v>
      </c>
      <c r="BNV76" s="70">
        <v>0</v>
      </c>
      <c r="BNW76" s="70">
        <v>0</v>
      </c>
      <c r="BNX76" s="70">
        <v>0</v>
      </c>
      <c r="BNY76" s="70">
        <v>0</v>
      </c>
      <c r="BNZ76" s="70">
        <v>0</v>
      </c>
      <c r="BOA76" s="70">
        <v>0</v>
      </c>
      <c r="BOB76" s="70">
        <v>0</v>
      </c>
      <c r="BOC76" s="70">
        <v>0</v>
      </c>
      <c r="BOD76" s="70">
        <v>0</v>
      </c>
      <c r="BOE76" s="70">
        <v>0</v>
      </c>
      <c r="BOF76" s="70">
        <v>0</v>
      </c>
      <c r="BOG76" s="70">
        <v>0</v>
      </c>
      <c r="BOH76" s="70">
        <v>0</v>
      </c>
      <c r="BOI76" s="70">
        <v>0</v>
      </c>
      <c r="BOJ76" s="70">
        <v>0</v>
      </c>
      <c r="BOK76" s="70">
        <v>0</v>
      </c>
      <c r="BOL76" s="70">
        <v>0</v>
      </c>
      <c r="BOM76" s="70">
        <v>0</v>
      </c>
      <c r="BON76" s="70">
        <v>0</v>
      </c>
      <c r="BOO76" s="70">
        <v>0</v>
      </c>
      <c r="BOP76" s="70">
        <v>0</v>
      </c>
      <c r="BOQ76" s="70">
        <v>0</v>
      </c>
      <c r="BOR76" s="70">
        <v>0</v>
      </c>
      <c r="BOS76" s="70">
        <v>0</v>
      </c>
      <c r="BOT76" s="70">
        <v>0</v>
      </c>
      <c r="BOU76" s="70">
        <v>0</v>
      </c>
      <c r="BOV76" s="70">
        <v>0</v>
      </c>
      <c r="BOW76" s="70">
        <v>0</v>
      </c>
      <c r="BOX76" s="70">
        <v>0</v>
      </c>
      <c r="BOY76" s="70">
        <v>0</v>
      </c>
      <c r="BOZ76" s="70">
        <v>0</v>
      </c>
      <c r="BPA76" s="70">
        <v>0</v>
      </c>
      <c r="BPB76" s="70">
        <v>0</v>
      </c>
      <c r="BPC76" s="70">
        <v>0</v>
      </c>
      <c r="BPD76" s="70">
        <v>0</v>
      </c>
      <c r="BPE76" s="70">
        <v>0</v>
      </c>
      <c r="BPF76" s="70">
        <v>0</v>
      </c>
      <c r="BPG76" s="70">
        <v>0</v>
      </c>
      <c r="BPH76" s="70">
        <v>0</v>
      </c>
      <c r="BPI76" s="70">
        <v>0</v>
      </c>
      <c r="BPJ76" s="70">
        <v>0</v>
      </c>
      <c r="BPK76" s="70">
        <v>0</v>
      </c>
      <c r="BPL76" s="70">
        <v>0</v>
      </c>
      <c r="BPM76" s="70">
        <v>0</v>
      </c>
      <c r="BPN76" s="70">
        <v>0</v>
      </c>
      <c r="BPO76" s="70">
        <v>0</v>
      </c>
      <c r="BPP76" s="70">
        <v>0</v>
      </c>
      <c r="BPQ76" s="70">
        <v>0</v>
      </c>
      <c r="BPR76" s="70">
        <v>0</v>
      </c>
      <c r="BPS76" s="70">
        <v>0</v>
      </c>
      <c r="BPT76" s="70">
        <v>0</v>
      </c>
      <c r="BPU76" s="70">
        <v>0</v>
      </c>
      <c r="BPV76" s="70">
        <v>0</v>
      </c>
      <c r="BPW76" s="70">
        <v>0</v>
      </c>
      <c r="BPX76" s="70">
        <v>0</v>
      </c>
      <c r="BPY76" s="70">
        <v>0</v>
      </c>
      <c r="BPZ76" s="70">
        <v>0</v>
      </c>
      <c r="BQA76" s="70">
        <v>0</v>
      </c>
      <c r="BQB76" s="70">
        <v>0</v>
      </c>
      <c r="BQC76" s="70">
        <v>0</v>
      </c>
      <c r="BQD76" s="70">
        <v>0</v>
      </c>
      <c r="BQE76" s="70">
        <v>0</v>
      </c>
      <c r="BQF76" s="70">
        <v>0</v>
      </c>
      <c r="BQG76" s="70">
        <v>0</v>
      </c>
      <c r="BQH76" s="70">
        <v>0</v>
      </c>
      <c r="BQI76" s="70">
        <v>0</v>
      </c>
      <c r="BQJ76" s="70">
        <v>0</v>
      </c>
      <c r="BQK76" s="70">
        <v>0</v>
      </c>
      <c r="BQL76" s="70">
        <v>0</v>
      </c>
      <c r="BQM76" s="70">
        <v>0</v>
      </c>
      <c r="BQN76" s="70">
        <v>0</v>
      </c>
      <c r="BQO76" s="70">
        <v>0</v>
      </c>
      <c r="BQP76" s="70">
        <v>0</v>
      </c>
      <c r="BQQ76" s="70">
        <v>0</v>
      </c>
      <c r="BQR76" s="70">
        <v>0</v>
      </c>
      <c r="BQS76" s="70">
        <v>0</v>
      </c>
      <c r="BQT76" s="70">
        <v>0</v>
      </c>
      <c r="BQU76" s="70">
        <v>0</v>
      </c>
      <c r="BQV76" s="70">
        <v>0</v>
      </c>
      <c r="BQW76" s="70">
        <v>0</v>
      </c>
      <c r="BQX76" s="70">
        <v>0</v>
      </c>
      <c r="BQY76" s="70">
        <v>0</v>
      </c>
      <c r="BQZ76" s="70">
        <v>0</v>
      </c>
      <c r="BRA76" s="70">
        <v>0</v>
      </c>
      <c r="BRB76" s="70">
        <v>0</v>
      </c>
      <c r="BRC76" s="70">
        <v>0</v>
      </c>
      <c r="BRD76" s="70">
        <v>0</v>
      </c>
      <c r="BRE76" s="70">
        <v>0</v>
      </c>
      <c r="BRF76" s="70">
        <v>0</v>
      </c>
      <c r="BRG76" s="70">
        <v>0</v>
      </c>
      <c r="BRH76" s="70">
        <v>0</v>
      </c>
      <c r="BRI76" s="70">
        <v>0</v>
      </c>
      <c r="BRJ76" s="70">
        <v>0</v>
      </c>
      <c r="BRK76" s="70">
        <v>0</v>
      </c>
      <c r="BRL76" s="70">
        <v>0</v>
      </c>
      <c r="BRM76" s="70">
        <v>0</v>
      </c>
      <c r="BRN76" s="70">
        <v>0</v>
      </c>
      <c r="BRO76" s="70">
        <v>0</v>
      </c>
      <c r="BRP76" s="70">
        <v>0</v>
      </c>
      <c r="BRQ76" s="70">
        <v>0</v>
      </c>
      <c r="BRR76" s="70">
        <v>0</v>
      </c>
      <c r="BRS76" s="70">
        <v>0</v>
      </c>
      <c r="BRT76" s="70">
        <v>0</v>
      </c>
      <c r="BRU76" s="70">
        <v>0</v>
      </c>
      <c r="BRV76" s="70">
        <v>0</v>
      </c>
      <c r="BRW76" s="70">
        <v>0</v>
      </c>
      <c r="BRX76" s="70">
        <v>0</v>
      </c>
      <c r="BRY76" s="70">
        <v>0</v>
      </c>
      <c r="BRZ76" s="70">
        <v>0</v>
      </c>
      <c r="BSA76" s="70">
        <v>0</v>
      </c>
      <c r="BSB76" s="70">
        <v>0</v>
      </c>
      <c r="BSC76" s="70">
        <v>0</v>
      </c>
      <c r="BSD76" s="70">
        <v>0</v>
      </c>
      <c r="BSE76" s="70">
        <v>0</v>
      </c>
      <c r="BSF76" s="70">
        <v>0</v>
      </c>
      <c r="BSG76" s="70">
        <v>0</v>
      </c>
      <c r="BSH76" s="70">
        <v>0</v>
      </c>
      <c r="BSI76" s="70">
        <v>0</v>
      </c>
      <c r="BSJ76" s="70">
        <v>0</v>
      </c>
      <c r="BSK76" s="70">
        <v>0</v>
      </c>
      <c r="BSL76" s="70">
        <v>0</v>
      </c>
      <c r="BSM76" s="70">
        <v>0</v>
      </c>
      <c r="BSN76" s="70">
        <v>0</v>
      </c>
      <c r="BSO76" s="70">
        <v>0</v>
      </c>
      <c r="BSP76" s="70">
        <v>0</v>
      </c>
      <c r="BSQ76" s="70">
        <v>0</v>
      </c>
      <c r="BSR76" s="70">
        <v>0</v>
      </c>
      <c r="BSS76" s="70">
        <v>0</v>
      </c>
      <c r="BST76" s="70">
        <v>0</v>
      </c>
      <c r="BSU76" s="70">
        <v>0</v>
      </c>
      <c r="BSV76" s="70">
        <v>0</v>
      </c>
      <c r="BSW76" s="70">
        <v>0</v>
      </c>
      <c r="BSX76" s="70">
        <v>0</v>
      </c>
      <c r="BSY76" s="70">
        <v>0</v>
      </c>
      <c r="BSZ76" s="70">
        <v>0</v>
      </c>
      <c r="BTA76" s="70">
        <v>0</v>
      </c>
      <c r="BTB76" s="70">
        <v>0</v>
      </c>
      <c r="BTC76" s="70">
        <v>0</v>
      </c>
      <c r="BTD76" s="70">
        <v>0</v>
      </c>
      <c r="BTE76" s="70">
        <v>0</v>
      </c>
      <c r="BTF76" s="70">
        <v>0</v>
      </c>
      <c r="BTG76" s="70">
        <v>0</v>
      </c>
      <c r="BTH76" s="70">
        <v>0</v>
      </c>
      <c r="BTI76" s="70">
        <v>0</v>
      </c>
      <c r="BTJ76" s="70">
        <v>0</v>
      </c>
      <c r="BTK76" s="70">
        <v>0</v>
      </c>
      <c r="BTL76" s="70">
        <v>0</v>
      </c>
      <c r="BTM76" s="70">
        <v>0</v>
      </c>
      <c r="BTN76" s="70">
        <v>0</v>
      </c>
      <c r="BTO76" s="70">
        <v>0</v>
      </c>
      <c r="BTP76" s="70">
        <v>0</v>
      </c>
      <c r="BTQ76" s="70">
        <v>0</v>
      </c>
      <c r="BTR76" s="70">
        <v>0</v>
      </c>
      <c r="BTS76" s="70">
        <v>0</v>
      </c>
      <c r="BTT76" s="70">
        <v>0</v>
      </c>
      <c r="BTU76" s="70">
        <v>0</v>
      </c>
      <c r="BTV76" s="70">
        <v>0</v>
      </c>
      <c r="BTW76" s="70">
        <v>0</v>
      </c>
      <c r="BTX76" s="70">
        <v>0</v>
      </c>
      <c r="BTY76" s="70">
        <v>0</v>
      </c>
      <c r="BTZ76" s="70">
        <v>0</v>
      </c>
      <c r="BUA76" s="70">
        <v>0</v>
      </c>
      <c r="BUB76" s="70">
        <v>0</v>
      </c>
      <c r="BUC76" s="70">
        <v>0</v>
      </c>
      <c r="BUD76" s="70">
        <v>0</v>
      </c>
      <c r="BUE76" s="70">
        <v>0</v>
      </c>
      <c r="BUF76" s="70">
        <v>0</v>
      </c>
      <c r="BUG76" s="70">
        <v>0</v>
      </c>
      <c r="BUH76" s="70">
        <v>0</v>
      </c>
      <c r="BUI76" s="70">
        <v>0</v>
      </c>
      <c r="BUJ76" s="70">
        <v>0</v>
      </c>
      <c r="BUK76" s="70">
        <v>0</v>
      </c>
      <c r="BUL76" s="70">
        <v>0</v>
      </c>
      <c r="BUM76" s="70">
        <v>0</v>
      </c>
      <c r="BUN76" s="70">
        <v>0</v>
      </c>
      <c r="BUO76" s="70">
        <v>0</v>
      </c>
      <c r="BUP76" s="70">
        <v>0</v>
      </c>
      <c r="BUQ76" s="70">
        <v>0</v>
      </c>
      <c r="BUR76" s="70">
        <v>0</v>
      </c>
      <c r="BUS76" s="70">
        <v>0</v>
      </c>
      <c r="BUT76" s="70">
        <v>0</v>
      </c>
      <c r="BUU76" s="70">
        <v>0</v>
      </c>
      <c r="BUV76" s="70">
        <v>0</v>
      </c>
      <c r="BUW76" s="70">
        <v>0</v>
      </c>
      <c r="BUX76" s="70">
        <v>0</v>
      </c>
      <c r="BUY76" s="70">
        <v>0</v>
      </c>
      <c r="BUZ76" s="70">
        <v>0</v>
      </c>
      <c r="BVA76" s="70">
        <v>0</v>
      </c>
      <c r="BVB76" s="70">
        <v>0</v>
      </c>
      <c r="BVC76" s="70">
        <v>0</v>
      </c>
      <c r="BVD76" s="70">
        <v>0</v>
      </c>
      <c r="BVE76" s="70">
        <v>0</v>
      </c>
      <c r="BVF76" s="70">
        <v>0</v>
      </c>
      <c r="BVG76" s="70">
        <v>0</v>
      </c>
      <c r="BVH76" s="70">
        <v>0</v>
      </c>
      <c r="BVI76" s="70">
        <v>0</v>
      </c>
      <c r="BVJ76" s="70">
        <v>0</v>
      </c>
      <c r="BVK76" s="70">
        <v>0</v>
      </c>
      <c r="BVL76" s="70">
        <v>0</v>
      </c>
      <c r="BVM76" s="70">
        <v>0</v>
      </c>
      <c r="BVN76" s="70">
        <v>0</v>
      </c>
      <c r="BVO76" s="70">
        <v>0</v>
      </c>
      <c r="BVP76" s="70">
        <v>0</v>
      </c>
      <c r="BVQ76" s="70">
        <v>0</v>
      </c>
      <c r="BVR76" s="70">
        <v>0</v>
      </c>
      <c r="BVS76" s="70">
        <v>0</v>
      </c>
      <c r="BVT76" s="70">
        <v>0</v>
      </c>
      <c r="BVU76" s="70">
        <v>0</v>
      </c>
      <c r="BVV76" s="70">
        <v>0</v>
      </c>
      <c r="BVW76" s="70">
        <v>0</v>
      </c>
      <c r="BVX76" s="70">
        <v>0</v>
      </c>
      <c r="BVY76" s="70">
        <v>0</v>
      </c>
      <c r="BVZ76" s="70">
        <v>0</v>
      </c>
      <c r="BWA76" s="70">
        <v>0</v>
      </c>
      <c r="BWB76" s="70">
        <v>0</v>
      </c>
      <c r="BWC76" s="70">
        <v>0</v>
      </c>
      <c r="BWD76" s="70">
        <v>0</v>
      </c>
      <c r="BWE76" s="70">
        <v>0</v>
      </c>
      <c r="BWF76" s="70">
        <v>0</v>
      </c>
      <c r="BWG76" s="70">
        <v>0</v>
      </c>
      <c r="BWH76" s="70">
        <v>0</v>
      </c>
      <c r="BWI76" s="70">
        <v>0</v>
      </c>
      <c r="BWJ76" s="70">
        <v>0</v>
      </c>
      <c r="BWK76" s="70">
        <v>0</v>
      </c>
      <c r="BWL76" s="70">
        <v>0</v>
      </c>
      <c r="BWM76" s="70">
        <v>0</v>
      </c>
      <c r="BWN76" s="70">
        <v>0</v>
      </c>
      <c r="BWO76" s="70">
        <v>0</v>
      </c>
      <c r="BWP76" s="70">
        <v>0</v>
      </c>
      <c r="BWQ76" s="70">
        <v>0</v>
      </c>
      <c r="BWR76" s="70">
        <v>0</v>
      </c>
      <c r="BWS76" s="70">
        <v>0</v>
      </c>
      <c r="BWT76" s="70">
        <v>0</v>
      </c>
      <c r="BWU76" s="70">
        <v>0</v>
      </c>
      <c r="BWV76" s="70">
        <v>0</v>
      </c>
      <c r="BWW76" s="70">
        <v>0</v>
      </c>
      <c r="BWX76" s="70">
        <v>0</v>
      </c>
      <c r="BWY76" s="70">
        <v>0</v>
      </c>
      <c r="BWZ76" s="70">
        <v>0</v>
      </c>
      <c r="BXA76" s="70">
        <v>0</v>
      </c>
      <c r="BXB76" s="70">
        <v>0</v>
      </c>
      <c r="BXC76" s="70">
        <v>0</v>
      </c>
      <c r="BXD76" s="70">
        <v>0</v>
      </c>
      <c r="BXE76" s="70">
        <v>0</v>
      </c>
      <c r="BXF76" s="70">
        <v>0</v>
      </c>
      <c r="BXG76" s="70">
        <v>0</v>
      </c>
      <c r="BXH76" s="70">
        <v>0</v>
      </c>
      <c r="BXI76" s="70">
        <v>0</v>
      </c>
      <c r="BXJ76" s="70">
        <v>0</v>
      </c>
      <c r="BXK76" s="70">
        <v>0</v>
      </c>
      <c r="BXL76" s="70">
        <v>0</v>
      </c>
      <c r="BXM76" s="70">
        <v>0</v>
      </c>
      <c r="BXN76" s="70">
        <v>0</v>
      </c>
      <c r="BXO76" s="70">
        <v>0</v>
      </c>
      <c r="BXP76" s="70">
        <v>0</v>
      </c>
      <c r="BXQ76" s="70">
        <v>0</v>
      </c>
      <c r="BXR76" s="70">
        <v>0</v>
      </c>
      <c r="BXS76" s="70">
        <v>0</v>
      </c>
      <c r="BXT76" s="70">
        <v>0</v>
      </c>
      <c r="BXU76" s="70">
        <v>0</v>
      </c>
      <c r="BXV76" s="70">
        <v>0</v>
      </c>
      <c r="BXW76" s="70">
        <v>0</v>
      </c>
      <c r="BXX76" s="70">
        <v>0</v>
      </c>
      <c r="BXY76" s="70">
        <v>0</v>
      </c>
      <c r="BXZ76" s="70">
        <v>0</v>
      </c>
      <c r="BYA76" s="70">
        <v>0</v>
      </c>
      <c r="BYB76" s="70">
        <v>0</v>
      </c>
      <c r="BYC76" s="70">
        <v>0</v>
      </c>
      <c r="BYD76" s="70">
        <v>0</v>
      </c>
      <c r="BYE76" s="70">
        <v>0</v>
      </c>
      <c r="BYF76" s="70">
        <v>0</v>
      </c>
      <c r="BYG76" s="70">
        <v>0</v>
      </c>
      <c r="BYH76" s="70">
        <v>0</v>
      </c>
      <c r="BYI76" s="70">
        <v>0</v>
      </c>
      <c r="BYJ76" s="70">
        <v>0</v>
      </c>
      <c r="BYK76" s="70">
        <v>0</v>
      </c>
      <c r="BYL76" s="70">
        <v>0</v>
      </c>
      <c r="BYM76" s="70">
        <v>0</v>
      </c>
      <c r="BYN76" s="70">
        <v>0</v>
      </c>
      <c r="BYO76" s="70">
        <v>0</v>
      </c>
      <c r="BYP76" s="70">
        <v>0</v>
      </c>
      <c r="BYQ76" s="70">
        <v>0</v>
      </c>
      <c r="BYR76" s="70">
        <v>0</v>
      </c>
      <c r="BYS76" s="70">
        <v>0</v>
      </c>
      <c r="BYT76" s="70">
        <v>0</v>
      </c>
      <c r="BYU76" s="70">
        <v>0</v>
      </c>
      <c r="BYV76" s="70">
        <v>0</v>
      </c>
      <c r="BYW76" s="70">
        <v>0</v>
      </c>
      <c r="BYX76" s="70">
        <v>0</v>
      </c>
      <c r="BYY76" s="70">
        <v>0</v>
      </c>
      <c r="BYZ76" s="70">
        <v>0</v>
      </c>
      <c r="BZA76" s="70">
        <v>0</v>
      </c>
      <c r="BZB76" s="70">
        <v>0</v>
      </c>
      <c r="BZC76" s="70">
        <v>0</v>
      </c>
      <c r="BZD76" s="70">
        <v>0</v>
      </c>
      <c r="BZE76" s="70">
        <v>0</v>
      </c>
      <c r="BZF76" s="70">
        <v>0</v>
      </c>
      <c r="BZG76" s="70">
        <v>0</v>
      </c>
      <c r="BZH76" s="70">
        <v>0</v>
      </c>
      <c r="BZI76" s="70">
        <v>0</v>
      </c>
      <c r="BZJ76" s="70">
        <v>0</v>
      </c>
      <c r="BZK76" s="70">
        <v>0</v>
      </c>
      <c r="BZL76" s="70">
        <v>0</v>
      </c>
      <c r="BZM76" s="70">
        <v>0</v>
      </c>
      <c r="BZN76" s="70">
        <v>0</v>
      </c>
      <c r="BZO76" s="70">
        <v>0</v>
      </c>
      <c r="BZP76" s="70">
        <v>0</v>
      </c>
      <c r="BZQ76" s="70">
        <v>0</v>
      </c>
      <c r="BZR76" s="70">
        <v>0</v>
      </c>
      <c r="BZS76" s="70">
        <v>0</v>
      </c>
      <c r="BZT76" s="70">
        <v>0</v>
      </c>
      <c r="BZU76" s="70">
        <v>0</v>
      </c>
      <c r="BZV76" s="70">
        <v>0</v>
      </c>
      <c r="BZW76" s="70">
        <v>0</v>
      </c>
      <c r="BZX76" s="70">
        <v>0</v>
      </c>
      <c r="BZY76" s="70">
        <v>0</v>
      </c>
      <c r="BZZ76" s="70">
        <v>0</v>
      </c>
      <c r="CAA76" s="70">
        <v>0</v>
      </c>
      <c r="CAB76" s="70">
        <v>0</v>
      </c>
      <c r="CAC76" s="70">
        <v>0</v>
      </c>
      <c r="CAD76" s="70">
        <v>0</v>
      </c>
      <c r="CAE76" s="70">
        <v>0</v>
      </c>
      <c r="CAF76" s="70">
        <v>0</v>
      </c>
      <c r="CAG76" s="70">
        <v>0</v>
      </c>
      <c r="CAH76" s="70">
        <v>0</v>
      </c>
      <c r="CAI76" s="70">
        <v>0</v>
      </c>
      <c r="CAJ76" s="70">
        <v>0</v>
      </c>
      <c r="CAK76" s="70">
        <v>0</v>
      </c>
      <c r="CAL76" s="70">
        <v>0</v>
      </c>
      <c r="CAM76" s="70">
        <v>0</v>
      </c>
      <c r="CAN76" s="70">
        <v>0</v>
      </c>
      <c r="CAO76" s="70">
        <v>0</v>
      </c>
      <c r="CAP76" s="70">
        <v>0</v>
      </c>
      <c r="CAQ76" s="70">
        <v>0</v>
      </c>
      <c r="CAR76" s="70">
        <v>0</v>
      </c>
      <c r="CAS76" s="70">
        <v>0</v>
      </c>
      <c r="CAT76" s="70">
        <v>0</v>
      </c>
      <c r="CAU76" s="70">
        <v>0</v>
      </c>
      <c r="CAV76" s="70">
        <v>0</v>
      </c>
      <c r="CAW76" s="70">
        <v>0</v>
      </c>
      <c r="CAX76" s="70">
        <v>0</v>
      </c>
      <c r="CAY76" s="70">
        <v>0</v>
      </c>
      <c r="CAZ76" s="70">
        <v>0</v>
      </c>
      <c r="CBA76" s="70">
        <v>0</v>
      </c>
      <c r="CBB76" s="70">
        <v>0</v>
      </c>
      <c r="CBC76" s="70">
        <v>0</v>
      </c>
      <c r="CBD76" s="70">
        <v>0</v>
      </c>
      <c r="CBE76" s="70">
        <v>0</v>
      </c>
      <c r="CBF76" s="70">
        <v>0</v>
      </c>
      <c r="CBG76" s="70">
        <v>0</v>
      </c>
      <c r="CBH76" s="70">
        <v>0</v>
      </c>
      <c r="CBI76" s="70">
        <v>0</v>
      </c>
      <c r="CBJ76" s="70">
        <v>0</v>
      </c>
      <c r="CBK76" s="70">
        <v>0</v>
      </c>
      <c r="CBL76" s="70">
        <v>0</v>
      </c>
      <c r="CBM76" s="70">
        <v>0</v>
      </c>
      <c r="CBN76" s="70">
        <v>0</v>
      </c>
      <c r="CBO76" s="70">
        <v>0</v>
      </c>
      <c r="CBP76" s="70">
        <v>0</v>
      </c>
      <c r="CBQ76" s="70">
        <v>0</v>
      </c>
      <c r="CBR76" s="70">
        <v>0</v>
      </c>
      <c r="CBS76" s="70">
        <v>0</v>
      </c>
      <c r="CBT76" s="70">
        <v>0</v>
      </c>
      <c r="CBU76" s="70">
        <v>0</v>
      </c>
      <c r="CBV76" s="70">
        <v>0</v>
      </c>
      <c r="CBW76" s="70">
        <v>0</v>
      </c>
      <c r="CBX76" s="70">
        <v>0</v>
      </c>
      <c r="CBY76" s="70">
        <v>0</v>
      </c>
      <c r="CBZ76" s="70">
        <v>0</v>
      </c>
      <c r="CCA76" s="70">
        <v>0</v>
      </c>
      <c r="CCB76" s="70">
        <v>0</v>
      </c>
      <c r="CCC76" s="70">
        <v>0</v>
      </c>
      <c r="CCD76" s="70">
        <v>0</v>
      </c>
      <c r="CCE76" s="70">
        <v>0</v>
      </c>
      <c r="CCF76" s="70">
        <v>0</v>
      </c>
      <c r="CCG76" s="70">
        <v>0</v>
      </c>
      <c r="CCH76" s="70">
        <v>0</v>
      </c>
      <c r="CCI76" s="70">
        <v>0</v>
      </c>
      <c r="CCJ76" s="70">
        <v>0</v>
      </c>
      <c r="CCK76" s="70">
        <v>0</v>
      </c>
      <c r="CCL76" s="70">
        <v>0</v>
      </c>
      <c r="CCM76" s="70">
        <v>0</v>
      </c>
      <c r="CCN76" s="70">
        <v>0</v>
      </c>
      <c r="CCO76" s="70">
        <v>0</v>
      </c>
      <c r="CCP76" s="70">
        <v>0</v>
      </c>
      <c r="CCQ76" s="70">
        <v>0</v>
      </c>
      <c r="CCR76" s="70">
        <v>0</v>
      </c>
      <c r="CCS76" s="70">
        <v>0</v>
      </c>
      <c r="CCT76" s="70">
        <v>0</v>
      </c>
      <c r="CCU76" s="70">
        <v>0</v>
      </c>
      <c r="CCV76" s="70">
        <v>0</v>
      </c>
      <c r="CCW76" s="70">
        <v>0</v>
      </c>
      <c r="CCX76" s="70">
        <v>0</v>
      </c>
      <c r="CCY76" s="70">
        <v>0</v>
      </c>
      <c r="CCZ76" s="70">
        <v>0</v>
      </c>
      <c r="CDA76" s="70">
        <v>0</v>
      </c>
      <c r="CDB76" s="70">
        <v>0</v>
      </c>
      <c r="CDC76" s="70">
        <v>0</v>
      </c>
      <c r="CDD76" s="70">
        <v>0</v>
      </c>
      <c r="CDE76" s="70">
        <v>0</v>
      </c>
      <c r="CDF76" s="70">
        <v>0</v>
      </c>
      <c r="CDG76" s="70">
        <v>0</v>
      </c>
      <c r="CDH76" s="70">
        <v>0</v>
      </c>
      <c r="CDI76" s="70">
        <v>0</v>
      </c>
      <c r="CDJ76" s="70">
        <v>0</v>
      </c>
      <c r="CDK76" s="70">
        <v>0</v>
      </c>
      <c r="CDL76" s="70">
        <v>0</v>
      </c>
      <c r="CDM76" s="70">
        <v>0</v>
      </c>
      <c r="CDN76" s="70">
        <v>0</v>
      </c>
      <c r="CDO76" s="70">
        <v>0</v>
      </c>
      <c r="CDP76" s="70">
        <v>0</v>
      </c>
      <c r="CDQ76" s="70">
        <v>0</v>
      </c>
      <c r="CDR76" s="70">
        <v>0</v>
      </c>
      <c r="CDS76" s="70">
        <v>0</v>
      </c>
      <c r="CDT76" s="70">
        <v>0</v>
      </c>
      <c r="CDU76" s="70">
        <v>0</v>
      </c>
      <c r="CDV76" s="70">
        <v>0</v>
      </c>
      <c r="CDW76" s="70">
        <v>0</v>
      </c>
      <c r="CDX76" s="70">
        <v>0</v>
      </c>
      <c r="CDY76" s="70">
        <v>0</v>
      </c>
      <c r="CDZ76" s="70">
        <v>0</v>
      </c>
      <c r="CEA76" s="70">
        <v>0</v>
      </c>
      <c r="CEB76" s="70">
        <v>0</v>
      </c>
      <c r="CEC76" s="70">
        <v>0</v>
      </c>
      <c r="CED76" s="70">
        <v>0</v>
      </c>
      <c r="CEE76" s="70">
        <v>0</v>
      </c>
      <c r="CEF76" s="70">
        <v>0</v>
      </c>
      <c r="CEG76" s="70">
        <v>0</v>
      </c>
      <c r="CEH76" s="70">
        <v>0</v>
      </c>
      <c r="CEI76" s="70">
        <v>0</v>
      </c>
      <c r="CEJ76" s="70">
        <v>0</v>
      </c>
      <c r="CEK76" s="70">
        <v>0</v>
      </c>
      <c r="CEL76" s="70">
        <v>0</v>
      </c>
      <c r="CEM76" s="70">
        <v>0</v>
      </c>
      <c r="CEN76" s="70">
        <v>0</v>
      </c>
      <c r="CEO76" s="70">
        <v>0</v>
      </c>
      <c r="CEP76" s="70">
        <v>0</v>
      </c>
      <c r="CEQ76" s="70">
        <v>0</v>
      </c>
      <c r="CER76" s="70">
        <v>0</v>
      </c>
      <c r="CES76" s="70">
        <v>0</v>
      </c>
      <c r="CET76" s="70">
        <v>0</v>
      </c>
      <c r="CEU76" s="70">
        <v>0</v>
      </c>
      <c r="CEV76" s="70">
        <v>0</v>
      </c>
      <c r="CEW76" s="70">
        <v>0</v>
      </c>
      <c r="CEX76" s="70">
        <v>0</v>
      </c>
      <c r="CEY76" s="70">
        <v>0</v>
      </c>
      <c r="CEZ76" s="70">
        <v>0</v>
      </c>
      <c r="CFA76" s="70">
        <v>0</v>
      </c>
      <c r="CFB76" s="70">
        <v>0</v>
      </c>
      <c r="CFC76" s="70">
        <v>0</v>
      </c>
      <c r="CFD76" s="70">
        <v>0</v>
      </c>
      <c r="CFE76" s="70">
        <v>0</v>
      </c>
      <c r="CFF76" s="70">
        <v>0</v>
      </c>
      <c r="CFG76" s="70">
        <v>0</v>
      </c>
      <c r="CFH76" s="70">
        <v>0</v>
      </c>
      <c r="CFI76" s="70">
        <v>0</v>
      </c>
      <c r="CFJ76" s="70">
        <v>0</v>
      </c>
      <c r="CFK76" s="70">
        <v>0</v>
      </c>
      <c r="CFL76" s="70">
        <v>0</v>
      </c>
      <c r="CFM76" s="70">
        <v>0</v>
      </c>
      <c r="CFN76" s="70">
        <v>0</v>
      </c>
      <c r="CFO76" s="70">
        <v>0</v>
      </c>
      <c r="CFP76" s="70">
        <v>0</v>
      </c>
      <c r="CFQ76" s="70">
        <v>0</v>
      </c>
      <c r="CFR76" s="70">
        <v>0</v>
      </c>
      <c r="CFS76" s="70">
        <v>0</v>
      </c>
      <c r="CFT76" s="70">
        <v>0</v>
      </c>
      <c r="CFU76" s="70">
        <v>0</v>
      </c>
      <c r="CFV76" s="70">
        <v>0</v>
      </c>
      <c r="CFW76" s="70">
        <v>0</v>
      </c>
      <c r="CFX76" s="70">
        <v>0</v>
      </c>
      <c r="CFY76" s="70">
        <v>0</v>
      </c>
      <c r="CFZ76" s="70">
        <v>0</v>
      </c>
      <c r="CGA76" s="70">
        <v>0</v>
      </c>
      <c r="CGB76" s="70">
        <v>0</v>
      </c>
      <c r="CGC76" s="70">
        <v>0</v>
      </c>
      <c r="CGD76" s="70">
        <v>0</v>
      </c>
      <c r="CGE76" s="70">
        <v>0</v>
      </c>
      <c r="CGF76" s="70">
        <v>0</v>
      </c>
      <c r="CGG76" s="70">
        <v>0</v>
      </c>
      <c r="CGH76" s="70">
        <v>0</v>
      </c>
      <c r="CGI76" s="70">
        <v>0</v>
      </c>
      <c r="CGJ76" s="70">
        <v>0</v>
      </c>
      <c r="CGK76" s="70">
        <v>0</v>
      </c>
      <c r="CGL76" s="70">
        <v>0</v>
      </c>
      <c r="CGM76" s="70">
        <v>0</v>
      </c>
      <c r="CGN76" s="70">
        <v>0</v>
      </c>
      <c r="CGO76" s="70">
        <v>0</v>
      </c>
      <c r="CGP76" s="70">
        <v>0</v>
      </c>
      <c r="CGQ76" s="70">
        <v>0</v>
      </c>
      <c r="CGR76" s="70">
        <v>0</v>
      </c>
      <c r="CGS76" s="70">
        <v>0</v>
      </c>
      <c r="CGT76" s="70">
        <v>0</v>
      </c>
      <c r="CGU76" s="70">
        <v>0</v>
      </c>
      <c r="CGV76" s="70">
        <v>0</v>
      </c>
      <c r="CGW76" s="70">
        <v>0</v>
      </c>
      <c r="CGX76" s="70">
        <v>0</v>
      </c>
      <c r="CGY76" s="70">
        <v>0</v>
      </c>
      <c r="CGZ76" s="70">
        <v>0</v>
      </c>
      <c r="CHA76" s="70">
        <v>0</v>
      </c>
      <c r="CHB76" s="70">
        <v>0</v>
      </c>
      <c r="CHC76" s="70">
        <v>0</v>
      </c>
      <c r="CHD76" s="70">
        <v>0</v>
      </c>
      <c r="CHE76" s="70">
        <v>0</v>
      </c>
      <c r="CHF76" s="70">
        <v>0</v>
      </c>
      <c r="CHG76" s="70">
        <v>0</v>
      </c>
      <c r="CHH76" s="70">
        <v>0</v>
      </c>
      <c r="CHI76" s="70">
        <v>0</v>
      </c>
      <c r="CHJ76" s="70">
        <v>0</v>
      </c>
      <c r="CHK76" s="70">
        <v>0</v>
      </c>
      <c r="CHL76" s="70">
        <v>0</v>
      </c>
      <c r="CHM76" s="70">
        <v>0</v>
      </c>
      <c r="CHN76" s="70">
        <v>0</v>
      </c>
      <c r="CHO76" s="70">
        <v>0</v>
      </c>
      <c r="CHP76" s="70">
        <v>0</v>
      </c>
      <c r="CHQ76" s="70">
        <v>0</v>
      </c>
      <c r="CHR76" s="70">
        <v>0</v>
      </c>
      <c r="CHS76" s="70">
        <v>0</v>
      </c>
      <c r="CHT76" s="70">
        <v>0</v>
      </c>
      <c r="CHU76" s="70">
        <v>0</v>
      </c>
      <c r="CHV76" s="70">
        <v>0</v>
      </c>
      <c r="CHW76" s="70">
        <v>0</v>
      </c>
      <c r="CHX76" s="70">
        <v>0</v>
      </c>
      <c r="CHY76" s="70">
        <v>0</v>
      </c>
      <c r="CHZ76" s="70">
        <v>0</v>
      </c>
      <c r="CIA76" s="70">
        <v>0</v>
      </c>
      <c r="CIB76" s="70">
        <v>0</v>
      </c>
      <c r="CIC76" s="70">
        <v>0</v>
      </c>
      <c r="CID76" s="70">
        <v>0</v>
      </c>
      <c r="CIE76" s="70">
        <v>0</v>
      </c>
      <c r="CIF76" s="70">
        <v>0</v>
      </c>
      <c r="CIG76" s="70">
        <v>0</v>
      </c>
      <c r="CIH76" s="70">
        <v>0</v>
      </c>
      <c r="CII76" s="70">
        <v>0</v>
      </c>
      <c r="CIJ76" s="70">
        <v>0</v>
      </c>
      <c r="CIK76" s="70">
        <v>0</v>
      </c>
      <c r="CIL76" s="70">
        <v>0</v>
      </c>
      <c r="CIM76" s="70">
        <v>0</v>
      </c>
      <c r="CIN76" s="70">
        <v>0</v>
      </c>
      <c r="CIO76" s="70">
        <v>0</v>
      </c>
      <c r="CIP76" s="70">
        <v>0</v>
      </c>
      <c r="CIQ76" s="70">
        <v>0</v>
      </c>
      <c r="CIR76" s="70">
        <v>0</v>
      </c>
      <c r="CIS76" s="70">
        <v>0</v>
      </c>
      <c r="CIT76" s="70">
        <v>0</v>
      </c>
      <c r="CIU76" s="70">
        <v>0</v>
      </c>
      <c r="CIV76" s="70">
        <v>0</v>
      </c>
      <c r="CIW76" s="70">
        <v>0</v>
      </c>
      <c r="CIX76" s="70">
        <v>0</v>
      </c>
      <c r="CIY76" s="70">
        <v>0</v>
      </c>
      <c r="CIZ76" s="70">
        <v>0</v>
      </c>
      <c r="CJA76" s="70">
        <v>0</v>
      </c>
      <c r="CJB76" s="70">
        <v>0</v>
      </c>
      <c r="CJC76" s="70">
        <v>0</v>
      </c>
      <c r="CJD76" s="70">
        <v>0</v>
      </c>
      <c r="CJE76" s="70">
        <v>0</v>
      </c>
      <c r="CJF76" s="70">
        <v>0</v>
      </c>
      <c r="CJG76" s="70">
        <v>0</v>
      </c>
      <c r="CJH76" s="70">
        <v>0</v>
      </c>
      <c r="CJI76" s="70">
        <v>0</v>
      </c>
      <c r="CJJ76" s="70">
        <v>0</v>
      </c>
      <c r="CJK76" s="70">
        <v>0</v>
      </c>
      <c r="CJL76" s="70">
        <v>0</v>
      </c>
      <c r="CJM76" s="70">
        <v>0</v>
      </c>
      <c r="CJN76" s="70">
        <v>0</v>
      </c>
      <c r="CJO76" s="70">
        <v>0</v>
      </c>
      <c r="CJP76" s="70">
        <v>0</v>
      </c>
      <c r="CJQ76" s="70">
        <v>0</v>
      </c>
      <c r="CJR76" s="70">
        <v>0</v>
      </c>
      <c r="CJS76" s="70">
        <v>0</v>
      </c>
      <c r="CJT76" s="70">
        <v>0</v>
      </c>
      <c r="CJU76" s="70">
        <v>0</v>
      </c>
      <c r="CJV76" s="70">
        <v>0</v>
      </c>
      <c r="CJW76" s="70">
        <v>0</v>
      </c>
      <c r="CJX76" s="70">
        <v>0</v>
      </c>
      <c r="CJY76" s="70">
        <v>0</v>
      </c>
      <c r="CJZ76" s="70">
        <v>0</v>
      </c>
      <c r="CKA76" s="70">
        <v>0</v>
      </c>
      <c r="CKB76" s="70">
        <v>0</v>
      </c>
      <c r="CKC76" s="70">
        <v>0</v>
      </c>
      <c r="CKD76" s="70">
        <v>0</v>
      </c>
      <c r="CKE76" s="70">
        <v>0</v>
      </c>
      <c r="CKF76" s="70">
        <v>0</v>
      </c>
      <c r="CKG76" s="70">
        <v>0</v>
      </c>
      <c r="CKH76" s="70">
        <v>0</v>
      </c>
      <c r="CKI76" s="70">
        <v>0</v>
      </c>
      <c r="CKJ76" s="70">
        <v>0</v>
      </c>
      <c r="CKK76" s="70">
        <v>0</v>
      </c>
      <c r="CKL76" s="70">
        <v>0</v>
      </c>
      <c r="CKM76" s="70">
        <v>0</v>
      </c>
      <c r="CKN76" s="70">
        <v>0</v>
      </c>
      <c r="CKO76" s="70">
        <v>0</v>
      </c>
      <c r="CKP76" s="70">
        <v>0</v>
      </c>
      <c r="CKQ76" s="70">
        <v>0</v>
      </c>
      <c r="CKR76" s="70">
        <v>0</v>
      </c>
      <c r="CKS76" s="70">
        <v>0</v>
      </c>
      <c r="CKT76" s="70">
        <v>0</v>
      </c>
      <c r="CKU76" s="70">
        <v>0</v>
      </c>
      <c r="CKV76" s="70">
        <v>0</v>
      </c>
      <c r="CKW76" s="70">
        <v>0</v>
      </c>
      <c r="CKX76" s="70">
        <v>0</v>
      </c>
      <c r="CKY76" s="70">
        <v>0</v>
      </c>
      <c r="CKZ76" s="70">
        <v>0</v>
      </c>
      <c r="CLA76" s="70">
        <v>0</v>
      </c>
      <c r="CLB76" s="70">
        <v>0</v>
      </c>
      <c r="CLC76" s="70">
        <v>0</v>
      </c>
      <c r="CLD76" s="70">
        <v>0</v>
      </c>
      <c r="CLE76" s="70">
        <v>0</v>
      </c>
      <c r="CLF76" s="70">
        <v>0</v>
      </c>
      <c r="CLG76" s="70">
        <v>0</v>
      </c>
      <c r="CLH76" s="70">
        <v>0</v>
      </c>
      <c r="CLI76" s="70">
        <v>0</v>
      </c>
      <c r="CLJ76" s="70">
        <v>0</v>
      </c>
      <c r="CLK76" s="70">
        <v>0</v>
      </c>
      <c r="CLL76" s="70">
        <v>0</v>
      </c>
      <c r="CLM76" s="70">
        <v>0</v>
      </c>
      <c r="CLN76" s="70">
        <v>0</v>
      </c>
      <c r="CLO76" s="70">
        <v>0</v>
      </c>
      <c r="CLP76" s="70">
        <v>0</v>
      </c>
      <c r="CLQ76" s="70">
        <v>0</v>
      </c>
      <c r="CLR76" s="70">
        <v>0</v>
      </c>
      <c r="CLS76" s="70">
        <v>0</v>
      </c>
      <c r="CLT76" s="70">
        <v>0</v>
      </c>
      <c r="CLU76" s="70">
        <v>0</v>
      </c>
      <c r="CLV76" s="70">
        <v>0</v>
      </c>
      <c r="CLW76" s="70">
        <v>0</v>
      </c>
      <c r="CLX76" s="70">
        <v>0</v>
      </c>
      <c r="CLY76" s="70">
        <v>0</v>
      </c>
      <c r="CLZ76" s="70">
        <v>0</v>
      </c>
      <c r="CMA76" s="70">
        <v>0</v>
      </c>
      <c r="CMB76" s="70">
        <v>0</v>
      </c>
      <c r="CMC76" s="70">
        <v>0</v>
      </c>
      <c r="CMD76" s="70">
        <v>0</v>
      </c>
      <c r="CME76" s="70">
        <v>0</v>
      </c>
      <c r="CMF76" s="70">
        <v>0</v>
      </c>
      <c r="CMG76" s="70">
        <v>0</v>
      </c>
      <c r="CMH76" s="70">
        <v>0</v>
      </c>
      <c r="CMI76" s="70">
        <v>0</v>
      </c>
      <c r="CMJ76" s="70">
        <v>0</v>
      </c>
      <c r="CMK76" s="70">
        <v>0</v>
      </c>
      <c r="CML76" s="70">
        <v>0</v>
      </c>
      <c r="CMM76" s="70">
        <v>0</v>
      </c>
      <c r="CMN76" s="70">
        <v>0</v>
      </c>
      <c r="CMO76" s="70">
        <v>0</v>
      </c>
      <c r="CMP76" s="70">
        <v>0</v>
      </c>
      <c r="CMQ76" s="70">
        <v>0</v>
      </c>
      <c r="CMR76" s="70">
        <v>0</v>
      </c>
      <c r="CMS76" s="70">
        <v>0</v>
      </c>
      <c r="CMT76" s="70">
        <v>0</v>
      </c>
      <c r="CMU76" s="70">
        <v>0</v>
      </c>
      <c r="CMV76" s="70">
        <v>0</v>
      </c>
      <c r="CMW76" s="70">
        <v>0</v>
      </c>
      <c r="CMX76" s="70">
        <v>0</v>
      </c>
      <c r="CMY76" s="70">
        <v>0</v>
      </c>
      <c r="CMZ76" s="70">
        <v>0</v>
      </c>
      <c r="CNA76" s="70">
        <v>0</v>
      </c>
      <c r="CNB76" s="70">
        <v>0</v>
      </c>
      <c r="CNC76" s="70">
        <v>0</v>
      </c>
      <c r="CND76" s="70">
        <v>0</v>
      </c>
      <c r="CNE76" s="70">
        <v>0</v>
      </c>
      <c r="CNF76" s="70">
        <v>0</v>
      </c>
      <c r="CNG76" s="70">
        <v>0</v>
      </c>
      <c r="CNH76" s="70">
        <v>0</v>
      </c>
      <c r="CNI76" s="70">
        <v>0</v>
      </c>
      <c r="CNJ76" s="70">
        <v>0</v>
      </c>
      <c r="CNK76" s="70">
        <v>0</v>
      </c>
      <c r="CNL76" s="70">
        <v>0</v>
      </c>
      <c r="CNM76" s="70">
        <v>0</v>
      </c>
      <c r="CNN76" s="70">
        <v>0</v>
      </c>
      <c r="CNO76" s="70">
        <v>0</v>
      </c>
      <c r="CNP76" s="70">
        <v>0</v>
      </c>
      <c r="CNQ76" s="70">
        <v>0</v>
      </c>
      <c r="CNR76" s="70">
        <v>0</v>
      </c>
      <c r="CNS76" s="70">
        <v>0</v>
      </c>
      <c r="CNT76" s="70">
        <v>0</v>
      </c>
      <c r="CNU76" s="70">
        <v>0</v>
      </c>
      <c r="CNV76" s="70">
        <v>0</v>
      </c>
      <c r="CNW76" s="70">
        <v>0</v>
      </c>
      <c r="CNX76" s="70">
        <v>0</v>
      </c>
      <c r="CNY76" s="70">
        <v>0</v>
      </c>
      <c r="CNZ76" s="70">
        <v>0</v>
      </c>
      <c r="COA76" s="70">
        <v>0</v>
      </c>
      <c r="COB76" s="70">
        <v>0</v>
      </c>
      <c r="COC76" s="70">
        <v>0</v>
      </c>
      <c r="COD76" s="70">
        <v>0</v>
      </c>
      <c r="COE76" s="70">
        <v>0</v>
      </c>
      <c r="COF76" s="70">
        <v>0</v>
      </c>
      <c r="COG76" s="70">
        <v>0</v>
      </c>
      <c r="COH76" s="70">
        <v>0</v>
      </c>
      <c r="COI76" s="70">
        <v>0</v>
      </c>
      <c r="COJ76" s="70">
        <v>0</v>
      </c>
      <c r="COK76" s="70">
        <v>0</v>
      </c>
      <c r="COL76" s="70">
        <v>0</v>
      </c>
      <c r="COM76" s="70">
        <v>0</v>
      </c>
      <c r="CON76" s="70">
        <v>0</v>
      </c>
      <c r="COO76" s="70">
        <v>0</v>
      </c>
      <c r="COP76" s="70">
        <v>0</v>
      </c>
      <c r="COQ76" s="70">
        <v>0</v>
      </c>
      <c r="COR76" s="70">
        <v>0</v>
      </c>
      <c r="COS76" s="70">
        <v>0</v>
      </c>
      <c r="COT76" s="70">
        <v>0</v>
      </c>
      <c r="COU76" s="70">
        <v>0</v>
      </c>
      <c r="COV76" s="70">
        <v>0</v>
      </c>
      <c r="COW76" s="70">
        <v>0</v>
      </c>
      <c r="COX76" s="70">
        <v>0</v>
      </c>
      <c r="COY76" s="70">
        <v>0</v>
      </c>
      <c r="COZ76" s="70">
        <v>0</v>
      </c>
      <c r="CPA76" s="70">
        <v>0</v>
      </c>
      <c r="CPB76" s="70">
        <v>0</v>
      </c>
      <c r="CPC76" s="70">
        <v>0</v>
      </c>
      <c r="CPD76" s="70">
        <v>0</v>
      </c>
      <c r="CPE76" s="70">
        <v>0</v>
      </c>
      <c r="CPF76" s="70">
        <v>0</v>
      </c>
      <c r="CPG76" s="70">
        <v>0</v>
      </c>
      <c r="CPH76" s="70">
        <v>0</v>
      </c>
      <c r="CPI76" s="70">
        <v>0</v>
      </c>
      <c r="CPJ76" s="70">
        <v>0</v>
      </c>
      <c r="CPK76" s="70">
        <v>0</v>
      </c>
      <c r="CPL76" s="70">
        <v>0</v>
      </c>
      <c r="CPM76" s="70">
        <v>0</v>
      </c>
      <c r="CPN76" s="70">
        <v>0</v>
      </c>
      <c r="CPO76" s="70">
        <v>0</v>
      </c>
      <c r="CPP76" s="70">
        <v>0</v>
      </c>
      <c r="CPQ76" s="70">
        <v>0</v>
      </c>
      <c r="CPR76" s="70">
        <v>0</v>
      </c>
      <c r="CPS76" s="70">
        <v>0</v>
      </c>
      <c r="CPT76" s="70">
        <v>0</v>
      </c>
      <c r="CPU76" s="70">
        <v>0</v>
      </c>
      <c r="CPV76" s="70">
        <v>0</v>
      </c>
      <c r="CPW76" s="70">
        <v>0</v>
      </c>
      <c r="CPX76" s="70">
        <v>0</v>
      </c>
      <c r="CPY76" s="70">
        <v>0</v>
      </c>
      <c r="CPZ76" s="70">
        <v>0</v>
      </c>
      <c r="CQA76" s="70">
        <v>0</v>
      </c>
      <c r="CQB76" s="70">
        <v>0</v>
      </c>
      <c r="CQC76" s="70">
        <v>0</v>
      </c>
      <c r="CQD76" s="70">
        <v>0</v>
      </c>
      <c r="CQE76" s="70">
        <v>0</v>
      </c>
      <c r="CQF76" s="70">
        <v>0</v>
      </c>
      <c r="CQG76" s="70">
        <v>0</v>
      </c>
      <c r="CQH76" s="70">
        <v>0</v>
      </c>
      <c r="CQI76" s="70">
        <v>0</v>
      </c>
      <c r="CQJ76" s="70">
        <v>0</v>
      </c>
      <c r="CQK76" s="70">
        <v>0</v>
      </c>
      <c r="CQL76" s="70">
        <v>0</v>
      </c>
      <c r="CQM76" s="70">
        <v>0</v>
      </c>
      <c r="CQN76" s="70">
        <v>0</v>
      </c>
      <c r="CQO76" s="70">
        <v>0</v>
      </c>
      <c r="CQP76" s="70">
        <v>0</v>
      </c>
      <c r="CQQ76" s="70">
        <v>0</v>
      </c>
      <c r="CQR76" s="70">
        <v>0</v>
      </c>
      <c r="CQS76" s="70">
        <v>0</v>
      </c>
      <c r="CQT76" s="70">
        <v>0</v>
      </c>
      <c r="CQU76" s="70">
        <v>0</v>
      </c>
      <c r="CQV76" s="70">
        <v>0</v>
      </c>
      <c r="CQW76" s="70">
        <v>0</v>
      </c>
      <c r="CQX76" s="70">
        <v>0</v>
      </c>
      <c r="CQY76" s="70">
        <v>0</v>
      </c>
      <c r="CQZ76" s="70">
        <v>0</v>
      </c>
      <c r="CRA76" s="70">
        <v>0</v>
      </c>
      <c r="CRB76" s="70">
        <v>0</v>
      </c>
      <c r="CRC76" s="70">
        <v>0</v>
      </c>
      <c r="CRD76" s="70">
        <v>0</v>
      </c>
      <c r="CRE76" s="70">
        <v>0</v>
      </c>
      <c r="CRF76" s="70">
        <v>0</v>
      </c>
      <c r="CRG76" s="70">
        <v>0</v>
      </c>
      <c r="CRH76" s="70">
        <v>0</v>
      </c>
      <c r="CRI76" s="70">
        <v>0</v>
      </c>
      <c r="CRJ76" s="70">
        <v>0</v>
      </c>
      <c r="CRK76" s="70">
        <v>0</v>
      </c>
      <c r="CRL76" s="70">
        <v>0</v>
      </c>
      <c r="CRM76" s="70">
        <v>0</v>
      </c>
      <c r="CRN76" s="70">
        <v>0</v>
      </c>
      <c r="CRO76" s="70">
        <v>0</v>
      </c>
      <c r="CRP76" s="70">
        <v>0</v>
      </c>
      <c r="CRQ76" s="70">
        <v>0</v>
      </c>
      <c r="CRR76" s="70">
        <v>0</v>
      </c>
      <c r="CRS76" s="70">
        <v>0</v>
      </c>
      <c r="CRT76" s="70">
        <v>0</v>
      </c>
      <c r="CRU76" s="70">
        <v>0</v>
      </c>
      <c r="CRV76" s="70">
        <v>0</v>
      </c>
      <c r="CRW76" s="70">
        <v>0</v>
      </c>
      <c r="CRX76" s="70">
        <v>0</v>
      </c>
      <c r="CRY76" s="70">
        <v>0</v>
      </c>
      <c r="CRZ76" s="70">
        <v>0</v>
      </c>
      <c r="CSA76" s="70">
        <v>0</v>
      </c>
      <c r="CSB76" s="70">
        <v>0</v>
      </c>
      <c r="CSC76" s="70">
        <v>0</v>
      </c>
      <c r="CSD76" s="70">
        <v>0</v>
      </c>
      <c r="CSE76" s="70">
        <v>0</v>
      </c>
      <c r="CSF76" s="70">
        <v>0</v>
      </c>
      <c r="CSG76" s="70">
        <v>0</v>
      </c>
      <c r="CSH76" s="70">
        <v>0</v>
      </c>
      <c r="CSI76" s="70">
        <v>0</v>
      </c>
      <c r="CSJ76" s="70">
        <v>0</v>
      </c>
      <c r="CSK76" s="70">
        <v>0</v>
      </c>
      <c r="CSL76" s="70">
        <v>0</v>
      </c>
      <c r="CSM76" s="70">
        <v>0</v>
      </c>
      <c r="CSN76" s="70">
        <v>0</v>
      </c>
      <c r="CSO76" s="70">
        <v>0</v>
      </c>
      <c r="CSP76" s="70">
        <v>0</v>
      </c>
      <c r="CSQ76" s="70">
        <v>0</v>
      </c>
      <c r="CSR76" s="70">
        <v>0</v>
      </c>
      <c r="CSS76" s="70">
        <v>0</v>
      </c>
      <c r="CST76" s="70">
        <v>0</v>
      </c>
      <c r="CSU76" s="70">
        <v>0</v>
      </c>
      <c r="CSV76" s="70">
        <v>0</v>
      </c>
      <c r="CSW76" s="70">
        <v>0</v>
      </c>
      <c r="CSX76" s="70">
        <v>0</v>
      </c>
      <c r="CSY76" s="70">
        <v>0</v>
      </c>
      <c r="CSZ76" s="70">
        <v>0</v>
      </c>
      <c r="CTA76" s="70">
        <v>0</v>
      </c>
      <c r="CTB76" s="70">
        <v>0</v>
      </c>
      <c r="CTC76" s="70">
        <v>0</v>
      </c>
      <c r="CTD76" s="70">
        <v>0</v>
      </c>
      <c r="CTE76" s="70">
        <v>0</v>
      </c>
      <c r="CTF76" s="70">
        <v>0</v>
      </c>
      <c r="CTG76" s="70">
        <v>0</v>
      </c>
      <c r="CTH76" s="70">
        <v>0</v>
      </c>
      <c r="CTI76" s="70">
        <v>0</v>
      </c>
      <c r="CTJ76" s="70">
        <v>0</v>
      </c>
      <c r="CTK76" s="70">
        <v>0</v>
      </c>
      <c r="CTL76" s="70">
        <v>0</v>
      </c>
      <c r="CTM76" s="70">
        <v>0</v>
      </c>
      <c r="CTN76" s="70">
        <v>0</v>
      </c>
      <c r="CTO76" s="70">
        <v>0</v>
      </c>
      <c r="CTP76" s="70">
        <v>0</v>
      </c>
      <c r="CTQ76" s="70">
        <v>0</v>
      </c>
      <c r="CTR76" s="70">
        <v>0</v>
      </c>
      <c r="CTS76" s="70">
        <v>0</v>
      </c>
      <c r="CTT76" s="70">
        <v>0</v>
      </c>
      <c r="CTU76" s="70">
        <v>0</v>
      </c>
      <c r="CTV76" s="70">
        <v>0</v>
      </c>
      <c r="CTW76" s="70">
        <v>0</v>
      </c>
      <c r="CTX76" s="70">
        <v>0</v>
      </c>
      <c r="CTY76" s="70">
        <v>0</v>
      </c>
      <c r="CTZ76" s="70">
        <v>0</v>
      </c>
      <c r="CUA76" s="70">
        <v>0</v>
      </c>
      <c r="CUB76" s="70">
        <v>0</v>
      </c>
      <c r="CUC76" s="70">
        <v>0</v>
      </c>
      <c r="CUD76" s="70">
        <v>0</v>
      </c>
      <c r="CUE76" s="70">
        <v>0</v>
      </c>
      <c r="CUF76" s="70">
        <v>0</v>
      </c>
      <c r="CUG76" s="70">
        <v>0</v>
      </c>
      <c r="CUH76" s="70">
        <v>0</v>
      </c>
      <c r="CUI76" s="70">
        <v>0</v>
      </c>
      <c r="CUJ76" s="70">
        <v>0</v>
      </c>
      <c r="CUK76" s="70">
        <v>0</v>
      </c>
      <c r="CUL76" s="70">
        <v>0</v>
      </c>
      <c r="CUM76" s="70">
        <v>0</v>
      </c>
      <c r="CUN76" s="70">
        <v>0</v>
      </c>
      <c r="CUO76" s="70">
        <v>0</v>
      </c>
      <c r="CUP76" s="70">
        <v>0</v>
      </c>
      <c r="CUQ76" s="70">
        <v>0</v>
      </c>
      <c r="CUR76" s="70">
        <v>0</v>
      </c>
      <c r="CUS76" s="70">
        <v>0</v>
      </c>
      <c r="CUT76" s="70">
        <v>0</v>
      </c>
      <c r="CUU76" s="70">
        <v>0</v>
      </c>
      <c r="CUV76" s="70">
        <v>0</v>
      </c>
      <c r="CUW76" s="70">
        <v>0</v>
      </c>
      <c r="CUX76" s="70">
        <v>0</v>
      </c>
      <c r="CUY76" s="70">
        <v>0</v>
      </c>
      <c r="CUZ76" s="70">
        <v>0</v>
      </c>
      <c r="CVA76" s="70">
        <v>0</v>
      </c>
      <c r="CVB76" s="70">
        <v>0</v>
      </c>
      <c r="CVC76" s="70">
        <v>0</v>
      </c>
      <c r="CVD76" s="70">
        <v>0</v>
      </c>
      <c r="CVE76" s="70">
        <v>0</v>
      </c>
      <c r="CVF76" s="70">
        <v>0</v>
      </c>
      <c r="CVG76" s="70">
        <v>0</v>
      </c>
      <c r="CVH76" s="70">
        <v>0</v>
      </c>
      <c r="CVI76" s="70">
        <v>0</v>
      </c>
      <c r="CVJ76" s="70">
        <v>0</v>
      </c>
      <c r="CVK76" s="70">
        <v>0</v>
      </c>
      <c r="CVL76" s="70">
        <v>0</v>
      </c>
      <c r="CVM76" s="70">
        <v>0</v>
      </c>
      <c r="CVN76" s="70">
        <v>0</v>
      </c>
      <c r="CVO76" s="70">
        <v>0</v>
      </c>
      <c r="CVP76" s="70">
        <v>0</v>
      </c>
      <c r="CVQ76" s="70">
        <v>0</v>
      </c>
      <c r="CVR76" s="70">
        <v>0</v>
      </c>
      <c r="CVS76" s="70">
        <v>0</v>
      </c>
      <c r="CVT76" s="70">
        <v>0</v>
      </c>
      <c r="CVU76" s="70">
        <v>0</v>
      </c>
      <c r="CVV76" s="70">
        <v>0</v>
      </c>
      <c r="CVW76" s="70">
        <v>0</v>
      </c>
      <c r="CVX76" s="70">
        <v>0</v>
      </c>
      <c r="CVY76" s="70">
        <v>0</v>
      </c>
      <c r="CVZ76" s="70">
        <v>0</v>
      </c>
      <c r="CWA76" s="70">
        <v>0</v>
      </c>
      <c r="CWB76" s="70">
        <v>0</v>
      </c>
      <c r="CWC76" s="70">
        <v>0</v>
      </c>
      <c r="CWD76" s="70">
        <v>0</v>
      </c>
      <c r="CWE76" s="70">
        <v>0</v>
      </c>
      <c r="CWF76" s="70">
        <v>0</v>
      </c>
      <c r="CWG76" s="70">
        <v>0</v>
      </c>
      <c r="CWH76" s="70">
        <v>0</v>
      </c>
      <c r="CWI76" s="70">
        <v>0</v>
      </c>
      <c r="CWJ76" s="70">
        <v>0</v>
      </c>
      <c r="CWK76" s="70">
        <v>0</v>
      </c>
      <c r="CWL76" s="70">
        <v>0</v>
      </c>
      <c r="CWM76" s="70">
        <v>0</v>
      </c>
      <c r="CWN76" s="70">
        <v>0</v>
      </c>
      <c r="CWO76" s="70">
        <v>0</v>
      </c>
      <c r="CWP76" s="70">
        <v>0</v>
      </c>
      <c r="CWQ76" s="70">
        <v>0</v>
      </c>
      <c r="CWR76" s="70">
        <v>0</v>
      </c>
      <c r="CWS76" s="70">
        <v>0</v>
      </c>
      <c r="CWT76" s="70">
        <v>0</v>
      </c>
      <c r="CWU76" s="70">
        <v>0</v>
      </c>
      <c r="CWV76" s="70">
        <v>0</v>
      </c>
      <c r="CWW76" s="70">
        <v>0</v>
      </c>
      <c r="CWX76" s="70">
        <v>0</v>
      </c>
      <c r="CWY76" s="70">
        <v>0</v>
      </c>
      <c r="CWZ76" s="70">
        <v>0</v>
      </c>
      <c r="CXA76" s="70">
        <v>0</v>
      </c>
      <c r="CXB76" s="70">
        <v>0</v>
      </c>
      <c r="CXC76" s="70">
        <v>0</v>
      </c>
      <c r="CXD76" s="70">
        <v>0</v>
      </c>
      <c r="CXE76" s="70">
        <v>0</v>
      </c>
      <c r="CXF76" s="70">
        <v>0</v>
      </c>
      <c r="CXG76" s="70">
        <v>0</v>
      </c>
      <c r="CXH76" s="70">
        <v>0</v>
      </c>
      <c r="CXI76" s="70">
        <v>0</v>
      </c>
      <c r="CXJ76" s="70">
        <v>0</v>
      </c>
      <c r="CXK76" s="70">
        <v>0</v>
      </c>
      <c r="CXL76" s="70">
        <v>0</v>
      </c>
      <c r="CXM76" s="70">
        <v>0</v>
      </c>
      <c r="CXN76" s="70">
        <v>0</v>
      </c>
      <c r="CXO76" s="70">
        <v>0</v>
      </c>
      <c r="CXP76" s="70">
        <v>0</v>
      </c>
      <c r="CXQ76" s="70">
        <v>0</v>
      </c>
      <c r="CXR76" s="70">
        <v>0</v>
      </c>
      <c r="CXS76" s="70">
        <v>0</v>
      </c>
      <c r="CXT76" s="70">
        <v>0</v>
      </c>
      <c r="CXU76" s="70">
        <v>0</v>
      </c>
      <c r="CXV76" s="70">
        <v>0</v>
      </c>
      <c r="CXW76" s="70">
        <v>0</v>
      </c>
      <c r="CXX76" s="70">
        <v>0</v>
      </c>
      <c r="CXY76" s="70">
        <v>0</v>
      </c>
      <c r="CXZ76" s="70">
        <v>0</v>
      </c>
      <c r="CYA76" s="70">
        <v>0</v>
      </c>
      <c r="CYB76" s="70">
        <v>0</v>
      </c>
      <c r="CYC76" s="70">
        <v>0</v>
      </c>
      <c r="CYD76" s="70">
        <v>0</v>
      </c>
      <c r="CYE76" s="70">
        <v>0</v>
      </c>
      <c r="CYF76" s="70">
        <v>0</v>
      </c>
      <c r="CYG76" s="70">
        <v>0</v>
      </c>
      <c r="CYH76" s="70">
        <v>0</v>
      </c>
      <c r="CYI76" s="70">
        <v>0</v>
      </c>
      <c r="CYJ76" s="70">
        <v>0</v>
      </c>
      <c r="CYK76" s="70">
        <v>0</v>
      </c>
      <c r="CYL76" s="70">
        <v>0</v>
      </c>
      <c r="CYM76" s="70">
        <v>0</v>
      </c>
      <c r="CYN76" s="70">
        <v>0</v>
      </c>
      <c r="CYO76" s="70">
        <v>0</v>
      </c>
      <c r="CYP76" s="70">
        <v>0</v>
      </c>
      <c r="CYQ76" s="70">
        <v>0</v>
      </c>
      <c r="CYR76" s="70">
        <v>0</v>
      </c>
      <c r="CYS76" s="70">
        <v>0</v>
      </c>
      <c r="CYT76" s="70">
        <v>0</v>
      </c>
      <c r="CYU76" s="70">
        <v>0</v>
      </c>
      <c r="CYV76" s="70">
        <v>0</v>
      </c>
      <c r="CYW76" s="70">
        <v>0</v>
      </c>
      <c r="CYX76" s="70">
        <v>0</v>
      </c>
      <c r="CYY76" s="70">
        <v>0</v>
      </c>
      <c r="CYZ76" s="70">
        <v>0</v>
      </c>
      <c r="CZA76" s="70">
        <v>0</v>
      </c>
      <c r="CZB76" s="70">
        <v>0</v>
      </c>
      <c r="CZC76" s="70">
        <v>0</v>
      </c>
      <c r="CZD76" s="70">
        <v>0</v>
      </c>
      <c r="CZE76" s="70">
        <v>0</v>
      </c>
      <c r="CZF76" s="70">
        <v>0</v>
      </c>
      <c r="CZG76" s="70">
        <v>0</v>
      </c>
      <c r="CZH76" s="70">
        <v>0</v>
      </c>
      <c r="CZI76" s="70">
        <v>0</v>
      </c>
      <c r="CZJ76" s="70">
        <v>0</v>
      </c>
      <c r="CZK76" s="70">
        <v>0</v>
      </c>
      <c r="CZL76" s="70">
        <v>0</v>
      </c>
      <c r="CZM76" s="70">
        <v>0</v>
      </c>
      <c r="CZN76" s="70">
        <v>0</v>
      </c>
      <c r="CZO76" s="70">
        <v>0</v>
      </c>
      <c r="CZP76" s="70">
        <v>0</v>
      </c>
      <c r="CZQ76" s="70">
        <v>0</v>
      </c>
      <c r="CZR76" s="70">
        <v>0</v>
      </c>
      <c r="CZS76" s="70">
        <v>0</v>
      </c>
      <c r="CZT76" s="70">
        <v>0</v>
      </c>
      <c r="CZU76" s="70">
        <v>0</v>
      </c>
      <c r="CZV76" s="70">
        <v>0</v>
      </c>
      <c r="CZW76" s="70">
        <v>0</v>
      </c>
      <c r="CZX76" s="70">
        <v>0</v>
      </c>
      <c r="CZY76" s="70">
        <v>0</v>
      </c>
      <c r="CZZ76" s="70">
        <v>0</v>
      </c>
      <c r="DAA76" s="70">
        <v>0</v>
      </c>
      <c r="DAB76" s="70">
        <v>0</v>
      </c>
      <c r="DAC76" s="70">
        <v>0</v>
      </c>
      <c r="DAD76" s="70">
        <v>0</v>
      </c>
      <c r="DAE76" s="70">
        <v>0</v>
      </c>
      <c r="DAF76" s="70">
        <v>0</v>
      </c>
      <c r="DAG76" s="70">
        <v>0</v>
      </c>
      <c r="DAH76" s="70">
        <v>0</v>
      </c>
      <c r="DAI76" s="70">
        <v>0</v>
      </c>
      <c r="DAJ76" s="70">
        <v>0</v>
      </c>
      <c r="DAK76" s="70">
        <v>0</v>
      </c>
      <c r="DAL76" s="70">
        <v>0</v>
      </c>
      <c r="DAM76" s="70">
        <v>0</v>
      </c>
      <c r="DAN76" s="70">
        <v>0</v>
      </c>
      <c r="DAO76" s="70">
        <v>0</v>
      </c>
      <c r="DAP76" s="70">
        <v>0</v>
      </c>
      <c r="DAQ76" s="70">
        <v>0</v>
      </c>
      <c r="DAR76" s="70">
        <v>0</v>
      </c>
      <c r="DAS76" s="70">
        <v>0</v>
      </c>
      <c r="DAT76" s="70">
        <v>0</v>
      </c>
      <c r="DAU76" s="70">
        <v>0</v>
      </c>
      <c r="DAV76" s="70">
        <v>0</v>
      </c>
      <c r="DAW76" s="70">
        <v>0</v>
      </c>
      <c r="DAX76" s="70">
        <v>0</v>
      </c>
      <c r="DAY76" s="70">
        <v>0</v>
      </c>
      <c r="DAZ76" s="70">
        <v>0</v>
      </c>
      <c r="DBA76" s="70">
        <v>0</v>
      </c>
      <c r="DBB76" s="70">
        <v>0</v>
      </c>
      <c r="DBC76" s="70">
        <v>0</v>
      </c>
      <c r="DBD76" s="70">
        <v>0</v>
      </c>
      <c r="DBE76" s="70">
        <v>0</v>
      </c>
      <c r="DBF76" s="70">
        <v>0</v>
      </c>
      <c r="DBG76" s="70">
        <v>0</v>
      </c>
      <c r="DBH76" s="70">
        <v>0</v>
      </c>
      <c r="DBI76" s="70">
        <v>0</v>
      </c>
      <c r="DBJ76" s="70">
        <v>0</v>
      </c>
      <c r="DBK76" s="70">
        <v>0</v>
      </c>
      <c r="DBL76" s="70">
        <v>0</v>
      </c>
      <c r="DBM76" s="70">
        <v>0</v>
      </c>
      <c r="DBN76" s="70">
        <v>0</v>
      </c>
      <c r="DBO76" s="70">
        <v>0</v>
      </c>
      <c r="DBP76" s="70">
        <v>0</v>
      </c>
      <c r="DBQ76" s="70">
        <v>0</v>
      </c>
      <c r="DBR76" s="70">
        <v>0</v>
      </c>
      <c r="DBS76" s="70">
        <v>0</v>
      </c>
      <c r="DBT76" s="70">
        <v>0</v>
      </c>
      <c r="DBU76" s="70">
        <v>0</v>
      </c>
      <c r="DBV76" s="70">
        <v>0</v>
      </c>
      <c r="DBW76" s="70">
        <v>0</v>
      </c>
      <c r="DBX76" s="70">
        <v>0</v>
      </c>
      <c r="DBY76" s="70">
        <v>0</v>
      </c>
      <c r="DBZ76" s="70">
        <v>0</v>
      </c>
      <c r="DCA76" s="70">
        <v>0</v>
      </c>
      <c r="DCB76" s="70">
        <v>0</v>
      </c>
      <c r="DCC76" s="70">
        <v>0</v>
      </c>
      <c r="DCD76" s="70">
        <v>0</v>
      </c>
      <c r="DCE76" s="70">
        <v>0</v>
      </c>
      <c r="DCF76" s="70">
        <v>0</v>
      </c>
      <c r="DCG76" s="70">
        <v>0</v>
      </c>
      <c r="DCH76" s="70">
        <v>0</v>
      </c>
      <c r="DCI76" s="70">
        <v>0</v>
      </c>
      <c r="DCJ76" s="70">
        <v>0</v>
      </c>
      <c r="DCK76" s="70">
        <v>0</v>
      </c>
      <c r="DCL76" s="70">
        <v>0</v>
      </c>
      <c r="DCM76" s="70">
        <v>0</v>
      </c>
      <c r="DCN76" s="70">
        <v>0</v>
      </c>
      <c r="DCO76" s="70">
        <v>0</v>
      </c>
      <c r="DCP76" s="70">
        <v>0</v>
      </c>
      <c r="DCQ76" s="70">
        <v>0</v>
      </c>
      <c r="DCR76" s="70">
        <v>0</v>
      </c>
      <c r="DCS76" s="70">
        <v>0</v>
      </c>
      <c r="DCT76" s="70">
        <v>0</v>
      </c>
      <c r="DCU76" s="70">
        <v>0</v>
      </c>
      <c r="DCV76" s="70">
        <v>0</v>
      </c>
      <c r="DCW76" s="70">
        <v>0</v>
      </c>
      <c r="DCX76" s="70">
        <v>0</v>
      </c>
      <c r="DCY76" s="70">
        <v>0</v>
      </c>
      <c r="DCZ76" s="70">
        <v>0</v>
      </c>
      <c r="DDA76" s="70">
        <v>0</v>
      </c>
      <c r="DDB76" s="70">
        <v>0</v>
      </c>
      <c r="DDC76" s="70">
        <v>0</v>
      </c>
      <c r="DDD76" s="70">
        <v>0</v>
      </c>
      <c r="DDE76" s="70">
        <v>0</v>
      </c>
      <c r="DDF76" s="70">
        <v>0</v>
      </c>
      <c r="DDG76" s="70">
        <v>0</v>
      </c>
      <c r="DDH76" s="70">
        <v>0</v>
      </c>
      <c r="DDI76" s="70">
        <v>0</v>
      </c>
      <c r="DDJ76" s="70">
        <v>0</v>
      </c>
      <c r="DDK76" s="70">
        <v>0</v>
      </c>
      <c r="DDL76" s="70">
        <v>0</v>
      </c>
      <c r="DDM76" s="70">
        <v>0</v>
      </c>
      <c r="DDN76" s="70">
        <v>0</v>
      </c>
      <c r="DDO76" s="70">
        <v>0</v>
      </c>
      <c r="DDP76" s="70">
        <v>0</v>
      </c>
      <c r="DDQ76" s="70">
        <v>0</v>
      </c>
      <c r="DDR76" s="70">
        <v>0</v>
      </c>
      <c r="DDS76" s="70">
        <v>0</v>
      </c>
      <c r="DDT76" s="70">
        <v>0</v>
      </c>
      <c r="DDU76" s="70">
        <v>0</v>
      </c>
      <c r="DDV76" s="70">
        <v>0</v>
      </c>
      <c r="DDW76" s="70">
        <v>0</v>
      </c>
      <c r="DDX76" s="70">
        <v>0</v>
      </c>
      <c r="DDY76" s="70">
        <v>0</v>
      </c>
      <c r="DDZ76" s="70">
        <v>0</v>
      </c>
      <c r="DEA76" s="70">
        <v>0</v>
      </c>
      <c r="DEB76" s="70">
        <v>0</v>
      </c>
      <c r="DEC76" s="70">
        <v>0</v>
      </c>
      <c r="DED76" s="70">
        <v>0</v>
      </c>
      <c r="DEE76" s="70">
        <v>0</v>
      </c>
      <c r="DEF76" s="70">
        <v>0</v>
      </c>
      <c r="DEG76" s="70">
        <v>0</v>
      </c>
      <c r="DEH76" s="70">
        <v>0</v>
      </c>
      <c r="DEI76" s="70">
        <v>0</v>
      </c>
      <c r="DEJ76" s="70">
        <v>0</v>
      </c>
      <c r="DEK76" s="70">
        <v>0</v>
      </c>
      <c r="DEL76" s="70">
        <v>0</v>
      </c>
      <c r="DEM76" s="70">
        <v>0</v>
      </c>
      <c r="DEN76" s="70">
        <v>0</v>
      </c>
      <c r="DEO76" s="70">
        <v>0</v>
      </c>
      <c r="DEP76" s="70">
        <v>0</v>
      </c>
      <c r="DEQ76" s="70">
        <v>0</v>
      </c>
      <c r="DER76" s="70">
        <v>0</v>
      </c>
      <c r="DES76" s="70">
        <v>0</v>
      </c>
      <c r="DET76" s="70">
        <v>0</v>
      </c>
      <c r="DEU76" s="70">
        <v>0</v>
      </c>
      <c r="DEV76" s="70">
        <v>0</v>
      </c>
      <c r="DEW76" s="70">
        <v>0</v>
      </c>
      <c r="DEX76" s="70">
        <v>0</v>
      </c>
      <c r="DEY76" s="70">
        <v>0</v>
      </c>
      <c r="DEZ76" s="70">
        <v>0</v>
      </c>
      <c r="DFA76" s="70">
        <v>0</v>
      </c>
      <c r="DFB76" s="70">
        <v>0</v>
      </c>
      <c r="DFC76" s="70">
        <v>0</v>
      </c>
      <c r="DFD76" s="70">
        <v>0</v>
      </c>
      <c r="DFE76" s="70">
        <v>0</v>
      </c>
      <c r="DFF76" s="70">
        <v>0</v>
      </c>
      <c r="DFG76" s="70">
        <v>0</v>
      </c>
      <c r="DFH76" s="70">
        <v>0</v>
      </c>
      <c r="DFI76" s="70">
        <v>0</v>
      </c>
      <c r="DFJ76" s="70">
        <v>0</v>
      </c>
      <c r="DFK76" s="70">
        <v>0</v>
      </c>
      <c r="DFL76" s="70">
        <v>0</v>
      </c>
      <c r="DFM76" s="70">
        <v>0</v>
      </c>
      <c r="DFN76" s="70">
        <v>0</v>
      </c>
      <c r="DFO76" s="70">
        <v>0</v>
      </c>
      <c r="DFP76" s="70">
        <v>0</v>
      </c>
      <c r="DFQ76" s="70">
        <v>0</v>
      </c>
      <c r="DFR76" s="70">
        <v>0</v>
      </c>
      <c r="DFS76" s="70">
        <v>0</v>
      </c>
      <c r="DFT76" s="70">
        <v>0</v>
      </c>
      <c r="DFU76" s="70">
        <v>0</v>
      </c>
      <c r="DFV76" s="70">
        <v>0</v>
      </c>
      <c r="DFW76" s="70">
        <v>0</v>
      </c>
      <c r="DFX76" s="70">
        <v>0</v>
      </c>
      <c r="DFY76" s="70">
        <v>0</v>
      </c>
      <c r="DFZ76" s="70">
        <v>0</v>
      </c>
      <c r="DGA76" s="70">
        <v>0</v>
      </c>
      <c r="DGB76" s="70">
        <v>0</v>
      </c>
      <c r="DGC76" s="70">
        <v>0</v>
      </c>
      <c r="DGD76" s="70">
        <v>0</v>
      </c>
      <c r="DGE76" s="70">
        <v>0</v>
      </c>
      <c r="DGF76" s="70">
        <v>0</v>
      </c>
      <c r="DGG76" s="70">
        <v>0</v>
      </c>
      <c r="DGH76" s="70">
        <v>0</v>
      </c>
      <c r="DGI76" s="70">
        <v>0</v>
      </c>
      <c r="DGJ76" s="70">
        <v>0</v>
      </c>
      <c r="DGK76" s="70">
        <v>0</v>
      </c>
      <c r="DGL76" s="70">
        <v>0</v>
      </c>
      <c r="DGM76" s="70">
        <v>0</v>
      </c>
      <c r="DGN76" s="70">
        <v>0</v>
      </c>
      <c r="DGO76" s="70">
        <v>0</v>
      </c>
      <c r="DGP76" s="70">
        <v>0</v>
      </c>
      <c r="DGQ76" s="70">
        <v>0</v>
      </c>
      <c r="DGR76" s="70">
        <v>0</v>
      </c>
      <c r="DGS76" s="70">
        <v>0</v>
      </c>
      <c r="DGT76" s="70">
        <v>0</v>
      </c>
      <c r="DGU76" s="70">
        <v>0</v>
      </c>
      <c r="DGV76" s="70">
        <v>0</v>
      </c>
      <c r="DGW76" s="70">
        <v>0</v>
      </c>
      <c r="DGX76" s="70">
        <v>0</v>
      </c>
      <c r="DGY76" s="70">
        <v>0</v>
      </c>
      <c r="DGZ76" s="70">
        <v>0</v>
      </c>
      <c r="DHA76" s="70">
        <v>0</v>
      </c>
      <c r="DHB76" s="70">
        <v>0</v>
      </c>
      <c r="DHC76" s="70">
        <v>0</v>
      </c>
      <c r="DHD76" s="70">
        <v>0</v>
      </c>
      <c r="DHE76" s="70">
        <v>0</v>
      </c>
      <c r="DHF76" s="70">
        <v>0</v>
      </c>
      <c r="DHG76" s="70">
        <v>0</v>
      </c>
      <c r="DHH76" s="70">
        <v>0</v>
      </c>
      <c r="DHI76" s="70">
        <v>0</v>
      </c>
      <c r="DHJ76" s="70">
        <v>0</v>
      </c>
      <c r="DHK76" s="70">
        <v>0</v>
      </c>
      <c r="DHL76" s="70">
        <v>0</v>
      </c>
      <c r="DHM76" s="70">
        <v>0</v>
      </c>
      <c r="DHN76" s="70">
        <v>0</v>
      </c>
      <c r="DHO76" s="70">
        <v>0</v>
      </c>
      <c r="DHP76" s="70">
        <v>0</v>
      </c>
      <c r="DHQ76" s="70">
        <v>0</v>
      </c>
      <c r="DHR76" s="70">
        <v>0</v>
      </c>
      <c r="DHS76" s="70">
        <v>0</v>
      </c>
      <c r="DHT76" s="70">
        <v>0</v>
      </c>
      <c r="DHU76" s="70">
        <v>0</v>
      </c>
      <c r="DHV76" s="70">
        <v>0</v>
      </c>
      <c r="DHW76" s="70">
        <v>0</v>
      </c>
      <c r="DHX76" s="70">
        <v>0</v>
      </c>
      <c r="DHY76" s="70">
        <v>0</v>
      </c>
      <c r="DHZ76" s="70">
        <v>0</v>
      </c>
      <c r="DIA76" s="70">
        <v>0</v>
      </c>
      <c r="DIB76" s="70">
        <v>0</v>
      </c>
      <c r="DIC76" s="70">
        <v>0</v>
      </c>
      <c r="DID76" s="70">
        <v>0</v>
      </c>
      <c r="DIE76" s="70">
        <v>0</v>
      </c>
      <c r="DIF76" s="70">
        <v>0</v>
      </c>
      <c r="DIG76" s="70">
        <v>0</v>
      </c>
      <c r="DIH76" s="70">
        <v>0</v>
      </c>
      <c r="DII76" s="70">
        <v>0</v>
      </c>
      <c r="DIJ76" s="70">
        <v>0</v>
      </c>
      <c r="DIK76" s="70">
        <v>0</v>
      </c>
      <c r="DIL76" s="70">
        <v>0</v>
      </c>
      <c r="DIM76" s="70">
        <v>0</v>
      </c>
      <c r="DIN76" s="70">
        <v>0</v>
      </c>
      <c r="DIO76" s="70">
        <v>0</v>
      </c>
      <c r="DIP76" s="70">
        <v>0</v>
      </c>
      <c r="DIQ76" s="70">
        <v>0</v>
      </c>
      <c r="DIR76" s="70">
        <v>0</v>
      </c>
      <c r="DIS76" s="70">
        <v>0</v>
      </c>
      <c r="DIT76" s="70">
        <v>0</v>
      </c>
      <c r="DIU76" s="70">
        <v>0</v>
      </c>
      <c r="DIV76" s="70">
        <v>0</v>
      </c>
      <c r="DIW76" s="70">
        <v>0</v>
      </c>
      <c r="DIX76" s="70">
        <v>0</v>
      </c>
      <c r="DIY76" s="70">
        <v>0</v>
      </c>
      <c r="DIZ76" s="70">
        <v>0</v>
      </c>
      <c r="DJA76" s="70">
        <v>0</v>
      </c>
      <c r="DJB76" s="70">
        <v>0</v>
      </c>
      <c r="DJC76" s="70">
        <v>0</v>
      </c>
      <c r="DJD76" s="70">
        <v>0</v>
      </c>
      <c r="DJE76" s="70">
        <v>0</v>
      </c>
      <c r="DJF76" s="70">
        <v>0</v>
      </c>
      <c r="DJG76" s="70">
        <v>0</v>
      </c>
      <c r="DJH76" s="70">
        <v>0</v>
      </c>
      <c r="DJI76" s="70">
        <v>0</v>
      </c>
      <c r="DJJ76" s="70">
        <v>0</v>
      </c>
      <c r="DJK76" s="70">
        <v>0</v>
      </c>
      <c r="DJL76" s="70">
        <v>0</v>
      </c>
      <c r="DJM76" s="70">
        <v>0</v>
      </c>
      <c r="DJN76" s="70">
        <v>0</v>
      </c>
      <c r="DJO76" s="70">
        <v>0</v>
      </c>
      <c r="DJP76" s="70">
        <v>0</v>
      </c>
      <c r="DJQ76" s="70">
        <v>0</v>
      </c>
      <c r="DJR76" s="70">
        <v>0</v>
      </c>
      <c r="DJS76" s="70">
        <v>0</v>
      </c>
      <c r="DJT76" s="70">
        <v>0</v>
      </c>
      <c r="DJU76" s="70">
        <v>0</v>
      </c>
      <c r="DJV76" s="70">
        <v>0</v>
      </c>
      <c r="DJW76" s="70">
        <v>0</v>
      </c>
      <c r="DJX76" s="70">
        <v>0</v>
      </c>
      <c r="DJY76" s="70">
        <v>0</v>
      </c>
      <c r="DJZ76" s="70">
        <v>0</v>
      </c>
      <c r="DKA76" s="70">
        <v>0</v>
      </c>
      <c r="DKB76" s="70">
        <v>0</v>
      </c>
      <c r="DKC76" s="70">
        <v>0</v>
      </c>
      <c r="DKD76" s="70">
        <v>0</v>
      </c>
      <c r="DKE76" s="70">
        <v>0</v>
      </c>
      <c r="DKF76" s="70">
        <v>0</v>
      </c>
      <c r="DKG76" s="70">
        <v>0</v>
      </c>
      <c r="DKH76" s="70">
        <v>0</v>
      </c>
      <c r="DKI76" s="70">
        <v>0</v>
      </c>
      <c r="DKJ76" s="70">
        <v>0</v>
      </c>
      <c r="DKK76" s="70">
        <v>0</v>
      </c>
      <c r="DKL76" s="70">
        <v>0</v>
      </c>
      <c r="DKM76" s="70">
        <v>0</v>
      </c>
      <c r="DKN76" s="70">
        <v>0</v>
      </c>
      <c r="DKO76" s="70">
        <v>0</v>
      </c>
      <c r="DKP76" s="70">
        <v>0</v>
      </c>
      <c r="DKQ76" s="70">
        <v>0</v>
      </c>
      <c r="DKR76" s="70">
        <v>0</v>
      </c>
      <c r="DKS76" s="70">
        <v>0</v>
      </c>
      <c r="DKT76" s="70">
        <v>0</v>
      </c>
      <c r="DKU76" s="70">
        <v>0</v>
      </c>
      <c r="DKV76" s="70">
        <v>0</v>
      </c>
      <c r="DKW76" s="70">
        <v>0</v>
      </c>
      <c r="DKX76" s="70">
        <v>0</v>
      </c>
      <c r="DKY76" s="70">
        <v>0</v>
      </c>
      <c r="DKZ76" s="70">
        <v>0</v>
      </c>
      <c r="DLA76" s="70">
        <v>0</v>
      </c>
      <c r="DLB76" s="70">
        <v>0</v>
      </c>
      <c r="DLC76" s="70">
        <v>0</v>
      </c>
      <c r="DLD76" s="70">
        <v>0</v>
      </c>
      <c r="DLE76" s="70">
        <v>0</v>
      </c>
      <c r="DLF76" s="70">
        <v>0</v>
      </c>
      <c r="DLG76" s="70">
        <v>0</v>
      </c>
      <c r="DLH76" s="70">
        <v>0</v>
      </c>
      <c r="DLI76" s="70">
        <v>0</v>
      </c>
      <c r="DLJ76" s="70">
        <v>0</v>
      </c>
      <c r="DLK76" s="70">
        <v>0</v>
      </c>
      <c r="DLL76" s="70">
        <v>0</v>
      </c>
      <c r="DLM76" s="70">
        <v>0</v>
      </c>
      <c r="DLN76" s="70">
        <v>0</v>
      </c>
      <c r="DLO76" s="70">
        <v>0</v>
      </c>
      <c r="DLP76" s="70">
        <v>0</v>
      </c>
      <c r="DLQ76" s="70">
        <v>0</v>
      </c>
      <c r="DLR76" s="70">
        <v>0</v>
      </c>
      <c r="DLS76" s="70">
        <v>0</v>
      </c>
      <c r="DLT76" s="70">
        <v>0</v>
      </c>
      <c r="DLU76" s="70">
        <v>0</v>
      </c>
      <c r="DLV76" s="70">
        <v>0</v>
      </c>
      <c r="DLW76" s="70">
        <v>0</v>
      </c>
      <c r="DLX76" s="70">
        <v>0</v>
      </c>
      <c r="DLY76" s="70">
        <v>0</v>
      </c>
      <c r="DLZ76" s="70">
        <v>0</v>
      </c>
      <c r="DMA76" s="70">
        <v>0</v>
      </c>
      <c r="DMB76" s="70">
        <v>0</v>
      </c>
      <c r="DMC76" s="70">
        <v>0</v>
      </c>
      <c r="DMD76" s="70">
        <v>0</v>
      </c>
      <c r="DME76" s="70">
        <v>0</v>
      </c>
      <c r="DMF76" s="70">
        <v>0</v>
      </c>
      <c r="DMG76" s="70">
        <v>0</v>
      </c>
      <c r="DMH76" s="70">
        <v>0</v>
      </c>
      <c r="DMI76" s="70">
        <v>0</v>
      </c>
      <c r="DMJ76" s="70">
        <v>0</v>
      </c>
      <c r="DMK76" s="70">
        <v>0</v>
      </c>
      <c r="DML76" s="70">
        <v>0</v>
      </c>
      <c r="DMM76" s="70">
        <v>0</v>
      </c>
      <c r="DMN76" s="70">
        <v>0</v>
      </c>
      <c r="DMO76" s="70">
        <v>0</v>
      </c>
      <c r="DMP76" s="70">
        <v>0</v>
      </c>
      <c r="DMQ76" s="70">
        <v>0</v>
      </c>
      <c r="DMR76" s="70">
        <v>0</v>
      </c>
      <c r="DMS76" s="70">
        <v>0</v>
      </c>
      <c r="DMT76" s="70">
        <v>0</v>
      </c>
      <c r="DMU76" s="70">
        <v>0</v>
      </c>
      <c r="DMV76" s="70">
        <v>0</v>
      </c>
      <c r="DMW76" s="70">
        <v>0</v>
      </c>
      <c r="DMX76" s="70">
        <v>0</v>
      </c>
      <c r="DMY76" s="70">
        <v>0</v>
      </c>
      <c r="DMZ76" s="70">
        <v>0</v>
      </c>
      <c r="DNA76" s="70">
        <v>0</v>
      </c>
      <c r="DNB76" s="70">
        <v>0</v>
      </c>
      <c r="DNC76" s="70">
        <v>0</v>
      </c>
      <c r="DND76" s="70">
        <v>0</v>
      </c>
      <c r="DNE76" s="70">
        <v>0</v>
      </c>
      <c r="DNF76" s="70">
        <v>0</v>
      </c>
      <c r="DNG76" s="70">
        <v>0</v>
      </c>
      <c r="DNH76" s="70">
        <v>0</v>
      </c>
      <c r="DNI76" s="70">
        <v>0</v>
      </c>
      <c r="DNJ76" s="70">
        <v>0</v>
      </c>
      <c r="DNK76" s="70">
        <v>0</v>
      </c>
      <c r="DNL76" s="70">
        <v>0</v>
      </c>
      <c r="DNM76" s="70">
        <v>0</v>
      </c>
      <c r="DNN76" s="70">
        <v>0</v>
      </c>
      <c r="DNO76" s="70">
        <v>0</v>
      </c>
      <c r="DNP76" s="70">
        <v>0</v>
      </c>
      <c r="DNQ76" s="70">
        <v>0</v>
      </c>
      <c r="DNR76" s="70">
        <v>0</v>
      </c>
      <c r="DNS76" s="70">
        <v>0</v>
      </c>
      <c r="DNT76" s="70">
        <v>0</v>
      </c>
      <c r="DNU76" s="70">
        <v>0</v>
      </c>
      <c r="DNV76" s="70">
        <v>0</v>
      </c>
      <c r="DNW76" s="70">
        <v>0</v>
      </c>
      <c r="DNX76" s="70">
        <v>0</v>
      </c>
      <c r="DNY76" s="70">
        <v>0</v>
      </c>
      <c r="DNZ76" s="70">
        <v>0</v>
      </c>
      <c r="DOA76" s="70">
        <v>0</v>
      </c>
      <c r="DOB76" s="70">
        <v>0</v>
      </c>
      <c r="DOC76" s="70">
        <v>0</v>
      </c>
      <c r="DOD76" s="70">
        <v>0</v>
      </c>
      <c r="DOE76" s="70">
        <v>0</v>
      </c>
      <c r="DOF76" s="70">
        <v>0</v>
      </c>
      <c r="DOG76" s="70">
        <v>0</v>
      </c>
      <c r="DOH76" s="70">
        <v>0</v>
      </c>
      <c r="DOI76" s="70">
        <v>0</v>
      </c>
      <c r="DOJ76" s="70">
        <v>0</v>
      </c>
      <c r="DOK76" s="70">
        <v>0</v>
      </c>
      <c r="DOL76" s="70">
        <v>0</v>
      </c>
      <c r="DOM76" s="70">
        <v>0</v>
      </c>
      <c r="DON76" s="70">
        <v>0</v>
      </c>
      <c r="DOO76" s="70">
        <v>0</v>
      </c>
      <c r="DOP76" s="70">
        <v>0</v>
      </c>
      <c r="DOQ76" s="70">
        <v>0</v>
      </c>
      <c r="DOR76" s="70">
        <v>0</v>
      </c>
      <c r="DOS76" s="70">
        <v>0</v>
      </c>
      <c r="DOT76" s="70">
        <v>0</v>
      </c>
      <c r="DOU76" s="70">
        <v>0</v>
      </c>
      <c r="DOV76" s="70">
        <v>0</v>
      </c>
      <c r="DOW76" s="70">
        <v>0</v>
      </c>
      <c r="DOX76" s="70">
        <v>0</v>
      </c>
      <c r="DOY76" s="70">
        <v>0</v>
      </c>
      <c r="DOZ76" s="70">
        <v>0</v>
      </c>
      <c r="DPA76" s="70">
        <v>0</v>
      </c>
      <c r="DPB76" s="70">
        <v>0</v>
      </c>
      <c r="DPC76" s="70">
        <v>0</v>
      </c>
      <c r="DPD76" s="70">
        <v>0</v>
      </c>
      <c r="DPE76" s="70">
        <v>0</v>
      </c>
      <c r="DPF76" s="70">
        <v>0</v>
      </c>
      <c r="DPG76" s="70">
        <v>0</v>
      </c>
      <c r="DPH76" s="70">
        <v>0</v>
      </c>
      <c r="DPI76" s="70">
        <v>0</v>
      </c>
      <c r="DPJ76" s="70">
        <v>0</v>
      </c>
      <c r="DPK76" s="70">
        <v>0</v>
      </c>
      <c r="DPL76" s="70">
        <v>0</v>
      </c>
      <c r="DPM76" s="70">
        <v>0</v>
      </c>
      <c r="DPN76" s="70">
        <v>0</v>
      </c>
      <c r="DPO76" s="70">
        <v>0</v>
      </c>
      <c r="DPP76" s="70">
        <v>0</v>
      </c>
      <c r="DPQ76" s="70">
        <v>0</v>
      </c>
      <c r="DPR76" s="70">
        <v>0</v>
      </c>
      <c r="DPS76" s="70">
        <v>0</v>
      </c>
      <c r="DPT76" s="70">
        <v>0</v>
      </c>
      <c r="DPU76" s="70">
        <v>0</v>
      </c>
      <c r="DPV76" s="70">
        <v>0</v>
      </c>
      <c r="DPW76" s="70">
        <v>0</v>
      </c>
      <c r="DPX76" s="70">
        <v>0</v>
      </c>
      <c r="DPY76" s="70">
        <v>0</v>
      </c>
      <c r="DPZ76" s="70">
        <v>0</v>
      </c>
      <c r="DQA76" s="70">
        <v>0</v>
      </c>
      <c r="DQB76" s="70">
        <v>0</v>
      </c>
      <c r="DQC76" s="70">
        <v>0</v>
      </c>
      <c r="DQD76" s="70">
        <v>0</v>
      </c>
      <c r="DQE76" s="70">
        <v>0</v>
      </c>
      <c r="DQF76" s="70">
        <v>0</v>
      </c>
      <c r="DQG76" s="70">
        <v>0</v>
      </c>
      <c r="DQH76" s="70">
        <v>0</v>
      </c>
      <c r="DQI76" s="70">
        <v>0</v>
      </c>
      <c r="DQJ76" s="70">
        <v>0</v>
      </c>
      <c r="DQK76" s="70">
        <v>0</v>
      </c>
      <c r="DQL76" s="70">
        <v>0</v>
      </c>
      <c r="DQM76" s="70">
        <v>0</v>
      </c>
      <c r="DQN76" s="70">
        <v>0</v>
      </c>
      <c r="DQO76" s="70">
        <v>0</v>
      </c>
      <c r="DQP76" s="70">
        <v>0</v>
      </c>
      <c r="DQQ76" s="70">
        <v>0</v>
      </c>
      <c r="DQR76" s="70">
        <v>0</v>
      </c>
      <c r="DQS76" s="70">
        <v>0</v>
      </c>
      <c r="DQT76" s="70">
        <v>0</v>
      </c>
      <c r="DQU76" s="70">
        <v>0</v>
      </c>
      <c r="DQV76" s="70">
        <v>0</v>
      </c>
      <c r="DQW76" s="70">
        <v>0</v>
      </c>
      <c r="DQX76" s="70">
        <v>0</v>
      </c>
      <c r="DQY76" s="70">
        <v>0</v>
      </c>
      <c r="DQZ76" s="70">
        <v>0</v>
      </c>
      <c r="DRA76" s="70">
        <v>0</v>
      </c>
      <c r="DRB76" s="70">
        <v>0</v>
      </c>
      <c r="DRC76" s="70">
        <v>0</v>
      </c>
      <c r="DRD76" s="70">
        <v>0</v>
      </c>
      <c r="DRE76" s="70">
        <v>0</v>
      </c>
      <c r="DRF76" s="70">
        <v>0</v>
      </c>
      <c r="DRG76" s="70">
        <v>0</v>
      </c>
      <c r="DRH76" s="70">
        <v>0</v>
      </c>
      <c r="DRI76" s="70">
        <v>0</v>
      </c>
      <c r="DRJ76" s="70">
        <v>0</v>
      </c>
      <c r="DRK76" s="70">
        <v>0</v>
      </c>
      <c r="DRL76" s="70">
        <v>0</v>
      </c>
      <c r="DRM76" s="70">
        <v>0</v>
      </c>
      <c r="DRN76" s="70">
        <v>0</v>
      </c>
      <c r="DRO76" s="70">
        <v>0</v>
      </c>
      <c r="DRP76" s="70">
        <v>0</v>
      </c>
      <c r="DRQ76" s="70">
        <v>0</v>
      </c>
      <c r="DRR76" s="70">
        <v>0</v>
      </c>
      <c r="DRS76" s="70">
        <v>0</v>
      </c>
      <c r="DRT76" s="70">
        <v>0</v>
      </c>
      <c r="DRU76" s="70">
        <v>0</v>
      </c>
      <c r="DRV76" s="70">
        <v>0</v>
      </c>
      <c r="DRW76" s="70">
        <v>0</v>
      </c>
      <c r="DRX76" s="70">
        <v>0</v>
      </c>
      <c r="DRY76" s="70">
        <v>0</v>
      </c>
      <c r="DRZ76" s="70">
        <v>0</v>
      </c>
      <c r="DSA76" s="70">
        <v>0</v>
      </c>
      <c r="DSB76" s="70">
        <v>0</v>
      </c>
      <c r="DSC76" s="70">
        <v>0</v>
      </c>
      <c r="DSD76" s="70">
        <v>0</v>
      </c>
      <c r="DSE76" s="70">
        <v>0</v>
      </c>
      <c r="DSF76" s="70">
        <v>0</v>
      </c>
      <c r="DSG76" s="70">
        <v>0</v>
      </c>
      <c r="DSH76" s="70">
        <v>0</v>
      </c>
      <c r="DSI76" s="70">
        <v>0</v>
      </c>
      <c r="DSJ76" s="70">
        <v>0</v>
      </c>
      <c r="DSK76" s="70">
        <v>0</v>
      </c>
      <c r="DSL76" s="70">
        <v>0</v>
      </c>
      <c r="DSM76" s="70">
        <v>0</v>
      </c>
      <c r="DSN76" s="70">
        <v>0</v>
      </c>
      <c r="DSO76" s="70">
        <v>0</v>
      </c>
      <c r="DSP76" s="70">
        <v>0</v>
      </c>
      <c r="DSQ76" s="70">
        <v>0</v>
      </c>
      <c r="DSR76" s="70">
        <v>0</v>
      </c>
      <c r="DSS76" s="70">
        <v>0</v>
      </c>
      <c r="DST76" s="70">
        <v>0</v>
      </c>
      <c r="DSU76" s="70">
        <v>0</v>
      </c>
      <c r="DSV76" s="70">
        <v>0</v>
      </c>
      <c r="DSW76" s="70">
        <v>0</v>
      </c>
      <c r="DSX76" s="70">
        <v>0</v>
      </c>
      <c r="DSY76" s="70">
        <v>0</v>
      </c>
      <c r="DSZ76" s="70">
        <v>0</v>
      </c>
      <c r="DTA76" s="70">
        <v>0</v>
      </c>
      <c r="DTB76" s="70">
        <v>0</v>
      </c>
      <c r="DTC76" s="70">
        <v>0</v>
      </c>
      <c r="DTD76" s="70">
        <v>0</v>
      </c>
      <c r="DTE76" s="70">
        <v>0</v>
      </c>
      <c r="DTF76" s="70">
        <v>0</v>
      </c>
      <c r="DTG76" s="70">
        <v>0</v>
      </c>
      <c r="DTH76" s="70">
        <v>0</v>
      </c>
      <c r="DTI76" s="70">
        <v>0</v>
      </c>
      <c r="DTJ76" s="70">
        <v>0</v>
      </c>
      <c r="DTK76" s="70">
        <v>0</v>
      </c>
      <c r="DTL76" s="70">
        <v>0</v>
      </c>
      <c r="DTM76" s="70">
        <v>0</v>
      </c>
      <c r="DTN76" s="70">
        <v>0</v>
      </c>
      <c r="DTO76" s="70">
        <v>0</v>
      </c>
      <c r="DTP76" s="70">
        <v>0</v>
      </c>
      <c r="DTQ76" s="70">
        <v>0</v>
      </c>
      <c r="DTR76" s="70">
        <v>0</v>
      </c>
      <c r="DTS76" s="70">
        <v>0</v>
      </c>
      <c r="DTT76" s="70">
        <v>0</v>
      </c>
      <c r="DTU76" s="70">
        <v>0</v>
      </c>
      <c r="DTV76" s="70">
        <v>0</v>
      </c>
      <c r="DTW76" s="70">
        <v>0</v>
      </c>
      <c r="DTX76" s="70">
        <v>0</v>
      </c>
      <c r="DTY76" s="70">
        <v>0</v>
      </c>
      <c r="DTZ76" s="70">
        <v>0</v>
      </c>
      <c r="DUA76" s="70">
        <v>0</v>
      </c>
      <c r="DUB76" s="70">
        <v>0</v>
      </c>
      <c r="DUC76" s="70">
        <v>0</v>
      </c>
      <c r="DUD76" s="70">
        <v>0</v>
      </c>
      <c r="DUE76" s="70">
        <v>0</v>
      </c>
      <c r="DUF76" s="70">
        <v>0</v>
      </c>
      <c r="DUG76" s="70">
        <v>0</v>
      </c>
      <c r="DUH76" s="70">
        <v>0</v>
      </c>
      <c r="DUI76" s="70">
        <v>0</v>
      </c>
      <c r="DUJ76" s="70">
        <v>0</v>
      </c>
      <c r="DUK76" s="70">
        <v>0</v>
      </c>
      <c r="DUL76" s="70">
        <v>0</v>
      </c>
      <c r="DUM76" s="70">
        <v>0</v>
      </c>
      <c r="DUN76" s="70">
        <v>0</v>
      </c>
      <c r="DUO76" s="70">
        <v>0</v>
      </c>
      <c r="DUP76" s="70">
        <v>0</v>
      </c>
      <c r="DUQ76" s="70">
        <v>0</v>
      </c>
      <c r="DUR76" s="70">
        <v>0</v>
      </c>
      <c r="DUS76" s="70">
        <v>0</v>
      </c>
      <c r="DUT76" s="70">
        <v>0</v>
      </c>
      <c r="DUU76" s="70">
        <v>0</v>
      </c>
      <c r="DUV76" s="70">
        <v>0</v>
      </c>
      <c r="DUW76" s="70">
        <v>0</v>
      </c>
      <c r="DUX76" s="70">
        <v>0</v>
      </c>
      <c r="DUY76" s="70">
        <v>0</v>
      </c>
      <c r="DUZ76" s="70">
        <v>0</v>
      </c>
      <c r="DVA76" s="70">
        <v>0</v>
      </c>
      <c r="DVB76" s="70">
        <v>0</v>
      </c>
      <c r="DVC76" s="70">
        <v>0</v>
      </c>
      <c r="DVD76" s="70">
        <v>0</v>
      </c>
      <c r="DVE76" s="70">
        <v>0</v>
      </c>
      <c r="DVF76" s="70">
        <v>0</v>
      </c>
      <c r="DVG76" s="70">
        <v>0</v>
      </c>
      <c r="DVH76" s="70">
        <v>0</v>
      </c>
      <c r="DVI76" s="70">
        <v>0</v>
      </c>
      <c r="DVJ76" s="70">
        <v>0</v>
      </c>
      <c r="DVK76" s="70">
        <v>0</v>
      </c>
      <c r="DVL76" s="70">
        <v>0</v>
      </c>
      <c r="DVM76" s="70">
        <v>0</v>
      </c>
      <c r="DVN76" s="70">
        <v>0</v>
      </c>
      <c r="DVO76" s="70">
        <v>0</v>
      </c>
      <c r="DVP76" s="70">
        <v>0</v>
      </c>
      <c r="DVQ76" s="70">
        <v>0</v>
      </c>
      <c r="DVR76" s="70">
        <v>0</v>
      </c>
      <c r="DVS76" s="70">
        <v>0</v>
      </c>
      <c r="DVT76" s="70">
        <v>0</v>
      </c>
      <c r="DVU76" s="70">
        <v>0</v>
      </c>
      <c r="DVV76" s="70">
        <v>0</v>
      </c>
      <c r="DVW76" s="70">
        <v>0</v>
      </c>
      <c r="DVX76" s="70">
        <v>0</v>
      </c>
      <c r="DVY76" s="70">
        <v>0</v>
      </c>
      <c r="DVZ76" s="70">
        <v>0</v>
      </c>
      <c r="DWA76" s="70">
        <v>0</v>
      </c>
      <c r="DWB76" s="70">
        <v>0</v>
      </c>
      <c r="DWC76" s="70">
        <v>0</v>
      </c>
      <c r="DWD76" s="70">
        <v>0</v>
      </c>
      <c r="DWE76" s="70">
        <v>0</v>
      </c>
      <c r="DWF76" s="70">
        <v>0</v>
      </c>
      <c r="DWG76" s="70">
        <v>0</v>
      </c>
      <c r="DWH76" s="70">
        <v>0</v>
      </c>
      <c r="DWI76" s="70">
        <v>0</v>
      </c>
      <c r="DWJ76" s="70">
        <v>0</v>
      </c>
      <c r="DWK76" s="70">
        <v>0</v>
      </c>
      <c r="DWL76" s="70">
        <v>0</v>
      </c>
      <c r="DWM76" s="70">
        <v>0</v>
      </c>
      <c r="DWN76" s="70">
        <v>0</v>
      </c>
      <c r="DWO76" s="70">
        <v>0</v>
      </c>
      <c r="DWP76" s="70">
        <v>0</v>
      </c>
      <c r="DWQ76" s="70">
        <v>0</v>
      </c>
      <c r="DWR76" s="70">
        <v>0</v>
      </c>
      <c r="DWS76" s="70">
        <v>0</v>
      </c>
      <c r="DWT76" s="70">
        <v>0</v>
      </c>
      <c r="DWU76" s="70">
        <v>0</v>
      </c>
      <c r="DWV76" s="70">
        <v>0</v>
      </c>
      <c r="DWW76" s="70">
        <v>0</v>
      </c>
      <c r="DWX76" s="70">
        <v>0</v>
      </c>
      <c r="DWY76" s="70">
        <v>0</v>
      </c>
      <c r="DWZ76" s="70">
        <v>0</v>
      </c>
      <c r="DXA76" s="70">
        <v>0</v>
      </c>
      <c r="DXB76" s="70">
        <v>0</v>
      </c>
      <c r="DXC76" s="70">
        <v>0</v>
      </c>
      <c r="DXD76" s="70">
        <v>0</v>
      </c>
      <c r="DXE76" s="70">
        <v>0</v>
      </c>
      <c r="DXF76" s="70">
        <v>0</v>
      </c>
      <c r="DXG76" s="70">
        <v>0</v>
      </c>
      <c r="DXH76" s="70">
        <v>0</v>
      </c>
      <c r="DXI76" s="70">
        <v>0</v>
      </c>
      <c r="DXJ76" s="70">
        <v>0</v>
      </c>
      <c r="DXK76" s="70">
        <v>0</v>
      </c>
      <c r="DXL76" s="70">
        <v>0</v>
      </c>
      <c r="DXM76" s="70">
        <v>0</v>
      </c>
      <c r="DXN76" s="70">
        <v>0</v>
      </c>
      <c r="DXO76" s="70">
        <v>0</v>
      </c>
      <c r="DXP76" s="70">
        <v>0</v>
      </c>
      <c r="DXQ76" s="70">
        <v>0</v>
      </c>
      <c r="DXR76" s="70">
        <v>0</v>
      </c>
      <c r="DXS76" s="70">
        <v>0</v>
      </c>
      <c r="DXT76" s="70">
        <v>0</v>
      </c>
      <c r="DXU76" s="70">
        <v>0</v>
      </c>
      <c r="DXV76" s="70">
        <v>0</v>
      </c>
      <c r="DXW76" s="70">
        <v>0</v>
      </c>
      <c r="DXX76" s="70">
        <v>0</v>
      </c>
      <c r="DXY76" s="70">
        <v>0</v>
      </c>
      <c r="DXZ76" s="70">
        <v>0</v>
      </c>
      <c r="DYA76" s="70">
        <v>0</v>
      </c>
      <c r="DYB76" s="70">
        <v>0</v>
      </c>
      <c r="DYC76" s="70">
        <v>0</v>
      </c>
      <c r="DYD76" s="70">
        <v>0</v>
      </c>
      <c r="DYE76" s="70">
        <v>0</v>
      </c>
      <c r="DYF76" s="70">
        <v>0</v>
      </c>
      <c r="DYG76" s="70">
        <v>0</v>
      </c>
      <c r="DYH76" s="70">
        <v>0</v>
      </c>
      <c r="DYI76" s="70">
        <v>0</v>
      </c>
      <c r="DYJ76" s="70">
        <v>0</v>
      </c>
      <c r="DYK76" s="70">
        <v>0</v>
      </c>
      <c r="DYL76" s="70">
        <v>0</v>
      </c>
      <c r="DYM76" s="70">
        <v>0</v>
      </c>
      <c r="DYN76" s="70">
        <v>0</v>
      </c>
      <c r="DYO76" s="70">
        <v>0</v>
      </c>
      <c r="DYP76" s="70">
        <v>0</v>
      </c>
      <c r="DYQ76" s="70">
        <v>0</v>
      </c>
      <c r="DYR76" s="70">
        <v>0</v>
      </c>
      <c r="DYS76" s="70">
        <v>0</v>
      </c>
      <c r="DYT76" s="70">
        <v>0</v>
      </c>
      <c r="DYU76" s="70">
        <v>0</v>
      </c>
      <c r="DYV76" s="70">
        <v>0</v>
      </c>
      <c r="DYW76" s="70">
        <v>0</v>
      </c>
      <c r="DYX76" s="70">
        <v>0</v>
      </c>
      <c r="DYY76" s="70">
        <v>0</v>
      </c>
      <c r="DYZ76" s="70">
        <v>0</v>
      </c>
      <c r="DZA76" s="70">
        <v>0</v>
      </c>
      <c r="DZB76" s="70">
        <v>0</v>
      </c>
      <c r="DZC76" s="70">
        <v>0</v>
      </c>
      <c r="DZD76" s="70">
        <v>0</v>
      </c>
      <c r="DZE76" s="70">
        <v>0</v>
      </c>
      <c r="DZF76" s="70">
        <v>0</v>
      </c>
      <c r="DZG76" s="70">
        <v>0</v>
      </c>
      <c r="DZH76" s="70">
        <v>0</v>
      </c>
      <c r="DZI76" s="70">
        <v>0</v>
      </c>
      <c r="DZJ76" s="70">
        <v>0</v>
      </c>
      <c r="DZK76" s="70">
        <v>0</v>
      </c>
      <c r="DZL76" s="70">
        <v>0</v>
      </c>
      <c r="DZM76" s="70">
        <v>0</v>
      </c>
      <c r="DZN76" s="70">
        <v>0</v>
      </c>
      <c r="DZO76" s="70">
        <v>0</v>
      </c>
      <c r="DZP76" s="70">
        <v>0</v>
      </c>
      <c r="DZQ76" s="70">
        <v>0</v>
      </c>
      <c r="DZR76" s="70">
        <v>0</v>
      </c>
      <c r="DZS76" s="70">
        <v>0</v>
      </c>
      <c r="DZT76" s="70">
        <v>0</v>
      </c>
      <c r="DZU76" s="70">
        <v>0</v>
      </c>
      <c r="DZV76" s="70">
        <v>0</v>
      </c>
      <c r="DZW76" s="70">
        <v>0</v>
      </c>
      <c r="DZX76" s="70">
        <v>0</v>
      </c>
      <c r="DZY76" s="70">
        <v>0</v>
      </c>
      <c r="DZZ76" s="70">
        <v>0</v>
      </c>
      <c r="EAA76" s="70">
        <v>0</v>
      </c>
      <c r="EAB76" s="70">
        <v>0</v>
      </c>
      <c r="EAC76" s="70">
        <v>0</v>
      </c>
      <c r="EAD76" s="70">
        <v>0</v>
      </c>
      <c r="EAE76" s="70">
        <v>0</v>
      </c>
      <c r="EAF76" s="70">
        <v>0</v>
      </c>
      <c r="EAG76" s="70">
        <v>0</v>
      </c>
      <c r="EAH76" s="70">
        <v>0</v>
      </c>
      <c r="EAI76" s="70">
        <v>0</v>
      </c>
      <c r="EAJ76" s="70">
        <v>0</v>
      </c>
      <c r="EAK76" s="70">
        <v>0</v>
      </c>
      <c r="EAL76" s="70">
        <v>0</v>
      </c>
      <c r="EAM76" s="70">
        <v>0</v>
      </c>
      <c r="EAN76" s="70">
        <v>0</v>
      </c>
      <c r="EAO76" s="70">
        <v>0</v>
      </c>
      <c r="EAP76" s="70">
        <v>0</v>
      </c>
      <c r="EAQ76" s="70">
        <v>0</v>
      </c>
      <c r="EAR76" s="70">
        <v>0</v>
      </c>
      <c r="EAS76" s="70">
        <v>0</v>
      </c>
      <c r="EAT76" s="70">
        <v>0</v>
      </c>
      <c r="EAU76" s="70">
        <v>0</v>
      </c>
      <c r="EAV76" s="70">
        <v>0</v>
      </c>
      <c r="EAW76" s="70">
        <v>0</v>
      </c>
      <c r="EAX76" s="70">
        <v>0</v>
      </c>
      <c r="EAY76" s="70">
        <v>0</v>
      </c>
      <c r="EAZ76" s="70">
        <v>0</v>
      </c>
      <c r="EBA76" s="70">
        <v>0</v>
      </c>
      <c r="EBB76" s="70">
        <v>0</v>
      </c>
      <c r="EBC76" s="70">
        <v>0</v>
      </c>
      <c r="EBD76" s="70">
        <v>0</v>
      </c>
      <c r="EBE76" s="70">
        <v>0</v>
      </c>
      <c r="EBF76" s="70">
        <v>0</v>
      </c>
      <c r="EBG76" s="70">
        <v>0</v>
      </c>
      <c r="EBH76" s="70">
        <v>0</v>
      </c>
      <c r="EBI76" s="70">
        <v>0</v>
      </c>
      <c r="EBJ76" s="70">
        <v>0</v>
      </c>
      <c r="EBK76" s="70">
        <v>0</v>
      </c>
      <c r="EBL76" s="70">
        <v>0</v>
      </c>
      <c r="EBM76" s="70">
        <v>0</v>
      </c>
      <c r="EBN76" s="70">
        <v>0</v>
      </c>
      <c r="EBO76" s="70">
        <v>0</v>
      </c>
      <c r="EBP76" s="70">
        <v>0</v>
      </c>
      <c r="EBQ76" s="70">
        <v>0</v>
      </c>
      <c r="EBR76" s="70">
        <v>0</v>
      </c>
      <c r="EBS76" s="70">
        <v>0</v>
      </c>
      <c r="EBT76" s="70">
        <v>0</v>
      </c>
      <c r="EBU76" s="70">
        <v>0</v>
      </c>
      <c r="EBV76" s="70">
        <v>0</v>
      </c>
      <c r="EBW76" s="70">
        <v>0</v>
      </c>
      <c r="EBX76" s="70">
        <v>0</v>
      </c>
      <c r="EBY76" s="70">
        <v>0</v>
      </c>
      <c r="EBZ76" s="70">
        <v>0</v>
      </c>
      <c r="ECA76" s="70">
        <v>0</v>
      </c>
      <c r="ECB76" s="70">
        <v>0</v>
      </c>
      <c r="ECC76" s="70">
        <v>0</v>
      </c>
      <c r="ECD76" s="70">
        <v>0</v>
      </c>
      <c r="ECE76" s="70">
        <v>0</v>
      </c>
      <c r="ECF76" s="70">
        <v>0</v>
      </c>
      <c r="ECG76" s="70">
        <v>0</v>
      </c>
      <c r="ECH76" s="70">
        <v>0</v>
      </c>
      <c r="ECI76" s="70">
        <v>0</v>
      </c>
      <c r="ECJ76" s="70">
        <v>0</v>
      </c>
      <c r="ECK76" s="70">
        <v>0</v>
      </c>
      <c r="ECL76" s="70">
        <v>0</v>
      </c>
      <c r="ECM76" s="70">
        <v>0</v>
      </c>
      <c r="ECN76" s="70">
        <v>0</v>
      </c>
      <c r="ECO76" s="70">
        <v>0</v>
      </c>
      <c r="ECP76" s="70">
        <v>0</v>
      </c>
      <c r="ECQ76" s="70">
        <v>0</v>
      </c>
      <c r="ECR76" s="70">
        <v>0</v>
      </c>
      <c r="ECS76" s="70">
        <v>0</v>
      </c>
      <c r="ECT76" s="70">
        <v>0</v>
      </c>
      <c r="ECU76" s="70">
        <v>0</v>
      </c>
      <c r="ECV76" s="70">
        <v>0</v>
      </c>
      <c r="ECW76" s="70">
        <v>0</v>
      </c>
      <c r="ECX76" s="70">
        <v>0</v>
      </c>
      <c r="ECY76" s="70">
        <v>0</v>
      </c>
      <c r="ECZ76" s="70">
        <v>0</v>
      </c>
      <c r="EDA76" s="70">
        <v>0</v>
      </c>
      <c r="EDB76" s="70">
        <v>0</v>
      </c>
      <c r="EDC76" s="70">
        <v>0</v>
      </c>
      <c r="EDD76" s="70">
        <v>0</v>
      </c>
      <c r="EDE76" s="70">
        <v>0</v>
      </c>
      <c r="EDF76" s="70">
        <v>0</v>
      </c>
      <c r="EDG76" s="70">
        <v>0</v>
      </c>
      <c r="EDH76" s="70">
        <v>0</v>
      </c>
      <c r="EDI76" s="70">
        <v>0</v>
      </c>
      <c r="EDJ76" s="70">
        <v>0</v>
      </c>
      <c r="EDK76" s="70">
        <v>0</v>
      </c>
      <c r="EDL76" s="70">
        <v>0</v>
      </c>
      <c r="EDM76" s="70">
        <v>0</v>
      </c>
      <c r="EDN76" s="70">
        <v>0</v>
      </c>
      <c r="EDO76" s="70">
        <v>0</v>
      </c>
      <c r="EDP76" s="70">
        <v>0</v>
      </c>
      <c r="EDQ76" s="70">
        <v>0</v>
      </c>
      <c r="EDR76" s="70">
        <v>0</v>
      </c>
      <c r="EDS76" s="70">
        <v>0</v>
      </c>
      <c r="EDT76" s="70">
        <v>0</v>
      </c>
      <c r="EDU76" s="70">
        <v>0</v>
      </c>
      <c r="EDV76" s="70">
        <v>0</v>
      </c>
      <c r="EDW76" s="70">
        <v>0</v>
      </c>
      <c r="EDX76" s="70">
        <v>0</v>
      </c>
      <c r="EDY76" s="70">
        <v>0</v>
      </c>
      <c r="EDZ76" s="70">
        <v>0</v>
      </c>
      <c r="EEA76" s="70">
        <v>0</v>
      </c>
      <c r="EEB76" s="70">
        <v>0</v>
      </c>
      <c r="EEC76" s="70">
        <v>0</v>
      </c>
      <c r="EED76" s="70">
        <v>0</v>
      </c>
      <c r="EEE76" s="70">
        <v>0</v>
      </c>
      <c r="EEF76" s="70">
        <v>0</v>
      </c>
      <c r="EEG76" s="70">
        <v>0</v>
      </c>
      <c r="EEH76" s="70">
        <v>0</v>
      </c>
      <c r="EEI76" s="70">
        <v>0</v>
      </c>
      <c r="EEJ76" s="70">
        <v>0</v>
      </c>
      <c r="EEK76" s="70">
        <v>0</v>
      </c>
      <c r="EEL76" s="70">
        <v>0</v>
      </c>
      <c r="EEM76" s="70">
        <v>0</v>
      </c>
      <c r="EEN76" s="70">
        <v>0</v>
      </c>
      <c r="EEO76" s="70">
        <v>0</v>
      </c>
      <c r="EEP76" s="70">
        <v>0</v>
      </c>
      <c r="EEQ76" s="70">
        <v>0</v>
      </c>
      <c r="EER76" s="70">
        <v>0</v>
      </c>
      <c r="EES76" s="70">
        <v>0</v>
      </c>
      <c r="EET76" s="70">
        <v>0</v>
      </c>
      <c r="EEU76" s="70">
        <v>0</v>
      </c>
      <c r="EEV76" s="70">
        <v>0</v>
      </c>
      <c r="EEW76" s="70">
        <v>0</v>
      </c>
      <c r="EEX76" s="70">
        <v>0</v>
      </c>
      <c r="EEY76" s="70">
        <v>0</v>
      </c>
      <c r="EEZ76" s="70">
        <v>0</v>
      </c>
      <c r="EFA76" s="70">
        <v>0</v>
      </c>
      <c r="EFB76" s="70">
        <v>0</v>
      </c>
      <c r="EFC76" s="70">
        <v>0</v>
      </c>
      <c r="EFD76" s="70">
        <v>0</v>
      </c>
      <c r="EFE76" s="70">
        <v>0</v>
      </c>
      <c r="EFF76" s="70">
        <v>0</v>
      </c>
      <c r="EFG76" s="70">
        <v>0</v>
      </c>
      <c r="EFH76" s="70">
        <v>0</v>
      </c>
      <c r="EFI76" s="70">
        <v>0</v>
      </c>
      <c r="EFJ76" s="70">
        <v>0</v>
      </c>
      <c r="EFK76" s="70">
        <v>0</v>
      </c>
      <c r="EFL76" s="70">
        <v>0</v>
      </c>
      <c r="EFM76" s="70">
        <v>0</v>
      </c>
      <c r="EFN76" s="70">
        <v>0</v>
      </c>
      <c r="EFO76" s="70">
        <v>0</v>
      </c>
      <c r="EFP76" s="70">
        <v>0</v>
      </c>
      <c r="EFQ76" s="70">
        <v>0</v>
      </c>
      <c r="EFR76" s="70">
        <v>0</v>
      </c>
      <c r="EFS76" s="70">
        <v>0</v>
      </c>
      <c r="EFT76" s="70">
        <v>0</v>
      </c>
      <c r="EFU76" s="70">
        <v>0</v>
      </c>
      <c r="EFV76" s="70">
        <v>0</v>
      </c>
      <c r="EFW76" s="70">
        <v>0</v>
      </c>
      <c r="EFX76" s="70">
        <v>0</v>
      </c>
      <c r="EFY76" s="70">
        <v>0</v>
      </c>
      <c r="EFZ76" s="70">
        <v>0</v>
      </c>
      <c r="EGA76" s="70">
        <v>0</v>
      </c>
      <c r="EGB76" s="70">
        <v>0</v>
      </c>
      <c r="EGC76" s="70">
        <v>0</v>
      </c>
      <c r="EGD76" s="70">
        <v>0</v>
      </c>
      <c r="EGE76" s="70">
        <v>0</v>
      </c>
      <c r="EGF76" s="70">
        <v>0</v>
      </c>
      <c r="EGG76" s="70">
        <v>0</v>
      </c>
      <c r="EGH76" s="70">
        <v>0</v>
      </c>
      <c r="EGI76" s="70">
        <v>0</v>
      </c>
      <c r="EGJ76" s="70">
        <v>0</v>
      </c>
      <c r="EGK76" s="70">
        <v>0</v>
      </c>
      <c r="EGL76" s="70">
        <v>0</v>
      </c>
      <c r="EGM76" s="70">
        <v>0</v>
      </c>
      <c r="EGN76" s="70">
        <v>0</v>
      </c>
      <c r="EGO76" s="70">
        <v>0</v>
      </c>
      <c r="EGP76" s="70">
        <v>0</v>
      </c>
      <c r="EGQ76" s="70">
        <v>0</v>
      </c>
      <c r="EGR76" s="70">
        <v>0</v>
      </c>
      <c r="EGS76" s="70">
        <v>0</v>
      </c>
      <c r="EGT76" s="70">
        <v>0</v>
      </c>
      <c r="EGU76" s="70">
        <v>0</v>
      </c>
      <c r="EGV76" s="70">
        <v>0</v>
      </c>
      <c r="EGW76" s="70">
        <v>0</v>
      </c>
      <c r="EGX76" s="70">
        <v>0</v>
      </c>
      <c r="EGY76" s="70">
        <v>0</v>
      </c>
      <c r="EGZ76" s="70">
        <v>0</v>
      </c>
      <c r="EHA76" s="70">
        <v>0</v>
      </c>
      <c r="EHB76" s="70">
        <v>0</v>
      </c>
      <c r="EHC76" s="70">
        <v>0</v>
      </c>
      <c r="EHD76" s="70">
        <v>0</v>
      </c>
      <c r="EHE76" s="70">
        <v>0</v>
      </c>
      <c r="EHF76" s="70">
        <v>0</v>
      </c>
      <c r="EHG76" s="70">
        <v>0</v>
      </c>
      <c r="EHH76" s="70">
        <v>0</v>
      </c>
      <c r="EHI76" s="70">
        <v>0</v>
      </c>
      <c r="EHJ76" s="70">
        <v>0</v>
      </c>
      <c r="EHK76" s="70">
        <v>0</v>
      </c>
      <c r="EHL76" s="70">
        <v>0</v>
      </c>
      <c r="EHM76" s="70">
        <v>0</v>
      </c>
      <c r="EHN76" s="70">
        <v>0</v>
      </c>
      <c r="EHO76" s="70">
        <v>0</v>
      </c>
      <c r="EHP76" s="70">
        <v>0</v>
      </c>
      <c r="EHQ76" s="70">
        <v>0</v>
      </c>
      <c r="EHR76" s="70">
        <v>0</v>
      </c>
      <c r="EHS76" s="70">
        <v>0</v>
      </c>
      <c r="EHT76" s="70">
        <v>0</v>
      </c>
      <c r="EHU76" s="70">
        <v>0</v>
      </c>
      <c r="EHV76" s="70">
        <v>0</v>
      </c>
      <c r="EHW76" s="70">
        <v>0</v>
      </c>
      <c r="EHX76" s="70">
        <v>0</v>
      </c>
      <c r="EHY76" s="70">
        <v>0</v>
      </c>
      <c r="EHZ76" s="70">
        <v>0</v>
      </c>
      <c r="EIA76" s="70">
        <v>0</v>
      </c>
      <c r="EIB76" s="70">
        <v>0</v>
      </c>
      <c r="EIC76" s="70">
        <v>0</v>
      </c>
      <c r="EID76" s="70">
        <v>0</v>
      </c>
      <c r="EIE76" s="70">
        <v>0</v>
      </c>
      <c r="EIF76" s="70">
        <v>0</v>
      </c>
      <c r="EIG76" s="70">
        <v>0</v>
      </c>
      <c r="EIH76" s="70">
        <v>0</v>
      </c>
      <c r="EII76" s="70">
        <v>0</v>
      </c>
      <c r="EIJ76" s="70">
        <v>0</v>
      </c>
      <c r="EIK76" s="70">
        <v>0</v>
      </c>
      <c r="EIL76" s="70">
        <v>0</v>
      </c>
      <c r="EIM76" s="70">
        <v>0</v>
      </c>
      <c r="EIN76" s="70">
        <v>0</v>
      </c>
      <c r="EIO76" s="70">
        <v>0</v>
      </c>
      <c r="EIP76" s="70">
        <v>0</v>
      </c>
      <c r="EIQ76" s="70">
        <v>0</v>
      </c>
      <c r="EIR76" s="70">
        <v>0</v>
      </c>
      <c r="EIS76" s="70">
        <v>0</v>
      </c>
      <c r="EIT76" s="70">
        <v>0</v>
      </c>
      <c r="EIU76" s="70">
        <v>0</v>
      </c>
      <c r="EIV76" s="70">
        <v>0</v>
      </c>
      <c r="EIW76" s="70">
        <v>0</v>
      </c>
      <c r="EIX76" s="70">
        <v>0</v>
      </c>
      <c r="EIY76" s="70">
        <v>0</v>
      </c>
      <c r="EIZ76" s="70">
        <v>0</v>
      </c>
      <c r="EJA76" s="70">
        <v>0</v>
      </c>
      <c r="EJB76" s="70">
        <v>0</v>
      </c>
      <c r="EJC76" s="70">
        <v>0</v>
      </c>
      <c r="EJD76" s="70">
        <v>0</v>
      </c>
      <c r="EJE76" s="70">
        <v>0</v>
      </c>
      <c r="EJF76" s="70">
        <v>0</v>
      </c>
      <c r="EJG76" s="70">
        <v>0</v>
      </c>
      <c r="EJH76" s="70">
        <v>0</v>
      </c>
      <c r="EJI76" s="70">
        <v>0</v>
      </c>
      <c r="EJJ76" s="70">
        <v>0</v>
      </c>
      <c r="EJK76" s="70">
        <v>0</v>
      </c>
      <c r="EJL76" s="70">
        <v>0</v>
      </c>
      <c r="EJM76" s="70">
        <v>0</v>
      </c>
      <c r="EJN76" s="70">
        <v>0</v>
      </c>
      <c r="EJO76" s="70">
        <v>0</v>
      </c>
      <c r="EJP76" s="70">
        <v>0</v>
      </c>
      <c r="EJQ76" s="70">
        <v>0</v>
      </c>
      <c r="EJR76" s="70">
        <v>0</v>
      </c>
      <c r="EJS76" s="70">
        <v>0</v>
      </c>
      <c r="EJT76" s="70">
        <v>0</v>
      </c>
      <c r="EJU76" s="70">
        <v>0</v>
      </c>
      <c r="EJV76" s="70">
        <v>0</v>
      </c>
      <c r="EJW76" s="70">
        <v>0</v>
      </c>
      <c r="EJX76" s="70">
        <v>0</v>
      </c>
      <c r="EJY76" s="70">
        <v>0</v>
      </c>
      <c r="EJZ76" s="70">
        <v>0</v>
      </c>
      <c r="EKA76" s="70">
        <v>0</v>
      </c>
      <c r="EKB76" s="70">
        <v>0</v>
      </c>
      <c r="EKC76" s="70">
        <v>0</v>
      </c>
      <c r="EKD76" s="70">
        <v>0</v>
      </c>
      <c r="EKE76" s="70">
        <v>0</v>
      </c>
      <c r="EKF76" s="70">
        <v>0</v>
      </c>
      <c r="EKG76" s="70">
        <v>0</v>
      </c>
      <c r="EKH76" s="70">
        <v>0</v>
      </c>
      <c r="EKI76" s="70">
        <v>0</v>
      </c>
      <c r="EKJ76" s="70">
        <v>0</v>
      </c>
      <c r="EKK76" s="70">
        <v>0</v>
      </c>
      <c r="EKL76" s="70">
        <v>0</v>
      </c>
      <c r="EKM76" s="70">
        <v>0</v>
      </c>
      <c r="EKN76" s="70">
        <v>0</v>
      </c>
      <c r="EKO76" s="70">
        <v>0</v>
      </c>
      <c r="EKP76" s="70">
        <v>0</v>
      </c>
      <c r="EKQ76" s="70">
        <v>0</v>
      </c>
      <c r="EKR76" s="70">
        <v>0</v>
      </c>
      <c r="EKS76" s="70">
        <v>0</v>
      </c>
      <c r="EKT76" s="70">
        <v>0</v>
      </c>
      <c r="EKU76" s="70">
        <v>0</v>
      </c>
      <c r="EKV76" s="70">
        <v>0</v>
      </c>
      <c r="EKW76" s="70">
        <v>0</v>
      </c>
      <c r="EKX76" s="70">
        <v>0</v>
      </c>
      <c r="EKY76" s="70">
        <v>0</v>
      </c>
      <c r="EKZ76" s="70">
        <v>0</v>
      </c>
      <c r="ELA76" s="70">
        <v>0</v>
      </c>
      <c r="ELB76" s="70">
        <v>0</v>
      </c>
      <c r="ELC76" s="70">
        <v>0</v>
      </c>
      <c r="ELD76" s="70">
        <v>0</v>
      </c>
      <c r="ELE76" s="70">
        <v>0</v>
      </c>
      <c r="ELF76" s="70">
        <v>0</v>
      </c>
      <c r="ELG76" s="70">
        <v>0</v>
      </c>
      <c r="ELH76" s="70">
        <v>0</v>
      </c>
      <c r="ELI76" s="70">
        <v>0</v>
      </c>
      <c r="ELJ76" s="70">
        <v>0</v>
      </c>
      <c r="ELK76" s="70">
        <v>0</v>
      </c>
      <c r="ELL76" s="70">
        <v>0</v>
      </c>
      <c r="ELM76" s="70">
        <v>0</v>
      </c>
      <c r="ELN76" s="70">
        <v>0</v>
      </c>
      <c r="ELO76" s="70">
        <v>0</v>
      </c>
      <c r="ELP76" s="70">
        <v>0</v>
      </c>
      <c r="ELQ76" s="70">
        <v>0</v>
      </c>
      <c r="ELR76" s="70">
        <v>0</v>
      </c>
      <c r="ELS76" s="70">
        <v>0</v>
      </c>
      <c r="ELT76" s="70">
        <v>0</v>
      </c>
      <c r="ELU76" s="70">
        <v>0</v>
      </c>
      <c r="ELV76" s="70">
        <v>0</v>
      </c>
      <c r="ELW76" s="70">
        <v>0</v>
      </c>
      <c r="ELX76" s="70">
        <v>0</v>
      </c>
      <c r="ELY76" s="70">
        <v>0</v>
      </c>
      <c r="ELZ76" s="70">
        <v>0</v>
      </c>
      <c r="EMA76" s="70">
        <v>0</v>
      </c>
      <c r="EMB76" s="70">
        <v>0</v>
      </c>
      <c r="EMC76" s="70">
        <v>0</v>
      </c>
      <c r="EMD76" s="70">
        <v>0</v>
      </c>
      <c r="EME76" s="70">
        <v>0</v>
      </c>
      <c r="EMF76" s="70">
        <v>0</v>
      </c>
      <c r="EMG76" s="70">
        <v>0</v>
      </c>
      <c r="EMH76" s="70">
        <v>0</v>
      </c>
      <c r="EMI76" s="70">
        <v>0</v>
      </c>
      <c r="EMJ76" s="70">
        <v>0</v>
      </c>
      <c r="EMK76" s="70">
        <v>0</v>
      </c>
      <c r="EML76" s="70">
        <v>0</v>
      </c>
      <c r="EMM76" s="70">
        <v>0</v>
      </c>
      <c r="EMN76" s="70">
        <v>0</v>
      </c>
      <c r="EMO76" s="70">
        <v>0</v>
      </c>
      <c r="EMP76" s="70">
        <v>0</v>
      </c>
      <c r="EMQ76" s="70">
        <v>0</v>
      </c>
      <c r="EMR76" s="70">
        <v>0</v>
      </c>
      <c r="EMS76" s="70">
        <v>0</v>
      </c>
      <c r="EMT76" s="70">
        <v>0</v>
      </c>
      <c r="EMU76" s="70">
        <v>0</v>
      </c>
      <c r="EMV76" s="70">
        <v>0</v>
      </c>
      <c r="EMW76" s="70">
        <v>0</v>
      </c>
      <c r="EMX76" s="70">
        <v>0</v>
      </c>
      <c r="EMY76" s="70">
        <v>0</v>
      </c>
      <c r="EMZ76" s="70">
        <v>0</v>
      </c>
      <c r="ENA76" s="70">
        <v>0</v>
      </c>
      <c r="ENB76" s="70">
        <v>0</v>
      </c>
      <c r="ENC76" s="70">
        <v>0</v>
      </c>
      <c r="END76" s="70">
        <v>0</v>
      </c>
      <c r="ENE76" s="70">
        <v>0</v>
      </c>
      <c r="ENF76" s="70">
        <v>0</v>
      </c>
      <c r="ENG76" s="70">
        <v>0</v>
      </c>
      <c r="ENH76" s="70">
        <v>0</v>
      </c>
      <c r="ENI76" s="70">
        <v>0</v>
      </c>
      <c r="ENJ76" s="70">
        <v>0</v>
      </c>
      <c r="ENK76" s="70">
        <v>0</v>
      </c>
      <c r="ENL76" s="70">
        <v>0</v>
      </c>
      <c r="ENM76" s="70">
        <v>0</v>
      </c>
      <c r="ENN76" s="70">
        <v>0</v>
      </c>
      <c r="ENO76" s="70">
        <v>0</v>
      </c>
      <c r="ENP76" s="70">
        <v>0</v>
      </c>
      <c r="ENQ76" s="70">
        <v>0</v>
      </c>
      <c r="ENR76" s="70">
        <v>0</v>
      </c>
      <c r="ENS76" s="70">
        <v>0</v>
      </c>
      <c r="ENT76" s="70">
        <v>0</v>
      </c>
      <c r="ENU76" s="70">
        <v>0</v>
      </c>
      <c r="ENV76" s="70">
        <v>0</v>
      </c>
      <c r="ENW76" s="70">
        <v>0</v>
      </c>
      <c r="ENX76" s="70">
        <v>0</v>
      </c>
      <c r="ENY76" s="70">
        <v>0</v>
      </c>
      <c r="ENZ76" s="70">
        <v>0</v>
      </c>
      <c r="EOA76" s="70">
        <v>0</v>
      </c>
      <c r="EOB76" s="70">
        <v>0</v>
      </c>
      <c r="EOC76" s="70">
        <v>0</v>
      </c>
      <c r="EOD76" s="70">
        <v>0</v>
      </c>
      <c r="EOE76" s="70">
        <v>0</v>
      </c>
      <c r="EOF76" s="70">
        <v>0</v>
      </c>
      <c r="EOG76" s="70">
        <v>0</v>
      </c>
      <c r="EOH76" s="70">
        <v>0</v>
      </c>
      <c r="EOI76" s="70">
        <v>0</v>
      </c>
      <c r="EOJ76" s="70">
        <v>0</v>
      </c>
      <c r="EOK76" s="70">
        <v>0</v>
      </c>
      <c r="EOL76" s="70">
        <v>0</v>
      </c>
      <c r="EOM76" s="70">
        <v>0</v>
      </c>
      <c r="EON76" s="70">
        <v>0</v>
      </c>
      <c r="EOO76" s="70">
        <v>0</v>
      </c>
      <c r="EOP76" s="70">
        <v>0</v>
      </c>
      <c r="EOQ76" s="70">
        <v>0</v>
      </c>
      <c r="EOR76" s="70">
        <v>0</v>
      </c>
      <c r="EOS76" s="70">
        <v>0</v>
      </c>
      <c r="EOT76" s="70">
        <v>0</v>
      </c>
      <c r="EOU76" s="70">
        <v>0</v>
      </c>
      <c r="EOV76" s="70">
        <v>0</v>
      </c>
      <c r="EOW76" s="70">
        <v>0</v>
      </c>
      <c r="EOX76" s="70">
        <v>0</v>
      </c>
      <c r="EOY76" s="70">
        <v>0</v>
      </c>
      <c r="EOZ76" s="70">
        <v>0</v>
      </c>
      <c r="EPA76" s="70">
        <v>0</v>
      </c>
      <c r="EPB76" s="70">
        <v>0</v>
      </c>
      <c r="EPC76" s="70">
        <v>0</v>
      </c>
      <c r="EPD76" s="70">
        <v>0</v>
      </c>
      <c r="EPE76" s="70">
        <v>0</v>
      </c>
      <c r="EPF76" s="70">
        <v>0</v>
      </c>
      <c r="EPG76" s="70">
        <v>0</v>
      </c>
      <c r="EPH76" s="70">
        <v>0</v>
      </c>
      <c r="EPI76" s="70">
        <v>0</v>
      </c>
      <c r="EPJ76" s="70">
        <v>0</v>
      </c>
      <c r="EPK76" s="70">
        <v>0</v>
      </c>
      <c r="EPL76" s="70">
        <v>0</v>
      </c>
      <c r="EPM76" s="70">
        <v>0</v>
      </c>
      <c r="EPN76" s="70">
        <v>0</v>
      </c>
      <c r="EPO76" s="70">
        <v>0</v>
      </c>
      <c r="EPP76" s="70">
        <v>0</v>
      </c>
      <c r="EPQ76" s="70">
        <v>0</v>
      </c>
      <c r="EPR76" s="70">
        <v>0</v>
      </c>
      <c r="EPS76" s="70">
        <v>0</v>
      </c>
      <c r="EPT76" s="70">
        <v>0</v>
      </c>
      <c r="EPU76" s="70">
        <v>0</v>
      </c>
      <c r="EPV76" s="70">
        <v>0</v>
      </c>
      <c r="EPW76" s="70">
        <v>0</v>
      </c>
      <c r="EPX76" s="70">
        <v>0</v>
      </c>
      <c r="EPY76" s="70">
        <v>0</v>
      </c>
      <c r="EPZ76" s="70">
        <v>0</v>
      </c>
      <c r="EQA76" s="70">
        <v>0</v>
      </c>
      <c r="EQB76" s="70">
        <v>0</v>
      </c>
      <c r="EQC76" s="70">
        <v>0</v>
      </c>
      <c r="EQD76" s="70">
        <v>0</v>
      </c>
      <c r="EQE76" s="70">
        <v>0</v>
      </c>
      <c r="EQF76" s="70">
        <v>0</v>
      </c>
      <c r="EQG76" s="70">
        <v>0</v>
      </c>
      <c r="EQH76" s="70">
        <v>0</v>
      </c>
      <c r="EQI76" s="70">
        <v>0</v>
      </c>
      <c r="EQJ76" s="70">
        <v>0</v>
      </c>
      <c r="EQK76" s="70">
        <v>0</v>
      </c>
      <c r="EQL76" s="70">
        <v>0</v>
      </c>
      <c r="EQM76" s="70">
        <v>0</v>
      </c>
      <c r="EQN76" s="70">
        <v>0</v>
      </c>
      <c r="EQO76" s="70">
        <v>0</v>
      </c>
      <c r="EQP76" s="70">
        <v>0</v>
      </c>
      <c r="EQQ76" s="70">
        <v>0</v>
      </c>
      <c r="EQR76" s="70">
        <v>0</v>
      </c>
      <c r="EQS76" s="70">
        <v>0</v>
      </c>
      <c r="EQT76" s="70">
        <v>0</v>
      </c>
      <c r="EQU76" s="70">
        <v>0</v>
      </c>
      <c r="EQV76" s="70">
        <v>0</v>
      </c>
      <c r="EQW76" s="70">
        <v>0</v>
      </c>
      <c r="EQX76" s="70">
        <v>0</v>
      </c>
      <c r="EQY76" s="70">
        <v>0</v>
      </c>
      <c r="EQZ76" s="70">
        <v>0</v>
      </c>
      <c r="ERA76" s="70">
        <v>0</v>
      </c>
      <c r="ERB76" s="70">
        <v>0</v>
      </c>
      <c r="ERC76" s="70">
        <v>0</v>
      </c>
      <c r="ERD76" s="70">
        <v>0</v>
      </c>
      <c r="ERE76" s="70">
        <v>0</v>
      </c>
      <c r="ERF76" s="70">
        <v>0</v>
      </c>
      <c r="ERG76" s="70">
        <v>0</v>
      </c>
      <c r="ERH76" s="70">
        <v>0</v>
      </c>
      <c r="ERI76" s="70">
        <v>0</v>
      </c>
      <c r="ERJ76" s="70">
        <v>0</v>
      </c>
      <c r="ERK76" s="70">
        <v>0</v>
      </c>
      <c r="ERL76" s="70">
        <v>0</v>
      </c>
      <c r="ERM76" s="70">
        <v>0</v>
      </c>
      <c r="ERN76" s="70">
        <v>0</v>
      </c>
      <c r="ERO76" s="70">
        <v>0</v>
      </c>
      <c r="ERP76" s="70">
        <v>0</v>
      </c>
      <c r="ERQ76" s="70">
        <v>0</v>
      </c>
      <c r="ERR76" s="70">
        <v>0</v>
      </c>
      <c r="ERS76" s="70">
        <v>0</v>
      </c>
      <c r="ERT76" s="70">
        <v>0</v>
      </c>
      <c r="ERU76" s="70">
        <v>0</v>
      </c>
      <c r="ERV76" s="70">
        <v>0</v>
      </c>
      <c r="ERW76" s="70">
        <v>0</v>
      </c>
      <c r="ERX76" s="70">
        <v>0</v>
      </c>
      <c r="ERY76" s="70">
        <v>0</v>
      </c>
      <c r="ERZ76" s="70">
        <v>0</v>
      </c>
      <c r="ESA76" s="70">
        <v>0</v>
      </c>
      <c r="ESB76" s="70">
        <v>0</v>
      </c>
      <c r="ESC76" s="70">
        <v>0</v>
      </c>
      <c r="ESD76" s="70">
        <v>0</v>
      </c>
      <c r="ESE76" s="70">
        <v>0</v>
      </c>
      <c r="ESF76" s="70">
        <v>0</v>
      </c>
      <c r="ESG76" s="70">
        <v>0</v>
      </c>
      <c r="ESH76" s="70">
        <v>0</v>
      </c>
      <c r="ESI76" s="70">
        <v>0</v>
      </c>
      <c r="ESJ76" s="70">
        <v>0</v>
      </c>
      <c r="ESK76" s="70">
        <v>0</v>
      </c>
      <c r="ESL76" s="70">
        <v>0</v>
      </c>
      <c r="ESM76" s="70">
        <v>0</v>
      </c>
      <c r="ESN76" s="70">
        <v>0</v>
      </c>
      <c r="ESO76" s="70">
        <v>0</v>
      </c>
      <c r="ESP76" s="70">
        <v>0</v>
      </c>
      <c r="ESQ76" s="70">
        <v>0</v>
      </c>
      <c r="ESR76" s="70">
        <v>0</v>
      </c>
      <c r="ESS76" s="70">
        <v>0</v>
      </c>
      <c r="EST76" s="70">
        <v>0</v>
      </c>
      <c r="ESU76" s="70">
        <v>0</v>
      </c>
      <c r="ESV76" s="70">
        <v>0</v>
      </c>
      <c r="ESW76" s="70">
        <v>0</v>
      </c>
      <c r="ESX76" s="70">
        <v>0</v>
      </c>
      <c r="ESY76" s="70">
        <v>0</v>
      </c>
      <c r="ESZ76" s="70">
        <v>0</v>
      </c>
      <c r="ETA76" s="70">
        <v>0</v>
      </c>
      <c r="ETB76" s="70">
        <v>0</v>
      </c>
      <c r="ETC76" s="70">
        <v>0</v>
      </c>
      <c r="ETD76" s="70">
        <v>0</v>
      </c>
      <c r="ETE76" s="70">
        <v>0</v>
      </c>
      <c r="ETF76" s="70">
        <v>0</v>
      </c>
      <c r="ETG76" s="70">
        <v>0</v>
      </c>
      <c r="ETH76" s="70">
        <v>0</v>
      </c>
      <c r="ETI76" s="70">
        <v>0</v>
      </c>
      <c r="ETJ76" s="70">
        <v>0</v>
      </c>
      <c r="ETK76" s="70">
        <v>0</v>
      </c>
      <c r="ETL76" s="70">
        <v>0</v>
      </c>
      <c r="ETM76" s="70">
        <v>0</v>
      </c>
      <c r="ETN76" s="70">
        <v>0</v>
      </c>
      <c r="ETO76" s="70">
        <v>0</v>
      </c>
      <c r="ETP76" s="70">
        <v>0</v>
      </c>
      <c r="ETQ76" s="70">
        <v>0</v>
      </c>
      <c r="ETR76" s="70">
        <v>0</v>
      </c>
      <c r="ETS76" s="70">
        <v>0</v>
      </c>
      <c r="ETT76" s="70">
        <v>0</v>
      </c>
      <c r="ETU76" s="70">
        <v>0</v>
      </c>
      <c r="ETV76" s="70">
        <v>0</v>
      </c>
      <c r="ETW76" s="70">
        <v>0</v>
      </c>
      <c r="ETX76" s="70">
        <v>0</v>
      </c>
      <c r="ETY76" s="70">
        <v>0</v>
      </c>
      <c r="ETZ76" s="70">
        <v>0</v>
      </c>
      <c r="EUA76" s="70">
        <v>0</v>
      </c>
      <c r="EUB76" s="70">
        <v>0</v>
      </c>
      <c r="EUC76" s="70">
        <v>0</v>
      </c>
      <c r="EUD76" s="70">
        <v>0</v>
      </c>
      <c r="EUE76" s="70">
        <v>0</v>
      </c>
      <c r="EUF76" s="70">
        <v>0</v>
      </c>
      <c r="EUG76" s="70">
        <v>0</v>
      </c>
      <c r="EUH76" s="70">
        <v>0</v>
      </c>
      <c r="EUI76" s="70">
        <v>0</v>
      </c>
      <c r="EUJ76" s="70">
        <v>0</v>
      </c>
      <c r="EUK76" s="70">
        <v>0</v>
      </c>
      <c r="EUL76" s="70">
        <v>0</v>
      </c>
      <c r="EUM76" s="70">
        <v>0</v>
      </c>
      <c r="EUN76" s="70">
        <v>0</v>
      </c>
      <c r="EUO76" s="70">
        <v>0</v>
      </c>
      <c r="EUP76" s="70">
        <v>0</v>
      </c>
      <c r="EUQ76" s="70">
        <v>0</v>
      </c>
      <c r="EUR76" s="70">
        <v>0</v>
      </c>
      <c r="EUS76" s="70">
        <v>0</v>
      </c>
      <c r="EUT76" s="70">
        <v>0</v>
      </c>
      <c r="EUU76" s="70">
        <v>0</v>
      </c>
      <c r="EUV76" s="70">
        <v>0</v>
      </c>
      <c r="EUW76" s="70">
        <v>0</v>
      </c>
      <c r="EUX76" s="70">
        <v>0</v>
      </c>
      <c r="EUY76" s="70">
        <v>0</v>
      </c>
      <c r="EUZ76" s="70">
        <v>0</v>
      </c>
      <c r="EVA76" s="70">
        <v>0</v>
      </c>
      <c r="EVB76" s="70">
        <v>0</v>
      </c>
      <c r="EVC76" s="70">
        <v>0</v>
      </c>
      <c r="EVD76" s="70">
        <v>0</v>
      </c>
      <c r="EVE76" s="70">
        <v>0</v>
      </c>
      <c r="EVF76" s="70">
        <v>0</v>
      </c>
      <c r="EVG76" s="70">
        <v>0</v>
      </c>
      <c r="EVH76" s="70">
        <v>0</v>
      </c>
      <c r="EVI76" s="70">
        <v>0</v>
      </c>
      <c r="EVJ76" s="70">
        <v>0</v>
      </c>
      <c r="EVK76" s="70">
        <v>0</v>
      </c>
      <c r="EVL76" s="70">
        <v>0</v>
      </c>
      <c r="EVM76" s="70">
        <v>0</v>
      </c>
      <c r="EVN76" s="70">
        <v>0</v>
      </c>
      <c r="EVO76" s="70">
        <v>0</v>
      </c>
      <c r="EVP76" s="70">
        <v>0</v>
      </c>
      <c r="EVQ76" s="70">
        <v>0</v>
      </c>
      <c r="EVR76" s="70">
        <v>0</v>
      </c>
      <c r="EVS76" s="70">
        <v>0</v>
      </c>
      <c r="EVT76" s="70">
        <v>0</v>
      </c>
      <c r="EVU76" s="70">
        <v>0</v>
      </c>
      <c r="EVV76" s="70">
        <v>0</v>
      </c>
      <c r="EVW76" s="70">
        <v>0</v>
      </c>
      <c r="EVX76" s="70">
        <v>0</v>
      </c>
      <c r="EVY76" s="70">
        <v>0</v>
      </c>
      <c r="EVZ76" s="70">
        <v>0</v>
      </c>
      <c r="EWA76" s="70">
        <v>0</v>
      </c>
      <c r="EWB76" s="70">
        <v>0</v>
      </c>
      <c r="EWC76" s="70">
        <v>0</v>
      </c>
      <c r="EWD76" s="70">
        <v>0</v>
      </c>
      <c r="EWE76" s="70">
        <v>0</v>
      </c>
      <c r="EWF76" s="70">
        <v>0</v>
      </c>
      <c r="EWG76" s="70">
        <v>0</v>
      </c>
      <c r="EWH76" s="70">
        <v>0</v>
      </c>
      <c r="EWI76" s="70">
        <v>0</v>
      </c>
      <c r="EWJ76" s="70">
        <v>0</v>
      </c>
      <c r="EWK76" s="70">
        <v>0</v>
      </c>
      <c r="EWL76" s="70">
        <v>0</v>
      </c>
      <c r="EWM76" s="70">
        <v>0</v>
      </c>
      <c r="EWN76" s="70">
        <v>0</v>
      </c>
      <c r="EWO76" s="70">
        <v>0</v>
      </c>
      <c r="EWP76" s="70">
        <v>0</v>
      </c>
      <c r="EWQ76" s="70">
        <v>0</v>
      </c>
      <c r="EWR76" s="70">
        <v>0</v>
      </c>
      <c r="EWS76" s="70">
        <v>0</v>
      </c>
      <c r="EWT76" s="70">
        <v>0</v>
      </c>
      <c r="EWU76" s="70">
        <v>0</v>
      </c>
      <c r="EWV76" s="70">
        <v>0</v>
      </c>
      <c r="EWW76" s="70">
        <v>0</v>
      </c>
      <c r="EWX76" s="70">
        <v>0</v>
      </c>
      <c r="EWY76" s="70">
        <v>0</v>
      </c>
      <c r="EWZ76" s="70">
        <v>0</v>
      </c>
      <c r="EXA76" s="70">
        <v>0</v>
      </c>
      <c r="EXB76" s="70">
        <v>0</v>
      </c>
      <c r="EXC76" s="70">
        <v>0</v>
      </c>
      <c r="EXD76" s="70">
        <v>0</v>
      </c>
      <c r="EXE76" s="70">
        <v>0</v>
      </c>
      <c r="EXF76" s="70">
        <v>0</v>
      </c>
      <c r="EXG76" s="70">
        <v>0</v>
      </c>
      <c r="EXH76" s="70">
        <v>0</v>
      </c>
      <c r="EXI76" s="70">
        <v>0</v>
      </c>
      <c r="EXJ76" s="70">
        <v>0</v>
      </c>
      <c r="EXK76" s="70">
        <v>0</v>
      </c>
      <c r="EXL76" s="70">
        <v>0</v>
      </c>
      <c r="EXM76" s="70">
        <v>0</v>
      </c>
      <c r="EXN76" s="70">
        <v>0</v>
      </c>
      <c r="EXO76" s="70">
        <v>0</v>
      </c>
      <c r="EXP76" s="70">
        <v>0</v>
      </c>
      <c r="EXQ76" s="70">
        <v>0</v>
      </c>
      <c r="EXR76" s="70">
        <v>0</v>
      </c>
      <c r="EXS76" s="70">
        <v>0</v>
      </c>
      <c r="EXT76" s="70">
        <v>0</v>
      </c>
      <c r="EXU76" s="70">
        <v>0</v>
      </c>
      <c r="EXV76" s="70">
        <v>0</v>
      </c>
      <c r="EXW76" s="70">
        <v>0</v>
      </c>
      <c r="EXX76" s="70">
        <v>0</v>
      </c>
      <c r="EXY76" s="70">
        <v>0</v>
      </c>
      <c r="EXZ76" s="70">
        <v>0</v>
      </c>
      <c r="EYA76" s="70">
        <v>0</v>
      </c>
      <c r="EYB76" s="70">
        <v>0</v>
      </c>
      <c r="EYC76" s="70">
        <v>0</v>
      </c>
      <c r="EYD76" s="70">
        <v>0</v>
      </c>
      <c r="EYE76" s="70">
        <v>0</v>
      </c>
      <c r="EYF76" s="70">
        <v>0</v>
      </c>
      <c r="EYG76" s="70">
        <v>0</v>
      </c>
      <c r="EYH76" s="70">
        <v>0</v>
      </c>
      <c r="EYI76" s="70">
        <v>0</v>
      </c>
      <c r="EYJ76" s="70">
        <v>0</v>
      </c>
      <c r="EYK76" s="70">
        <v>0</v>
      </c>
      <c r="EYL76" s="70">
        <v>0</v>
      </c>
      <c r="EYM76" s="70">
        <v>0</v>
      </c>
      <c r="EYN76" s="70">
        <v>0</v>
      </c>
      <c r="EYO76" s="70">
        <v>0</v>
      </c>
      <c r="EYP76" s="70">
        <v>0</v>
      </c>
      <c r="EYQ76" s="70">
        <v>0</v>
      </c>
      <c r="EYR76" s="70">
        <v>0</v>
      </c>
      <c r="EYS76" s="70">
        <v>0</v>
      </c>
      <c r="EYT76" s="70">
        <v>0</v>
      </c>
      <c r="EYU76" s="70">
        <v>0</v>
      </c>
      <c r="EYV76" s="70">
        <v>0</v>
      </c>
      <c r="EYW76" s="70">
        <v>0</v>
      </c>
      <c r="EYX76" s="70">
        <v>0</v>
      </c>
      <c r="EYY76" s="70">
        <v>0</v>
      </c>
      <c r="EYZ76" s="70">
        <v>0</v>
      </c>
      <c r="EZA76" s="70">
        <v>0</v>
      </c>
      <c r="EZB76" s="70">
        <v>0</v>
      </c>
      <c r="EZC76" s="70">
        <v>0</v>
      </c>
      <c r="EZD76" s="70">
        <v>0</v>
      </c>
      <c r="EZE76" s="70">
        <v>0</v>
      </c>
      <c r="EZF76" s="70">
        <v>0</v>
      </c>
      <c r="EZG76" s="70">
        <v>0</v>
      </c>
      <c r="EZH76" s="70">
        <v>0</v>
      </c>
      <c r="EZI76" s="70">
        <v>0</v>
      </c>
      <c r="EZJ76" s="70">
        <v>0</v>
      </c>
      <c r="EZK76" s="70">
        <v>0</v>
      </c>
      <c r="EZL76" s="70">
        <v>0</v>
      </c>
      <c r="EZM76" s="70">
        <v>0</v>
      </c>
      <c r="EZN76" s="70">
        <v>0</v>
      </c>
      <c r="EZO76" s="70">
        <v>0</v>
      </c>
      <c r="EZP76" s="70">
        <v>0</v>
      </c>
      <c r="EZQ76" s="70">
        <v>0</v>
      </c>
      <c r="EZR76" s="70">
        <v>0</v>
      </c>
      <c r="EZS76" s="70">
        <v>0</v>
      </c>
      <c r="EZT76" s="70">
        <v>0</v>
      </c>
      <c r="EZU76" s="70">
        <v>0</v>
      </c>
      <c r="EZV76" s="70">
        <v>0</v>
      </c>
      <c r="EZW76" s="70">
        <v>0</v>
      </c>
      <c r="EZX76" s="70">
        <v>0</v>
      </c>
      <c r="EZY76" s="70">
        <v>0</v>
      </c>
      <c r="EZZ76" s="70">
        <v>0</v>
      </c>
      <c r="FAA76" s="70">
        <v>0</v>
      </c>
      <c r="FAB76" s="70">
        <v>0</v>
      </c>
      <c r="FAC76" s="70">
        <v>0</v>
      </c>
      <c r="FAD76" s="70">
        <v>0</v>
      </c>
      <c r="FAE76" s="70">
        <v>0</v>
      </c>
      <c r="FAF76" s="70">
        <v>0</v>
      </c>
      <c r="FAG76" s="70">
        <v>0</v>
      </c>
      <c r="FAH76" s="70">
        <v>0</v>
      </c>
      <c r="FAI76" s="70">
        <v>0</v>
      </c>
      <c r="FAJ76" s="70">
        <v>0</v>
      </c>
      <c r="FAK76" s="70">
        <v>0</v>
      </c>
      <c r="FAL76" s="70">
        <v>0</v>
      </c>
      <c r="FAM76" s="70">
        <v>0</v>
      </c>
      <c r="FAN76" s="70">
        <v>0</v>
      </c>
      <c r="FAO76" s="70">
        <v>0</v>
      </c>
      <c r="FAP76" s="70">
        <v>0</v>
      </c>
      <c r="FAQ76" s="70">
        <v>0</v>
      </c>
      <c r="FAR76" s="70">
        <v>0</v>
      </c>
      <c r="FAS76" s="70">
        <v>0</v>
      </c>
      <c r="FAT76" s="70">
        <v>0</v>
      </c>
      <c r="FAU76" s="70">
        <v>0</v>
      </c>
      <c r="FAV76" s="70">
        <v>0</v>
      </c>
      <c r="FAW76" s="70">
        <v>0</v>
      </c>
      <c r="FAX76" s="70">
        <v>0</v>
      </c>
      <c r="FAY76" s="70">
        <v>0</v>
      </c>
      <c r="FAZ76" s="70">
        <v>0</v>
      </c>
      <c r="FBA76" s="70">
        <v>0</v>
      </c>
      <c r="FBB76" s="70">
        <v>0</v>
      </c>
      <c r="FBC76" s="70">
        <v>0</v>
      </c>
      <c r="FBD76" s="70">
        <v>0</v>
      </c>
      <c r="FBE76" s="70">
        <v>0</v>
      </c>
      <c r="FBF76" s="70">
        <v>0</v>
      </c>
      <c r="FBG76" s="70">
        <v>0</v>
      </c>
      <c r="FBH76" s="70">
        <v>0</v>
      </c>
      <c r="FBI76" s="70">
        <v>0</v>
      </c>
      <c r="FBJ76" s="70">
        <v>0</v>
      </c>
      <c r="FBK76" s="70">
        <v>0</v>
      </c>
      <c r="FBL76" s="70">
        <v>0</v>
      </c>
      <c r="FBM76" s="70">
        <v>0</v>
      </c>
      <c r="FBN76" s="70">
        <v>0</v>
      </c>
      <c r="FBO76" s="70">
        <v>0</v>
      </c>
      <c r="FBP76" s="70">
        <v>0</v>
      </c>
      <c r="FBQ76" s="70">
        <v>0</v>
      </c>
      <c r="FBR76" s="70">
        <v>0</v>
      </c>
      <c r="FBS76" s="70">
        <v>0</v>
      </c>
      <c r="FBT76" s="70">
        <v>0</v>
      </c>
      <c r="FBU76" s="70">
        <v>0</v>
      </c>
      <c r="FBV76" s="70">
        <v>0</v>
      </c>
      <c r="FBW76" s="70">
        <v>0</v>
      </c>
      <c r="FBX76" s="70">
        <v>0</v>
      </c>
      <c r="FBY76" s="70">
        <v>0</v>
      </c>
      <c r="FBZ76" s="70">
        <v>0</v>
      </c>
      <c r="FCA76" s="70">
        <v>0</v>
      </c>
      <c r="FCB76" s="70">
        <v>0</v>
      </c>
      <c r="FCC76" s="70">
        <v>0</v>
      </c>
      <c r="FCD76" s="70">
        <v>0</v>
      </c>
      <c r="FCE76" s="70">
        <v>0</v>
      </c>
      <c r="FCF76" s="70">
        <v>0</v>
      </c>
      <c r="FCG76" s="70">
        <v>0</v>
      </c>
      <c r="FCH76" s="70">
        <v>0</v>
      </c>
      <c r="FCI76" s="70">
        <v>0</v>
      </c>
      <c r="FCJ76" s="70">
        <v>0</v>
      </c>
      <c r="FCK76" s="70">
        <v>0</v>
      </c>
      <c r="FCL76" s="70">
        <v>0</v>
      </c>
      <c r="FCM76" s="70">
        <v>0</v>
      </c>
      <c r="FCN76" s="70">
        <v>0</v>
      </c>
      <c r="FCO76" s="70">
        <v>0</v>
      </c>
      <c r="FCP76" s="70">
        <v>0</v>
      </c>
      <c r="FCQ76" s="70">
        <v>0</v>
      </c>
      <c r="FCR76" s="70">
        <v>0</v>
      </c>
      <c r="FCS76" s="70">
        <v>0</v>
      </c>
      <c r="FCT76" s="70">
        <v>0</v>
      </c>
      <c r="FCU76" s="70">
        <v>0</v>
      </c>
      <c r="FCV76" s="70">
        <v>0</v>
      </c>
      <c r="FCW76" s="70">
        <v>0</v>
      </c>
      <c r="FCX76" s="70">
        <v>0</v>
      </c>
      <c r="FCY76" s="70">
        <v>0</v>
      </c>
      <c r="FCZ76" s="70">
        <v>0</v>
      </c>
      <c r="FDA76" s="70">
        <v>0</v>
      </c>
      <c r="FDB76" s="70">
        <v>0</v>
      </c>
      <c r="FDC76" s="70">
        <v>0</v>
      </c>
      <c r="FDD76" s="70">
        <v>0</v>
      </c>
      <c r="FDE76" s="70">
        <v>0</v>
      </c>
      <c r="FDF76" s="70">
        <v>0</v>
      </c>
      <c r="FDG76" s="70">
        <v>0</v>
      </c>
      <c r="FDH76" s="70">
        <v>0</v>
      </c>
      <c r="FDI76" s="70">
        <v>0</v>
      </c>
      <c r="FDJ76" s="70">
        <v>0</v>
      </c>
      <c r="FDK76" s="70">
        <v>0</v>
      </c>
      <c r="FDL76" s="70">
        <v>0</v>
      </c>
      <c r="FDM76" s="70">
        <v>0</v>
      </c>
      <c r="FDN76" s="70">
        <v>0</v>
      </c>
      <c r="FDO76" s="70">
        <v>0</v>
      </c>
      <c r="FDP76" s="70">
        <v>0</v>
      </c>
      <c r="FDQ76" s="70">
        <v>0</v>
      </c>
      <c r="FDR76" s="70">
        <v>0</v>
      </c>
      <c r="FDS76" s="70">
        <v>0</v>
      </c>
      <c r="FDT76" s="70">
        <v>0</v>
      </c>
      <c r="FDU76" s="70">
        <v>0</v>
      </c>
      <c r="FDV76" s="70">
        <v>0</v>
      </c>
      <c r="FDW76" s="70">
        <v>0</v>
      </c>
      <c r="FDX76" s="70">
        <v>0</v>
      </c>
      <c r="FDY76" s="70">
        <v>0</v>
      </c>
      <c r="FDZ76" s="70">
        <v>0</v>
      </c>
      <c r="FEA76" s="70">
        <v>0</v>
      </c>
      <c r="FEB76" s="70">
        <v>0</v>
      </c>
      <c r="FEC76" s="70">
        <v>0</v>
      </c>
      <c r="FED76" s="70">
        <v>0</v>
      </c>
      <c r="FEE76" s="70">
        <v>0</v>
      </c>
      <c r="FEF76" s="70">
        <v>0</v>
      </c>
      <c r="FEG76" s="70">
        <v>0</v>
      </c>
      <c r="FEH76" s="70">
        <v>0</v>
      </c>
      <c r="FEI76" s="70">
        <v>0</v>
      </c>
      <c r="FEJ76" s="70">
        <v>0</v>
      </c>
      <c r="FEK76" s="70">
        <v>0</v>
      </c>
      <c r="FEL76" s="70">
        <v>0</v>
      </c>
      <c r="FEM76" s="70">
        <v>0</v>
      </c>
      <c r="FEN76" s="70">
        <v>0</v>
      </c>
      <c r="FEO76" s="70">
        <v>0</v>
      </c>
      <c r="FEP76" s="70">
        <v>0</v>
      </c>
      <c r="FEQ76" s="70">
        <v>0</v>
      </c>
      <c r="FER76" s="70">
        <v>0</v>
      </c>
      <c r="FES76" s="70">
        <v>0</v>
      </c>
      <c r="FET76" s="70">
        <v>0</v>
      </c>
      <c r="FEU76" s="70">
        <v>0</v>
      </c>
      <c r="FEV76" s="70">
        <v>0</v>
      </c>
      <c r="FEW76" s="70">
        <v>0</v>
      </c>
      <c r="FEX76" s="70">
        <v>0</v>
      </c>
      <c r="FEY76" s="70">
        <v>0</v>
      </c>
      <c r="FEZ76" s="70">
        <v>0</v>
      </c>
      <c r="FFA76" s="70">
        <v>0</v>
      </c>
      <c r="FFB76" s="70">
        <v>0</v>
      </c>
      <c r="FFC76" s="70">
        <v>0</v>
      </c>
      <c r="FFD76" s="70">
        <v>0</v>
      </c>
      <c r="FFE76" s="70">
        <v>0</v>
      </c>
      <c r="FFF76" s="70">
        <v>0</v>
      </c>
      <c r="FFG76" s="70">
        <v>0</v>
      </c>
      <c r="FFH76" s="70">
        <v>0</v>
      </c>
      <c r="FFI76" s="70">
        <v>0</v>
      </c>
      <c r="FFJ76" s="70">
        <v>0</v>
      </c>
      <c r="FFK76" s="70">
        <v>0</v>
      </c>
      <c r="FFL76" s="70">
        <v>0</v>
      </c>
      <c r="FFM76" s="70">
        <v>0</v>
      </c>
      <c r="FFN76" s="70">
        <v>0</v>
      </c>
      <c r="FFO76" s="70">
        <v>0</v>
      </c>
      <c r="FFP76" s="70">
        <v>0</v>
      </c>
      <c r="FFQ76" s="70">
        <v>0</v>
      </c>
      <c r="FFR76" s="70">
        <v>0</v>
      </c>
      <c r="FFS76" s="70">
        <v>0</v>
      </c>
      <c r="FFT76" s="70">
        <v>0</v>
      </c>
      <c r="FFU76" s="70">
        <v>0</v>
      </c>
      <c r="FFV76" s="70">
        <v>0</v>
      </c>
      <c r="FFW76" s="70">
        <v>0</v>
      </c>
      <c r="FFX76" s="70">
        <v>0</v>
      </c>
      <c r="FFY76" s="70">
        <v>0</v>
      </c>
      <c r="FFZ76" s="70">
        <v>0</v>
      </c>
      <c r="FGA76" s="70">
        <v>0</v>
      </c>
      <c r="FGB76" s="70">
        <v>0</v>
      </c>
      <c r="FGC76" s="70">
        <v>0</v>
      </c>
      <c r="FGD76" s="70">
        <v>0</v>
      </c>
      <c r="FGE76" s="70">
        <v>0</v>
      </c>
      <c r="FGF76" s="70">
        <v>0</v>
      </c>
      <c r="FGG76" s="70">
        <v>0</v>
      </c>
      <c r="FGH76" s="70">
        <v>0</v>
      </c>
      <c r="FGI76" s="70">
        <v>0</v>
      </c>
      <c r="FGJ76" s="70">
        <v>0</v>
      </c>
      <c r="FGK76" s="70">
        <v>0</v>
      </c>
      <c r="FGL76" s="70">
        <v>0</v>
      </c>
      <c r="FGM76" s="70">
        <v>0</v>
      </c>
      <c r="FGN76" s="70">
        <v>0</v>
      </c>
      <c r="FGO76" s="70">
        <v>0</v>
      </c>
      <c r="FGP76" s="70">
        <v>0</v>
      </c>
      <c r="FGQ76" s="70">
        <v>0</v>
      </c>
      <c r="FGR76" s="70">
        <v>0</v>
      </c>
      <c r="FGS76" s="70">
        <v>0</v>
      </c>
      <c r="FGT76" s="70">
        <v>0</v>
      </c>
      <c r="FGU76" s="70">
        <v>0</v>
      </c>
      <c r="FGV76" s="70">
        <v>0</v>
      </c>
      <c r="FGW76" s="70">
        <v>0</v>
      </c>
      <c r="FGX76" s="70">
        <v>0</v>
      </c>
      <c r="FGY76" s="70">
        <v>0</v>
      </c>
      <c r="FGZ76" s="70">
        <v>0</v>
      </c>
      <c r="FHA76" s="70">
        <v>0</v>
      </c>
      <c r="FHB76" s="70">
        <v>0</v>
      </c>
      <c r="FHC76" s="70">
        <v>0</v>
      </c>
      <c r="FHD76" s="70">
        <v>0</v>
      </c>
      <c r="FHE76" s="70">
        <v>0</v>
      </c>
      <c r="FHF76" s="70">
        <v>0</v>
      </c>
      <c r="FHG76" s="70">
        <v>0</v>
      </c>
      <c r="FHH76" s="70">
        <v>0</v>
      </c>
      <c r="FHI76" s="70">
        <v>0</v>
      </c>
      <c r="FHJ76" s="70">
        <v>0</v>
      </c>
      <c r="FHK76" s="70">
        <v>0</v>
      </c>
      <c r="FHL76" s="70">
        <v>0</v>
      </c>
      <c r="FHM76" s="70">
        <v>0</v>
      </c>
      <c r="FHN76" s="70">
        <v>0</v>
      </c>
      <c r="FHO76" s="70">
        <v>0</v>
      </c>
      <c r="FHP76" s="70">
        <v>0</v>
      </c>
      <c r="FHQ76" s="70">
        <v>0</v>
      </c>
      <c r="FHR76" s="70">
        <v>0</v>
      </c>
      <c r="FHS76" s="70">
        <v>0</v>
      </c>
      <c r="FHT76" s="70">
        <v>0</v>
      </c>
      <c r="FHU76" s="70">
        <v>0</v>
      </c>
      <c r="FHV76" s="70">
        <v>0</v>
      </c>
      <c r="FHW76" s="70">
        <v>0</v>
      </c>
      <c r="FHX76" s="70">
        <v>0</v>
      </c>
      <c r="FHY76" s="70">
        <v>0</v>
      </c>
      <c r="FHZ76" s="70">
        <v>0</v>
      </c>
      <c r="FIA76" s="70">
        <v>0</v>
      </c>
      <c r="FIB76" s="70">
        <v>0</v>
      </c>
      <c r="FIC76" s="70">
        <v>0</v>
      </c>
      <c r="FID76" s="70">
        <v>0</v>
      </c>
      <c r="FIE76" s="70">
        <v>0</v>
      </c>
      <c r="FIF76" s="70">
        <v>0</v>
      </c>
      <c r="FIG76" s="70">
        <v>0</v>
      </c>
      <c r="FIH76" s="70">
        <v>0</v>
      </c>
      <c r="FII76" s="70">
        <v>0</v>
      </c>
      <c r="FIJ76" s="70">
        <v>0</v>
      </c>
      <c r="FIK76" s="70">
        <v>0</v>
      </c>
      <c r="FIL76" s="70">
        <v>0</v>
      </c>
      <c r="FIM76" s="70">
        <v>0</v>
      </c>
      <c r="FIN76" s="70">
        <v>0</v>
      </c>
      <c r="FIO76" s="70">
        <v>0</v>
      </c>
      <c r="FIP76" s="70">
        <v>0</v>
      </c>
      <c r="FIQ76" s="70">
        <v>0</v>
      </c>
      <c r="FIR76" s="70">
        <v>0</v>
      </c>
      <c r="FIS76" s="70">
        <v>0</v>
      </c>
      <c r="FIT76" s="70">
        <v>0</v>
      </c>
      <c r="FIU76" s="70">
        <v>0</v>
      </c>
      <c r="FIV76" s="70">
        <v>0</v>
      </c>
      <c r="FIW76" s="70">
        <v>0</v>
      </c>
      <c r="FIX76" s="70">
        <v>0</v>
      </c>
      <c r="FIY76" s="70">
        <v>0</v>
      </c>
      <c r="FIZ76" s="70">
        <v>0</v>
      </c>
      <c r="FJA76" s="70">
        <v>0</v>
      </c>
      <c r="FJB76" s="70">
        <v>0</v>
      </c>
      <c r="FJC76" s="70">
        <v>0</v>
      </c>
      <c r="FJD76" s="70">
        <v>0</v>
      </c>
      <c r="FJE76" s="70">
        <v>0</v>
      </c>
      <c r="FJF76" s="70">
        <v>0</v>
      </c>
      <c r="FJG76" s="70">
        <v>0</v>
      </c>
      <c r="FJH76" s="70">
        <v>0</v>
      </c>
      <c r="FJI76" s="70">
        <v>0</v>
      </c>
      <c r="FJJ76" s="70">
        <v>0</v>
      </c>
      <c r="FJK76" s="70">
        <v>0</v>
      </c>
      <c r="FJL76" s="70">
        <v>0</v>
      </c>
      <c r="FJM76" s="70">
        <v>0</v>
      </c>
      <c r="FJN76" s="70">
        <v>0</v>
      </c>
      <c r="FJO76" s="70">
        <v>0</v>
      </c>
      <c r="FJP76" s="70">
        <v>0</v>
      </c>
      <c r="FJQ76" s="70">
        <v>0</v>
      </c>
      <c r="FJR76" s="70">
        <v>0</v>
      </c>
      <c r="FJS76" s="70">
        <v>0</v>
      </c>
      <c r="FJT76" s="70">
        <v>0</v>
      </c>
      <c r="FJU76" s="70">
        <v>0</v>
      </c>
      <c r="FJV76" s="70">
        <v>0</v>
      </c>
      <c r="FJW76" s="70">
        <v>0</v>
      </c>
      <c r="FJX76" s="70">
        <v>0</v>
      </c>
      <c r="FJY76" s="70">
        <v>0</v>
      </c>
      <c r="FJZ76" s="70">
        <v>0</v>
      </c>
      <c r="FKA76" s="70">
        <v>0</v>
      </c>
      <c r="FKB76" s="70">
        <v>0</v>
      </c>
      <c r="FKC76" s="70">
        <v>0</v>
      </c>
      <c r="FKD76" s="70">
        <v>0</v>
      </c>
      <c r="FKE76" s="70">
        <v>0</v>
      </c>
      <c r="FKF76" s="70">
        <v>0</v>
      </c>
      <c r="FKG76" s="70">
        <v>0</v>
      </c>
      <c r="FKH76" s="70">
        <v>0</v>
      </c>
      <c r="FKI76" s="70">
        <v>0</v>
      </c>
      <c r="FKJ76" s="70">
        <v>0</v>
      </c>
      <c r="FKK76" s="70">
        <v>0</v>
      </c>
      <c r="FKL76" s="70">
        <v>0</v>
      </c>
      <c r="FKM76" s="70">
        <v>0</v>
      </c>
      <c r="FKN76" s="70">
        <v>0</v>
      </c>
      <c r="FKO76" s="70">
        <v>0</v>
      </c>
      <c r="FKP76" s="70">
        <v>0</v>
      </c>
      <c r="FKQ76" s="70">
        <v>0</v>
      </c>
      <c r="FKR76" s="70">
        <v>0</v>
      </c>
      <c r="FKS76" s="70">
        <v>0</v>
      </c>
      <c r="FKT76" s="70">
        <v>0</v>
      </c>
      <c r="FKU76" s="70">
        <v>0</v>
      </c>
      <c r="FKV76" s="70">
        <v>0</v>
      </c>
      <c r="FKW76" s="70">
        <v>0</v>
      </c>
      <c r="FKX76" s="70">
        <v>0</v>
      </c>
      <c r="FKY76" s="70">
        <v>0</v>
      </c>
      <c r="FKZ76" s="70">
        <v>0</v>
      </c>
      <c r="FLA76" s="70">
        <v>0</v>
      </c>
      <c r="FLB76" s="70">
        <v>0</v>
      </c>
      <c r="FLC76" s="70">
        <v>0</v>
      </c>
      <c r="FLD76" s="70">
        <v>0</v>
      </c>
      <c r="FLE76" s="70">
        <v>0</v>
      </c>
      <c r="FLF76" s="70">
        <v>0</v>
      </c>
      <c r="FLG76" s="70">
        <v>0</v>
      </c>
      <c r="FLH76" s="70">
        <v>0</v>
      </c>
      <c r="FLI76" s="70">
        <v>0</v>
      </c>
      <c r="FLJ76" s="70">
        <v>0</v>
      </c>
      <c r="FLK76" s="70">
        <v>0</v>
      </c>
      <c r="FLL76" s="70">
        <v>0</v>
      </c>
      <c r="FLM76" s="70">
        <v>0</v>
      </c>
      <c r="FLN76" s="70">
        <v>0</v>
      </c>
      <c r="FLO76" s="70">
        <v>0</v>
      </c>
      <c r="FLP76" s="70">
        <v>0</v>
      </c>
      <c r="FLQ76" s="70">
        <v>0</v>
      </c>
      <c r="FLR76" s="70">
        <v>0</v>
      </c>
      <c r="FLS76" s="70">
        <v>0</v>
      </c>
      <c r="FLT76" s="70">
        <v>0</v>
      </c>
      <c r="FLU76" s="70">
        <v>0</v>
      </c>
      <c r="FLV76" s="70">
        <v>0</v>
      </c>
      <c r="FLW76" s="70">
        <v>0</v>
      </c>
      <c r="FLX76" s="70">
        <v>0</v>
      </c>
      <c r="FLY76" s="70">
        <v>0</v>
      </c>
      <c r="FLZ76" s="70">
        <v>0</v>
      </c>
      <c r="FMA76" s="70">
        <v>0</v>
      </c>
      <c r="FMB76" s="70">
        <v>0</v>
      </c>
      <c r="FMC76" s="70">
        <v>0</v>
      </c>
      <c r="FMD76" s="70">
        <v>0</v>
      </c>
      <c r="FME76" s="70">
        <v>0</v>
      </c>
      <c r="FMF76" s="70">
        <v>0</v>
      </c>
      <c r="FMG76" s="70">
        <v>0</v>
      </c>
      <c r="FMH76" s="70">
        <v>0</v>
      </c>
      <c r="FMI76" s="70">
        <v>0</v>
      </c>
      <c r="FMJ76" s="70">
        <v>0</v>
      </c>
      <c r="FMK76" s="70">
        <v>0</v>
      </c>
      <c r="FML76" s="70">
        <v>0</v>
      </c>
      <c r="FMM76" s="70">
        <v>0</v>
      </c>
      <c r="FMN76" s="70">
        <v>0</v>
      </c>
      <c r="FMO76" s="70">
        <v>0</v>
      </c>
      <c r="FMP76" s="70">
        <v>0</v>
      </c>
      <c r="FMQ76" s="70">
        <v>0</v>
      </c>
      <c r="FMR76" s="70">
        <v>0</v>
      </c>
      <c r="FMS76" s="70">
        <v>0</v>
      </c>
      <c r="FMT76" s="70">
        <v>0</v>
      </c>
      <c r="FMU76" s="70">
        <v>0</v>
      </c>
      <c r="FMV76" s="70">
        <v>0</v>
      </c>
      <c r="FMW76" s="70">
        <v>0</v>
      </c>
      <c r="FMX76" s="70">
        <v>0</v>
      </c>
      <c r="FMY76" s="70">
        <v>0</v>
      </c>
      <c r="FMZ76" s="70">
        <v>0</v>
      </c>
      <c r="FNA76" s="70">
        <v>0</v>
      </c>
      <c r="FNB76" s="70">
        <v>0</v>
      </c>
      <c r="FNC76" s="70">
        <v>0</v>
      </c>
      <c r="FND76" s="70">
        <v>0</v>
      </c>
      <c r="FNE76" s="70">
        <v>0</v>
      </c>
      <c r="FNF76" s="70">
        <v>0</v>
      </c>
      <c r="FNG76" s="70">
        <v>0</v>
      </c>
      <c r="FNH76" s="70">
        <v>0</v>
      </c>
      <c r="FNI76" s="70">
        <v>0</v>
      </c>
      <c r="FNJ76" s="70">
        <v>0</v>
      </c>
      <c r="FNK76" s="70">
        <v>0</v>
      </c>
      <c r="FNL76" s="70">
        <v>0</v>
      </c>
      <c r="FNM76" s="70">
        <v>0</v>
      </c>
      <c r="FNN76" s="70">
        <v>0</v>
      </c>
      <c r="FNO76" s="70">
        <v>0</v>
      </c>
      <c r="FNP76" s="70">
        <v>0</v>
      </c>
      <c r="FNQ76" s="70">
        <v>0</v>
      </c>
      <c r="FNR76" s="70">
        <v>0</v>
      </c>
      <c r="FNS76" s="70">
        <v>0</v>
      </c>
      <c r="FNT76" s="70">
        <v>0</v>
      </c>
      <c r="FNU76" s="70">
        <v>0</v>
      </c>
      <c r="FNV76" s="70">
        <v>0</v>
      </c>
      <c r="FNW76" s="70">
        <v>0</v>
      </c>
      <c r="FNX76" s="70">
        <v>0</v>
      </c>
      <c r="FNY76" s="70">
        <v>0</v>
      </c>
      <c r="FNZ76" s="70">
        <v>0</v>
      </c>
      <c r="FOA76" s="70">
        <v>0</v>
      </c>
      <c r="FOB76" s="70">
        <v>0</v>
      </c>
      <c r="FOC76" s="70">
        <v>0</v>
      </c>
      <c r="FOD76" s="70">
        <v>0</v>
      </c>
      <c r="FOE76" s="70">
        <v>0</v>
      </c>
      <c r="FOF76" s="70">
        <v>0</v>
      </c>
      <c r="FOG76" s="70">
        <v>0</v>
      </c>
      <c r="FOH76" s="70">
        <v>0</v>
      </c>
      <c r="FOI76" s="70">
        <v>0</v>
      </c>
      <c r="FOJ76" s="70">
        <v>0</v>
      </c>
      <c r="FOK76" s="70">
        <v>0</v>
      </c>
      <c r="FOL76" s="70">
        <v>0</v>
      </c>
      <c r="FOM76" s="70">
        <v>0</v>
      </c>
      <c r="FON76" s="70">
        <v>0</v>
      </c>
      <c r="FOO76" s="70">
        <v>0</v>
      </c>
      <c r="FOP76" s="70">
        <v>0</v>
      </c>
      <c r="FOQ76" s="70">
        <v>0</v>
      </c>
      <c r="FOR76" s="70">
        <v>0</v>
      </c>
      <c r="FOS76" s="70">
        <v>0</v>
      </c>
      <c r="FOT76" s="70">
        <v>0</v>
      </c>
      <c r="FOU76" s="70">
        <v>0</v>
      </c>
      <c r="FOV76" s="70">
        <v>0</v>
      </c>
      <c r="FOW76" s="70">
        <v>0</v>
      </c>
      <c r="FOX76" s="70">
        <v>0</v>
      </c>
      <c r="FOY76" s="70">
        <v>0</v>
      </c>
      <c r="FOZ76" s="70">
        <v>0</v>
      </c>
      <c r="FPA76" s="70">
        <v>0</v>
      </c>
      <c r="FPB76" s="70">
        <v>0</v>
      </c>
      <c r="FPC76" s="70">
        <v>0</v>
      </c>
      <c r="FPD76" s="70">
        <v>0</v>
      </c>
      <c r="FPE76" s="70">
        <v>0</v>
      </c>
      <c r="FPF76" s="70">
        <v>0</v>
      </c>
      <c r="FPG76" s="70">
        <v>0</v>
      </c>
      <c r="FPH76" s="70">
        <v>0</v>
      </c>
      <c r="FPI76" s="70">
        <v>0</v>
      </c>
      <c r="FPJ76" s="70">
        <v>0</v>
      </c>
      <c r="FPK76" s="70">
        <v>0</v>
      </c>
      <c r="FPL76" s="70">
        <v>0</v>
      </c>
      <c r="FPM76" s="70">
        <v>0</v>
      </c>
      <c r="FPN76" s="70">
        <v>0</v>
      </c>
      <c r="FPO76" s="70">
        <v>0</v>
      </c>
      <c r="FPP76" s="70">
        <v>0</v>
      </c>
      <c r="FPQ76" s="70">
        <v>0</v>
      </c>
      <c r="FPR76" s="70">
        <v>0</v>
      </c>
      <c r="FPS76" s="70">
        <v>0</v>
      </c>
      <c r="FPT76" s="70">
        <v>0</v>
      </c>
      <c r="FPU76" s="70">
        <v>0</v>
      </c>
      <c r="FPV76" s="70">
        <v>0</v>
      </c>
      <c r="FPW76" s="70">
        <v>0</v>
      </c>
      <c r="FPX76" s="70">
        <v>0</v>
      </c>
      <c r="FPY76" s="70">
        <v>0</v>
      </c>
      <c r="FPZ76" s="70">
        <v>0</v>
      </c>
      <c r="FQA76" s="70">
        <v>0</v>
      </c>
      <c r="FQB76" s="70">
        <v>0</v>
      </c>
      <c r="FQC76" s="70">
        <v>0</v>
      </c>
      <c r="FQD76" s="70">
        <v>0</v>
      </c>
      <c r="FQE76" s="70">
        <v>0</v>
      </c>
      <c r="FQF76" s="70">
        <v>0</v>
      </c>
      <c r="FQG76" s="70">
        <v>0</v>
      </c>
      <c r="FQH76" s="70">
        <v>0</v>
      </c>
      <c r="FQI76" s="70">
        <v>0</v>
      </c>
      <c r="FQJ76" s="70">
        <v>0</v>
      </c>
      <c r="FQK76" s="70">
        <v>0</v>
      </c>
      <c r="FQL76" s="70">
        <v>0</v>
      </c>
      <c r="FQM76" s="70">
        <v>0</v>
      </c>
      <c r="FQN76" s="70">
        <v>0</v>
      </c>
      <c r="FQO76" s="70">
        <v>0</v>
      </c>
      <c r="FQP76" s="70">
        <v>0</v>
      </c>
      <c r="FQQ76" s="70">
        <v>0</v>
      </c>
      <c r="FQR76" s="70">
        <v>0</v>
      </c>
      <c r="FQS76" s="70">
        <v>0</v>
      </c>
      <c r="FQT76" s="70">
        <v>0</v>
      </c>
      <c r="FQU76" s="70">
        <v>0</v>
      </c>
      <c r="FQV76" s="70">
        <v>0</v>
      </c>
      <c r="FQW76" s="70">
        <v>0</v>
      </c>
      <c r="FQX76" s="70">
        <v>0</v>
      </c>
      <c r="FQY76" s="70">
        <v>0</v>
      </c>
      <c r="FQZ76" s="70">
        <v>0</v>
      </c>
      <c r="FRA76" s="70">
        <v>0</v>
      </c>
      <c r="FRB76" s="70">
        <v>0</v>
      </c>
      <c r="FRC76" s="70">
        <v>0</v>
      </c>
      <c r="FRD76" s="70">
        <v>0</v>
      </c>
      <c r="FRE76" s="70">
        <v>0</v>
      </c>
      <c r="FRF76" s="70">
        <v>0</v>
      </c>
      <c r="FRG76" s="70">
        <v>0</v>
      </c>
      <c r="FRH76" s="70">
        <v>0</v>
      </c>
      <c r="FRI76" s="70">
        <v>0</v>
      </c>
      <c r="FRJ76" s="70">
        <v>0</v>
      </c>
      <c r="FRK76" s="70">
        <v>0</v>
      </c>
      <c r="FRL76" s="70">
        <v>0</v>
      </c>
      <c r="FRM76" s="70">
        <v>0</v>
      </c>
      <c r="FRN76" s="70">
        <v>0</v>
      </c>
      <c r="FRO76" s="70">
        <v>0</v>
      </c>
      <c r="FRP76" s="70">
        <v>0</v>
      </c>
      <c r="FRQ76" s="70">
        <v>0</v>
      </c>
      <c r="FRR76" s="70">
        <v>0</v>
      </c>
      <c r="FRS76" s="70">
        <v>0</v>
      </c>
      <c r="FRT76" s="70">
        <v>0</v>
      </c>
      <c r="FRU76" s="70">
        <v>0</v>
      </c>
      <c r="FRV76" s="70">
        <v>0</v>
      </c>
      <c r="FRW76" s="70">
        <v>0</v>
      </c>
      <c r="FRX76" s="70">
        <v>0</v>
      </c>
      <c r="FRY76" s="70">
        <v>0</v>
      </c>
      <c r="FRZ76" s="70">
        <v>0</v>
      </c>
      <c r="FSA76" s="70">
        <v>0</v>
      </c>
      <c r="FSB76" s="70">
        <v>0</v>
      </c>
      <c r="FSC76" s="70">
        <v>0</v>
      </c>
      <c r="FSD76" s="70">
        <v>0</v>
      </c>
      <c r="FSE76" s="70">
        <v>0</v>
      </c>
      <c r="FSF76" s="70">
        <v>0</v>
      </c>
      <c r="FSG76" s="70">
        <v>0</v>
      </c>
      <c r="FSH76" s="70">
        <v>0</v>
      </c>
      <c r="FSI76" s="70">
        <v>0</v>
      </c>
      <c r="FSJ76" s="70">
        <v>0</v>
      </c>
      <c r="FSK76" s="70">
        <v>0</v>
      </c>
      <c r="FSL76" s="70">
        <v>0</v>
      </c>
      <c r="FSM76" s="70">
        <v>0</v>
      </c>
      <c r="FSN76" s="70">
        <v>0</v>
      </c>
      <c r="FSO76" s="70">
        <v>0</v>
      </c>
      <c r="FSP76" s="70">
        <v>0</v>
      </c>
      <c r="FSQ76" s="70">
        <v>0</v>
      </c>
      <c r="FSR76" s="70">
        <v>0</v>
      </c>
      <c r="FSS76" s="70">
        <v>0</v>
      </c>
      <c r="FST76" s="70">
        <v>0</v>
      </c>
      <c r="FSU76" s="70">
        <v>0</v>
      </c>
      <c r="FSV76" s="70">
        <v>0</v>
      </c>
      <c r="FSW76" s="70">
        <v>0</v>
      </c>
      <c r="FSX76" s="70">
        <v>0</v>
      </c>
      <c r="FSY76" s="70">
        <v>0</v>
      </c>
      <c r="FSZ76" s="70">
        <v>0</v>
      </c>
      <c r="FTA76" s="70">
        <v>0</v>
      </c>
      <c r="FTB76" s="70">
        <v>0</v>
      </c>
      <c r="FTC76" s="70">
        <v>0</v>
      </c>
      <c r="FTD76" s="70">
        <v>0</v>
      </c>
      <c r="FTE76" s="70">
        <v>0</v>
      </c>
      <c r="FTF76" s="70">
        <v>0</v>
      </c>
      <c r="FTG76" s="70">
        <v>0</v>
      </c>
      <c r="FTH76" s="70">
        <v>0</v>
      </c>
      <c r="FTI76" s="70">
        <v>0</v>
      </c>
      <c r="FTJ76" s="70">
        <v>0</v>
      </c>
      <c r="FTK76" s="70">
        <v>0</v>
      </c>
      <c r="FTL76" s="70">
        <v>0</v>
      </c>
      <c r="FTM76" s="70">
        <v>0</v>
      </c>
      <c r="FTN76" s="70">
        <v>0</v>
      </c>
      <c r="FTO76" s="70">
        <v>0</v>
      </c>
      <c r="FTP76" s="70">
        <v>0</v>
      </c>
      <c r="FTQ76" s="70">
        <v>0</v>
      </c>
      <c r="FTR76" s="70">
        <v>0</v>
      </c>
      <c r="FTS76" s="70">
        <v>0</v>
      </c>
      <c r="FTT76" s="70">
        <v>0</v>
      </c>
      <c r="FTU76" s="70">
        <v>0</v>
      </c>
      <c r="FTV76" s="70">
        <v>0</v>
      </c>
      <c r="FTW76" s="70">
        <v>0</v>
      </c>
      <c r="FTX76" s="70">
        <v>0</v>
      </c>
      <c r="FTY76" s="70">
        <v>0</v>
      </c>
      <c r="FTZ76" s="70">
        <v>0</v>
      </c>
      <c r="FUA76" s="70">
        <v>0</v>
      </c>
      <c r="FUB76" s="70">
        <v>0</v>
      </c>
      <c r="FUC76" s="70">
        <v>0</v>
      </c>
      <c r="FUD76" s="70">
        <v>0</v>
      </c>
      <c r="FUE76" s="70">
        <v>0</v>
      </c>
      <c r="FUF76" s="70">
        <v>0</v>
      </c>
      <c r="FUG76" s="70">
        <v>0</v>
      </c>
      <c r="FUH76" s="70">
        <v>0</v>
      </c>
      <c r="FUI76" s="70">
        <v>0</v>
      </c>
      <c r="FUJ76" s="70">
        <v>0</v>
      </c>
      <c r="FUK76" s="70">
        <v>0</v>
      </c>
      <c r="FUL76" s="70">
        <v>0</v>
      </c>
      <c r="FUM76" s="70">
        <v>0</v>
      </c>
      <c r="FUN76" s="70">
        <v>0</v>
      </c>
      <c r="FUO76" s="70">
        <v>0</v>
      </c>
      <c r="FUP76" s="70">
        <v>0</v>
      </c>
      <c r="FUQ76" s="70">
        <v>0</v>
      </c>
      <c r="FUR76" s="70">
        <v>0</v>
      </c>
      <c r="FUS76" s="70">
        <v>0</v>
      </c>
      <c r="FUT76" s="70">
        <v>0</v>
      </c>
      <c r="FUU76" s="70">
        <v>0</v>
      </c>
      <c r="FUV76" s="70">
        <v>0</v>
      </c>
      <c r="FUW76" s="70">
        <v>0</v>
      </c>
      <c r="FUX76" s="70">
        <v>0</v>
      </c>
      <c r="FUY76" s="70">
        <v>0</v>
      </c>
      <c r="FUZ76" s="70">
        <v>0</v>
      </c>
      <c r="FVA76" s="70">
        <v>0</v>
      </c>
      <c r="FVB76" s="70">
        <v>0</v>
      </c>
      <c r="FVC76" s="70">
        <v>0</v>
      </c>
      <c r="FVD76" s="70">
        <v>0</v>
      </c>
      <c r="FVE76" s="70">
        <v>0</v>
      </c>
      <c r="FVF76" s="70">
        <v>0</v>
      </c>
      <c r="FVG76" s="70">
        <v>0</v>
      </c>
      <c r="FVH76" s="70">
        <v>0</v>
      </c>
      <c r="FVI76" s="70">
        <v>0</v>
      </c>
      <c r="FVJ76" s="70">
        <v>0</v>
      </c>
      <c r="FVK76" s="70">
        <v>0</v>
      </c>
      <c r="FVL76" s="70">
        <v>0</v>
      </c>
      <c r="FVM76" s="70">
        <v>0</v>
      </c>
      <c r="FVN76" s="70">
        <v>0</v>
      </c>
      <c r="FVO76" s="70">
        <v>0</v>
      </c>
      <c r="FVP76" s="70">
        <v>0</v>
      </c>
      <c r="FVQ76" s="70">
        <v>0</v>
      </c>
      <c r="FVR76" s="70">
        <v>0</v>
      </c>
      <c r="FVS76" s="70">
        <v>0</v>
      </c>
      <c r="FVT76" s="70">
        <v>0</v>
      </c>
      <c r="FVU76" s="70">
        <v>0</v>
      </c>
      <c r="FVV76" s="70">
        <v>0</v>
      </c>
      <c r="FVW76" s="70">
        <v>0</v>
      </c>
      <c r="FVX76" s="70">
        <v>0</v>
      </c>
      <c r="FVY76" s="70">
        <v>0</v>
      </c>
      <c r="FVZ76" s="70">
        <v>0</v>
      </c>
      <c r="FWA76" s="70">
        <v>0</v>
      </c>
      <c r="FWB76" s="70">
        <v>0</v>
      </c>
      <c r="FWC76" s="70">
        <v>0</v>
      </c>
      <c r="FWD76" s="70">
        <v>0</v>
      </c>
      <c r="FWE76" s="70">
        <v>0</v>
      </c>
      <c r="FWF76" s="70">
        <v>0</v>
      </c>
      <c r="FWG76" s="70">
        <v>0</v>
      </c>
      <c r="FWH76" s="70">
        <v>0</v>
      </c>
      <c r="FWI76" s="70">
        <v>0</v>
      </c>
      <c r="FWJ76" s="70">
        <v>0</v>
      </c>
      <c r="FWK76" s="70">
        <v>0</v>
      </c>
      <c r="FWL76" s="70">
        <v>0</v>
      </c>
      <c r="FWM76" s="70">
        <v>0</v>
      </c>
      <c r="FWN76" s="70">
        <v>0</v>
      </c>
      <c r="FWO76" s="70">
        <v>0</v>
      </c>
      <c r="FWP76" s="70">
        <v>0</v>
      </c>
      <c r="FWQ76" s="70">
        <v>0</v>
      </c>
      <c r="FWR76" s="70">
        <v>0</v>
      </c>
      <c r="FWS76" s="70">
        <v>0</v>
      </c>
      <c r="FWT76" s="70">
        <v>0</v>
      </c>
      <c r="FWU76" s="70">
        <v>0</v>
      </c>
      <c r="FWV76" s="70">
        <v>0</v>
      </c>
      <c r="FWW76" s="70">
        <v>0</v>
      </c>
      <c r="FWX76" s="70">
        <v>0</v>
      </c>
      <c r="FWY76" s="70">
        <v>0</v>
      </c>
      <c r="FWZ76" s="70">
        <v>0</v>
      </c>
      <c r="FXA76" s="70">
        <v>0</v>
      </c>
      <c r="FXB76" s="70">
        <v>0</v>
      </c>
      <c r="FXC76" s="70">
        <v>0</v>
      </c>
      <c r="FXD76" s="70">
        <v>0</v>
      </c>
      <c r="FXE76" s="70">
        <v>0</v>
      </c>
      <c r="FXF76" s="70">
        <v>0</v>
      </c>
      <c r="FXG76" s="70">
        <v>0</v>
      </c>
      <c r="FXH76" s="70">
        <v>0</v>
      </c>
      <c r="FXI76" s="70">
        <v>0</v>
      </c>
      <c r="FXJ76" s="70">
        <v>0</v>
      </c>
      <c r="FXK76" s="70">
        <v>0</v>
      </c>
      <c r="FXL76" s="70">
        <v>0</v>
      </c>
      <c r="FXM76" s="70">
        <v>0</v>
      </c>
      <c r="FXN76" s="70">
        <v>0</v>
      </c>
      <c r="FXO76" s="70">
        <v>0</v>
      </c>
      <c r="FXP76" s="70">
        <v>0</v>
      </c>
      <c r="FXQ76" s="70">
        <v>0</v>
      </c>
      <c r="FXR76" s="70">
        <v>0</v>
      </c>
      <c r="FXS76" s="70">
        <v>0</v>
      </c>
      <c r="FXT76" s="70">
        <v>0</v>
      </c>
      <c r="FXU76" s="70">
        <v>0</v>
      </c>
      <c r="FXV76" s="70">
        <v>0</v>
      </c>
      <c r="FXW76" s="70">
        <v>0</v>
      </c>
      <c r="FXX76" s="70">
        <v>0</v>
      </c>
      <c r="FXY76" s="70">
        <v>0</v>
      </c>
      <c r="FXZ76" s="70">
        <v>0</v>
      </c>
      <c r="FYA76" s="70">
        <v>0</v>
      </c>
      <c r="FYB76" s="70">
        <v>0</v>
      </c>
      <c r="FYC76" s="70">
        <v>0</v>
      </c>
      <c r="FYD76" s="70">
        <v>0</v>
      </c>
      <c r="FYE76" s="70">
        <v>0</v>
      </c>
      <c r="FYF76" s="70">
        <v>0</v>
      </c>
      <c r="FYG76" s="70">
        <v>0</v>
      </c>
      <c r="FYH76" s="70">
        <v>0</v>
      </c>
      <c r="FYI76" s="70">
        <v>0</v>
      </c>
      <c r="FYJ76" s="70">
        <v>0</v>
      </c>
      <c r="FYK76" s="70">
        <v>0</v>
      </c>
      <c r="FYL76" s="70">
        <v>0</v>
      </c>
      <c r="FYM76" s="70">
        <v>0</v>
      </c>
      <c r="FYN76" s="70">
        <v>0</v>
      </c>
      <c r="FYO76" s="70">
        <v>0</v>
      </c>
      <c r="FYP76" s="70">
        <v>0</v>
      </c>
      <c r="FYQ76" s="70">
        <v>0</v>
      </c>
      <c r="FYR76" s="70">
        <v>0</v>
      </c>
      <c r="FYS76" s="70">
        <v>0</v>
      </c>
      <c r="FYT76" s="70">
        <v>0</v>
      </c>
      <c r="FYU76" s="70">
        <v>0</v>
      </c>
      <c r="FYV76" s="70">
        <v>0</v>
      </c>
      <c r="FYW76" s="70">
        <v>0</v>
      </c>
      <c r="FYX76" s="70">
        <v>0</v>
      </c>
      <c r="FYY76" s="70">
        <v>0</v>
      </c>
      <c r="FYZ76" s="70">
        <v>0</v>
      </c>
      <c r="FZA76" s="70">
        <v>0</v>
      </c>
      <c r="FZB76" s="70">
        <v>0</v>
      </c>
      <c r="FZC76" s="70">
        <v>0</v>
      </c>
      <c r="FZD76" s="70">
        <v>0</v>
      </c>
      <c r="FZE76" s="70">
        <v>0</v>
      </c>
      <c r="FZF76" s="70">
        <v>0</v>
      </c>
      <c r="FZG76" s="70">
        <v>0</v>
      </c>
      <c r="FZH76" s="70">
        <v>0</v>
      </c>
      <c r="FZI76" s="70">
        <v>0</v>
      </c>
      <c r="FZJ76" s="70">
        <v>0</v>
      </c>
      <c r="FZK76" s="70">
        <v>0</v>
      </c>
      <c r="FZL76" s="70">
        <v>0</v>
      </c>
      <c r="FZM76" s="70">
        <v>0</v>
      </c>
      <c r="FZN76" s="70">
        <v>0</v>
      </c>
      <c r="FZO76" s="70">
        <v>0</v>
      </c>
      <c r="FZP76" s="70">
        <v>0</v>
      </c>
      <c r="FZQ76" s="70">
        <v>0</v>
      </c>
      <c r="FZR76" s="70">
        <v>0</v>
      </c>
      <c r="FZS76" s="70">
        <v>0</v>
      </c>
      <c r="FZT76" s="70">
        <v>0</v>
      </c>
      <c r="FZU76" s="70">
        <v>0</v>
      </c>
      <c r="FZV76" s="70">
        <v>0</v>
      </c>
      <c r="FZW76" s="70">
        <v>0</v>
      </c>
      <c r="FZX76" s="70">
        <v>0</v>
      </c>
      <c r="FZY76" s="70">
        <v>0</v>
      </c>
      <c r="FZZ76" s="70">
        <v>0</v>
      </c>
      <c r="GAA76" s="70">
        <v>0</v>
      </c>
      <c r="GAB76" s="70">
        <v>0</v>
      </c>
      <c r="GAC76" s="70">
        <v>0</v>
      </c>
      <c r="GAD76" s="70">
        <v>0</v>
      </c>
      <c r="GAE76" s="70">
        <v>0</v>
      </c>
      <c r="GAF76" s="70">
        <v>0</v>
      </c>
      <c r="GAG76" s="70">
        <v>0</v>
      </c>
      <c r="GAH76" s="70">
        <v>0</v>
      </c>
      <c r="GAI76" s="70">
        <v>0</v>
      </c>
      <c r="GAJ76" s="70">
        <v>0</v>
      </c>
      <c r="GAK76" s="70">
        <v>0</v>
      </c>
      <c r="GAL76" s="70">
        <v>0</v>
      </c>
      <c r="GAM76" s="70">
        <v>0</v>
      </c>
      <c r="GAN76" s="70">
        <v>0</v>
      </c>
      <c r="GAO76" s="70">
        <v>0</v>
      </c>
      <c r="GAP76" s="70">
        <v>0</v>
      </c>
      <c r="GAQ76" s="70">
        <v>0</v>
      </c>
      <c r="GAR76" s="70">
        <v>0</v>
      </c>
      <c r="GAS76" s="70">
        <v>0</v>
      </c>
      <c r="GAT76" s="70">
        <v>0</v>
      </c>
      <c r="GAU76" s="70">
        <v>0</v>
      </c>
      <c r="GAV76" s="70">
        <v>0</v>
      </c>
      <c r="GAW76" s="70">
        <v>0</v>
      </c>
      <c r="GAX76" s="70">
        <v>0</v>
      </c>
      <c r="GAY76" s="70">
        <v>0</v>
      </c>
      <c r="GAZ76" s="70">
        <v>0</v>
      </c>
      <c r="GBA76" s="70">
        <v>0</v>
      </c>
      <c r="GBB76" s="70">
        <v>0</v>
      </c>
      <c r="GBC76" s="70">
        <v>0</v>
      </c>
      <c r="GBD76" s="70">
        <v>0</v>
      </c>
      <c r="GBE76" s="70">
        <v>0</v>
      </c>
      <c r="GBF76" s="70">
        <v>0</v>
      </c>
      <c r="GBG76" s="70">
        <v>0</v>
      </c>
      <c r="GBH76" s="70">
        <v>0</v>
      </c>
      <c r="GBI76" s="70">
        <v>0</v>
      </c>
      <c r="GBJ76" s="70">
        <v>0</v>
      </c>
      <c r="GBK76" s="70">
        <v>0</v>
      </c>
      <c r="GBL76" s="70">
        <v>0</v>
      </c>
      <c r="GBM76" s="70">
        <v>0</v>
      </c>
      <c r="GBN76" s="70">
        <v>0</v>
      </c>
      <c r="GBO76" s="70">
        <v>0</v>
      </c>
      <c r="GBP76" s="70">
        <v>0</v>
      </c>
      <c r="GBQ76" s="70">
        <v>0</v>
      </c>
      <c r="GBR76" s="70">
        <v>0</v>
      </c>
      <c r="GBS76" s="70">
        <v>0</v>
      </c>
      <c r="GBT76" s="70">
        <v>0</v>
      </c>
      <c r="GBU76" s="70">
        <v>0</v>
      </c>
      <c r="GBV76" s="70">
        <v>0</v>
      </c>
      <c r="GBW76" s="70">
        <v>0</v>
      </c>
      <c r="GBX76" s="70">
        <v>0</v>
      </c>
      <c r="GBY76" s="70">
        <v>0</v>
      </c>
      <c r="GBZ76" s="70">
        <v>0</v>
      </c>
      <c r="GCA76" s="70">
        <v>0</v>
      </c>
      <c r="GCB76" s="70">
        <v>0</v>
      </c>
      <c r="GCC76" s="70">
        <v>0</v>
      </c>
      <c r="GCD76" s="70">
        <v>0</v>
      </c>
      <c r="GCE76" s="70">
        <v>0</v>
      </c>
      <c r="GCF76" s="70">
        <v>0</v>
      </c>
      <c r="GCG76" s="70">
        <v>0</v>
      </c>
      <c r="GCH76" s="70">
        <v>0</v>
      </c>
      <c r="GCI76" s="70">
        <v>0</v>
      </c>
      <c r="GCJ76" s="70">
        <v>0</v>
      </c>
      <c r="GCK76" s="70">
        <v>0</v>
      </c>
      <c r="GCL76" s="70">
        <v>0</v>
      </c>
      <c r="GCM76" s="70">
        <v>0</v>
      </c>
      <c r="GCN76" s="70">
        <v>0</v>
      </c>
      <c r="GCO76" s="70">
        <v>0</v>
      </c>
      <c r="GCP76" s="70">
        <v>0</v>
      </c>
      <c r="GCQ76" s="70">
        <v>0</v>
      </c>
      <c r="GCR76" s="70">
        <v>0</v>
      </c>
      <c r="GCS76" s="70">
        <v>0</v>
      </c>
      <c r="GCT76" s="70">
        <v>0</v>
      </c>
      <c r="GCU76" s="70">
        <v>0</v>
      </c>
      <c r="GCV76" s="70">
        <v>0</v>
      </c>
      <c r="GCW76" s="70">
        <v>0</v>
      </c>
      <c r="GCX76" s="70">
        <v>0</v>
      </c>
      <c r="GCY76" s="70">
        <v>0</v>
      </c>
      <c r="GCZ76" s="70">
        <v>0</v>
      </c>
      <c r="GDA76" s="70">
        <v>0</v>
      </c>
      <c r="GDB76" s="70">
        <v>0</v>
      </c>
      <c r="GDC76" s="70">
        <v>0</v>
      </c>
      <c r="GDD76" s="70">
        <v>0</v>
      </c>
      <c r="GDE76" s="70">
        <v>0</v>
      </c>
      <c r="GDF76" s="70">
        <v>0</v>
      </c>
      <c r="GDG76" s="70">
        <v>0</v>
      </c>
      <c r="GDH76" s="70">
        <v>0</v>
      </c>
      <c r="GDI76" s="70">
        <v>0</v>
      </c>
      <c r="GDJ76" s="70">
        <v>0</v>
      </c>
      <c r="GDK76" s="70">
        <v>0</v>
      </c>
      <c r="GDL76" s="70">
        <v>0</v>
      </c>
      <c r="GDM76" s="70">
        <v>0</v>
      </c>
      <c r="GDN76" s="70">
        <v>0</v>
      </c>
      <c r="GDO76" s="70">
        <v>0</v>
      </c>
      <c r="GDP76" s="70">
        <v>0</v>
      </c>
      <c r="GDQ76" s="70">
        <v>0</v>
      </c>
      <c r="GDR76" s="70">
        <v>0</v>
      </c>
      <c r="GDS76" s="70">
        <v>0</v>
      </c>
      <c r="GDT76" s="70">
        <v>0</v>
      </c>
      <c r="GDU76" s="70">
        <v>0</v>
      </c>
      <c r="GDV76" s="70">
        <v>0</v>
      </c>
      <c r="GDW76" s="70">
        <v>0</v>
      </c>
      <c r="GDX76" s="70">
        <v>0</v>
      </c>
      <c r="GDY76" s="70">
        <v>0</v>
      </c>
      <c r="GDZ76" s="70">
        <v>0</v>
      </c>
      <c r="GEA76" s="70">
        <v>0</v>
      </c>
      <c r="GEB76" s="70">
        <v>0</v>
      </c>
      <c r="GEC76" s="70">
        <v>0</v>
      </c>
      <c r="GED76" s="70">
        <v>0</v>
      </c>
      <c r="GEE76" s="70">
        <v>0</v>
      </c>
      <c r="GEF76" s="70">
        <v>0</v>
      </c>
      <c r="GEG76" s="70">
        <v>0</v>
      </c>
      <c r="GEH76" s="70">
        <v>0</v>
      </c>
      <c r="GEI76" s="70">
        <v>0</v>
      </c>
      <c r="GEJ76" s="70">
        <v>0</v>
      </c>
      <c r="GEK76" s="70">
        <v>0</v>
      </c>
      <c r="GEL76" s="70">
        <v>0</v>
      </c>
      <c r="GEM76" s="70">
        <v>0</v>
      </c>
      <c r="GEN76" s="70">
        <v>0</v>
      </c>
      <c r="GEO76" s="70">
        <v>0</v>
      </c>
      <c r="GEP76" s="70">
        <v>0</v>
      </c>
      <c r="GEQ76" s="70">
        <v>0</v>
      </c>
      <c r="GER76" s="70">
        <v>0</v>
      </c>
      <c r="GES76" s="70">
        <v>0</v>
      </c>
      <c r="GET76" s="70">
        <v>0</v>
      </c>
      <c r="GEU76" s="70">
        <v>0</v>
      </c>
      <c r="GEV76" s="70">
        <v>0</v>
      </c>
      <c r="GEW76" s="70">
        <v>0</v>
      </c>
      <c r="GEX76" s="70">
        <v>0</v>
      </c>
      <c r="GEY76" s="70">
        <v>0</v>
      </c>
      <c r="GEZ76" s="70">
        <v>0</v>
      </c>
      <c r="GFA76" s="70">
        <v>0</v>
      </c>
      <c r="GFB76" s="70">
        <v>0</v>
      </c>
      <c r="GFC76" s="70">
        <v>0</v>
      </c>
      <c r="GFD76" s="70">
        <v>0</v>
      </c>
      <c r="GFE76" s="70">
        <v>0</v>
      </c>
      <c r="GFF76" s="70">
        <v>0</v>
      </c>
      <c r="GFG76" s="70">
        <v>0</v>
      </c>
      <c r="GFH76" s="70">
        <v>0</v>
      </c>
      <c r="GFI76" s="70">
        <v>0</v>
      </c>
      <c r="GFJ76" s="70">
        <v>0</v>
      </c>
      <c r="GFK76" s="70">
        <v>0</v>
      </c>
      <c r="GFL76" s="70">
        <v>0</v>
      </c>
      <c r="GFM76" s="70">
        <v>0</v>
      </c>
      <c r="GFN76" s="70">
        <v>0</v>
      </c>
      <c r="GFO76" s="70">
        <v>0</v>
      </c>
      <c r="GFP76" s="70">
        <v>0</v>
      </c>
      <c r="GFQ76" s="70">
        <v>0</v>
      </c>
      <c r="GFR76" s="70">
        <v>0</v>
      </c>
      <c r="GFS76" s="70">
        <v>0</v>
      </c>
      <c r="GFT76" s="70">
        <v>0</v>
      </c>
      <c r="GFU76" s="70">
        <v>0</v>
      </c>
      <c r="GFV76" s="70">
        <v>0</v>
      </c>
      <c r="GFW76" s="70">
        <v>0</v>
      </c>
      <c r="GFX76" s="70">
        <v>0</v>
      </c>
      <c r="GFY76" s="70">
        <v>0</v>
      </c>
      <c r="GFZ76" s="70">
        <v>0</v>
      </c>
      <c r="GGA76" s="70">
        <v>0</v>
      </c>
      <c r="GGB76" s="70">
        <v>0</v>
      </c>
      <c r="GGC76" s="70">
        <v>0</v>
      </c>
      <c r="GGD76" s="70">
        <v>0</v>
      </c>
      <c r="GGE76" s="70">
        <v>0</v>
      </c>
      <c r="GGF76" s="70">
        <v>0</v>
      </c>
      <c r="GGG76" s="70">
        <v>0</v>
      </c>
      <c r="GGH76" s="70">
        <v>0</v>
      </c>
      <c r="GGI76" s="70">
        <v>0</v>
      </c>
      <c r="GGJ76" s="70">
        <v>0</v>
      </c>
      <c r="GGK76" s="70">
        <v>0</v>
      </c>
      <c r="GGL76" s="70">
        <v>0</v>
      </c>
      <c r="GGM76" s="70">
        <v>0</v>
      </c>
      <c r="GGN76" s="70">
        <v>0</v>
      </c>
      <c r="GGO76" s="70">
        <v>0</v>
      </c>
      <c r="GGP76" s="70">
        <v>0</v>
      </c>
      <c r="GGQ76" s="70">
        <v>0</v>
      </c>
      <c r="GGR76" s="70">
        <v>0</v>
      </c>
      <c r="GGS76" s="70">
        <v>0</v>
      </c>
      <c r="GGT76" s="70">
        <v>0</v>
      </c>
      <c r="GGU76" s="70">
        <v>0</v>
      </c>
      <c r="GGV76" s="70">
        <v>0</v>
      </c>
      <c r="GGW76" s="70">
        <v>0</v>
      </c>
      <c r="GGX76" s="70">
        <v>0</v>
      </c>
      <c r="GGY76" s="70">
        <v>0</v>
      </c>
      <c r="GGZ76" s="70">
        <v>0</v>
      </c>
      <c r="GHA76" s="70">
        <v>0</v>
      </c>
      <c r="GHB76" s="70">
        <v>0</v>
      </c>
      <c r="GHC76" s="70">
        <v>0</v>
      </c>
      <c r="GHD76" s="70">
        <v>0</v>
      </c>
      <c r="GHE76" s="70">
        <v>0</v>
      </c>
      <c r="GHF76" s="70">
        <v>0</v>
      </c>
      <c r="GHG76" s="70">
        <v>0</v>
      </c>
      <c r="GHH76" s="70">
        <v>0</v>
      </c>
      <c r="GHI76" s="70">
        <v>0</v>
      </c>
      <c r="GHJ76" s="70">
        <v>0</v>
      </c>
      <c r="GHK76" s="70">
        <v>0</v>
      </c>
      <c r="GHL76" s="70">
        <v>0</v>
      </c>
      <c r="GHM76" s="70">
        <v>0</v>
      </c>
      <c r="GHN76" s="70">
        <v>0</v>
      </c>
      <c r="GHO76" s="70">
        <v>0</v>
      </c>
      <c r="GHP76" s="70">
        <v>0</v>
      </c>
      <c r="GHQ76" s="70">
        <v>0</v>
      </c>
      <c r="GHR76" s="70">
        <v>0</v>
      </c>
      <c r="GHS76" s="70">
        <v>0</v>
      </c>
      <c r="GHT76" s="70">
        <v>0</v>
      </c>
      <c r="GHU76" s="70">
        <v>0</v>
      </c>
      <c r="GHV76" s="70">
        <v>0</v>
      </c>
      <c r="GHW76" s="70">
        <v>0</v>
      </c>
      <c r="GHX76" s="70">
        <v>0</v>
      </c>
      <c r="GHY76" s="70">
        <v>0</v>
      </c>
      <c r="GHZ76" s="70">
        <v>0</v>
      </c>
      <c r="GIA76" s="70">
        <v>0</v>
      </c>
      <c r="GIB76" s="70">
        <v>0</v>
      </c>
      <c r="GIC76" s="70">
        <v>0</v>
      </c>
      <c r="GID76" s="70">
        <v>0</v>
      </c>
      <c r="GIE76" s="70">
        <v>0</v>
      </c>
      <c r="GIF76" s="70">
        <v>0</v>
      </c>
      <c r="GIG76" s="70">
        <v>0</v>
      </c>
      <c r="GIH76" s="70">
        <v>0</v>
      </c>
      <c r="GII76" s="70">
        <v>0</v>
      </c>
      <c r="GIJ76" s="70">
        <v>0</v>
      </c>
      <c r="GIK76" s="70">
        <v>0</v>
      </c>
      <c r="GIL76" s="70">
        <v>0</v>
      </c>
      <c r="GIM76" s="70">
        <v>0</v>
      </c>
      <c r="GIN76" s="70">
        <v>0</v>
      </c>
      <c r="GIO76" s="70">
        <v>0</v>
      </c>
      <c r="GIP76" s="70">
        <v>0</v>
      </c>
      <c r="GIQ76" s="70">
        <v>0</v>
      </c>
      <c r="GIR76" s="70">
        <v>0</v>
      </c>
      <c r="GIS76" s="70">
        <v>0</v>
      </c>
      <c r="GIT76" s="70">
        <v>0</v>
      </c>
      <c r="GIU76" s="70">
        <v>0</v>
      </c>
      <c r="GIV76" s="70">
        <v>0</v>
      </c>
      <c r="GIW76" s="70">
        <v>0</v>
      </c>
      <c r="GIX76" s="70">
        <v>0</v>
      </c>
      <c r="GIY76" s="70">
        <v>0</v>
      </c>
      <c r="GIZ76" s="70">
        <v>0</v>
      </c>
      <c r="GJA76" s="70">
        <v>0</v>
      </c>
      <c r="GJB76" s="70">
        <v>0</v>
      </c>
      <c r="GJC76" s="70">
        <v>0</v>
      </c>
      <c r="GJD76" s="70">
        <v>0</v>
      </c>
      <c r="GJE76" s="70">
        <v>0</v>
      </c>
      <c r="GJF76" s="70">
        <v>0</v>
      </c>
      <c r="GJG76" s="70">
        <v>0</v>
      </c>
      <c r="GJH76" s="70">
        <v>0</v>
      </c>
      <c r="GJI76" s="70">
        <v>0</v>
      </c>
      <c r="GJJ76" s="70">
        <v>0</v>
      </c>
      <c r="GJK76" s="70">
        <v>0</v>
      </c>
      <c r="GJL76" s="70">
        <v>0</v>
      </c>
      <c r="GJM76" s="70">
        <v>0</v>
      </c>
      <c r="GJN76" s="70">
        <v>0</v>
      </c>
      <c r="GJO76" s="70">
        <v>0</v>
      </c>
      <c r="GJP76" s="70">
        <v>0</v>
      </c>
      <c r="GJQ76" s="70">
        <v>0</v>
      </c>
      <c r="GJR76" s="70">
        <v>0</v>
      </c>
      <c r="GJS76" s="70">
        <v>0</v>
      </c>
      <c r="GJT76" s="70">
        <v>0</v>
      </c>
      <c r="GJU76" s="70">
        <v>0</v>
      </c>
      <c r="GJV76" s="70">
        <v>0</v>
      </c>
      <c r="GJW76" s="70">
        <v>0</v>
      </c>
      <c r="GJX76" s="70">
        <v>0</v>
      </c>
      <c r="GJY76" s="70">
        <v>0</v>
      </c>
      <c r="GJZ76" s="70">
        <v>0</v>
      </c>
      <c r="GKA76" s="70">
        <v>0</v>
      </c>
      <c r="GKB76" s="70">
        <v>0</v>
      </c>
      <c r="GKC76" s="70">
        <v>0</v>
      </c>
      <c r="GKD76" s="70">
        <v>0</v>
      </c>
      <c r="GKE76" s="70">
        <v>0</v>
      </c>
      <c r="GKF76" s="70">
        <v>0</v>
      </c>
      <c r="GKG76" s="70">
        <v>0</v>
      </c>
      <c r="GKH76" s="70">
        <v>0</v>
      </c>
      <c r="GKI76" s="70">
        <v>0</v>
      </c>
      <c r="GKJ76" s="70">
        <v>0</v>
      </c>
      <c r="GKK76" s="70">
        <v>0</v>
      </c>
      <c r="GKL76" s="70">
        <v>0</v>
      </c>
      <c r="GKM76" s="70">
        <v>0</v>
      </c>
      <c r="GKN76" s="70">
        <v>0</v>
      </c>
      <c r="GKO76" s="70">
        <v>0</v>
      </c>
      <c r="GKP76" s="70">
        <v>0</v>
      </c>
      <c r="GKQ76" s="70">
        <v>0</v>
      </c>
      <c r="GKR76" s="70">
        <v>0</v>
      </c>
      <c r="GKS76" s="70">
        <v>0</v>
      </c>
      <c r="GKT76" s="70">
        <v>0</v>
      </c>
      <c r="GKU76" s="70">
        <v>0</v>
      </c>
      <c r="GKV76" s="70">
        <v>0</v>
      </c>
      <c r="GKW76" s="70">
        <v>0</v>
      </c>
      <c r="GKX76" s="70">
        <v>0</v>
      </c>
      <c r="GKY76" s="70">
        <v>0</v>
      </c>
      <c r="GKZ76" s="70">
        <v>0</v>
      </c>
      <c r="GLA76" s="70">
        <v>0</v>
      </c>
      <c r="GLB76" s="70">
        <v>0</v>
      </c>
      <c r="GLC76" s="70">
        <v>0</v>
      </c>
      <c r="GLD76" s="70">
        <v>0</v>
      </c>
      <c r="GLE76" s="70">
        <v>0</v>
      </c>
      <c r="GLF76" s="70">
        <v>0</v>
      </c>
      <c r="GLG76" s="70">
        <v>0</v>
      </c>
      <c r="GLH76" s="70">
        <v>0</v>
      </c>
      <c r="GLI76" s="70">
        <v>0</v>
      </c>
      <c r="GLJ76" s="70">
        <v>0</v>
      </c>
      <c r="GLK76" s="70">
        <v>0</v>
      </c>
      <c r="GLL76" s="70">
        <v>0</v>
      </c>
      <c r="GLM76" s="70">
        <v>0</v>
      </c>
      <c r="GLN76" s="70">
        <v>0</v>
      </c>
      <c r="GLO76" s="70">
        <v>0</v>
      </c>
      <c r="GLP76" s="70">
        <v>0</v>
      </c>
      <c r="GLQ76" s="70">
        <v>0</v>
      </c>
      <c r="GLR76" s="70">
        <v>0</v>
      </c>
      <c r="GLS76" s="70">
        <v>0</v>
      </c>
      <c r="GLT76" s="70">
        <v>0</v>
      </c>
      <c r="GLU76" s="70">
        <v>0</v>
      </c>
      <c r="GLV76" s="70">
        <v>0</v>
      </c>
      <c r="GLW76" s="70">
        <v>0</v>
      </c>
      <c r="GLX76" s="70">
        <v>0</v>
      </c>
      <c r="GLY76" s="70">
        <v>0</v>
      </c>
      <c r="GLZ76" s="70">
        <v>0</v>
      </c>
      <c r="GMA76" s="70">
        <v>0</v>
      </c>
      <c r="GMB76" s="70">
        <v>0</v>
      </c>
      <c r="GMC76" s="70">
        <v>0</v>
      </c>
      <c r="GMD76" s="70">
        <v>0</v>
      </c>
      <c r="GME76" s="70">
        <v>0</v>
      </c>
      <c r="GMF76" s="70">
        <v>0</v>
      </c>
      <c r="GMG76" s="70">
        <v>0</v>
      </c>
      <c r="GMH76" s="70">
        <v>0</v>
      </c>
      <c r="GMI76" s="70">
        <v>0</v>
      </c>
      <c r="GMJ76" s="70">
        <v>0</v>
      </c>
      <c r="GMK76" s="70">
        <v>0</v>
      </c>
      <c r="GML76" s="70">
        <v>0</v>
      </c>
      <c r="GMM76" s="70">
        <v>0</v>
      </c>
      <c r="GMN76" s="70">
        <v>0</v>
      </c>
      <c r="GMO76" s="70">
        <v>0</v>
      </c>
      <c r="GMP76" s="70">
        <v>0</v>
      </c>
      <c r="GMQ76" s="70">
        <v>0</v>
      </c>
      <c r="GMR76" s="70">
        <v>0</v>
      </c>
      <c r="GMS76" s="70">
        <v>0</v>
      </c>
      <c r="GMT76" s="70">
        <v>0</v>
      </c>
      <c r="GMU76" s="70">
        <v>0</v>
      </c>
      <c r="GMV76" s="70">
        <v>0</v>
      </c>
      <c r="GMW76" s="70">
        <v>0</v>
      </c>
      <c r="GMX76" s="70">
        <v>0</v>
      </c>
      <c r="GMY76" s="70">
        <v>0</v>
      </c>
      <c r="GMZ76" s="70">
        <v>0</v>
      </c>
      <c r="GNA76" s="70">
        <v>0</v>
      </c>
      <c r="GNB76" s="70">
        <v>0</v>
      </c>
      <c r="GNC76" s="70">
        <v>0</v>
      </c>
      <c r="GND76" s="70">
        <v>0</v>
      </c>
      <c r="GNE76" s="70">
        <v>0</v>
      </c>
      <c r="GNF76" s="70">
        <v>0</v>
      </c>
      <c r="GNG76" s="70">
        <v>0</v>
      </c>
      <c r="GNH76" s="70">
        <v>0</v>
      </c>
      <c r="GNI76" s="70">
        <v>0</v>
      </c>
      <c r="GNJ76" s="70">
        <v>0</v>
      </c>
      <c r="GNK76" s="70">
        <v>0</v>
      </c>
      <c r="GNL76" s="70">
        <v>0</v>
      </c>
      <c r="GNM76" s="70">
        <v>0</v>
      </c>
      <c r="GNN76" s="70">
        <v>0</v>
      </c>
      <c r="GNO76" s="70">
        <v>0</v>
      </c>
      <c r="GNP76" s="70">
        <v>0</v>
      </c>
      <c r="GNQ76" s="70">
        <v>0</v>
      </c>
      <c r="GNR76" s="70">
        <v>0</v>
      </c>
      <c r="GNS76" s="70">
        <v>0</v>
      </c>
      <c r="GNT76" s="70">
        <v>0</v>
      </c>
      <c r="GNU76" s="70">
        <v>0</v>
      </c>
      <c r="GNV76" s="70">
        <v>0</v>
      </c>
      <c r="GNW76" s="70">
        <v>0</v>
      </c>
      <c r="GNX76" s="70">
        <v>0</v>
      </c>
      <c r="GNY76" s="70">
        <v>0</v>
      </c>
      <c r="GNZ76" s="70">
        <v>0</v>
      </c>
      <c r="GOA76" s="70">
        <v>0</v>
      </c>
      <c r="GOB76" s="70">
        <v>0</v>
      </c>
      <c r="GOC76" s="70">
        <v>0</v>
      </c>
      <c r="GOD76" s="70">
        <v>0</v>
      </c>
      <c r="GOE76" s="70">
        <v>0</v>
      </c>
      <c r="GOF76" s="70">
        <v>0</v>
      </c>
      <c r="GOG76" s="70">
        <v>0</v>
      </c>
      <c r="GOH76" s="70">
        <v>0</v>
      </c>
      <c r="GOI76" s="70">
        <v>0</v>
      </c>
      <c r="GOJ76" s="70">
        <v>0</v>
      </c>
      <c r="GOK76" s="70">
        <v>0</v>
      </c>
      <c r="GOL76" s="70">
        <v>0</v>
      </c>
      <c r="GOM76" s="70">
        <v>0</v>
      </c>
      <c r="GON76" s="70">
        <v>0</v>
      </c>
      <c r="GOO76" s="70">
        <v>0</v>
      </c>
      <c r="GOP76" s="70">
        <v>0</v>
      </c>
      <c r="GOQ76" s="70">
        <v>0</v>
      </c>
      <c r="GOR76" s="70">
        <v>0</v>
      </c>
      <c r="GOS76" s="70">
        <v>0</v>
      </c>
      <c r="GOT76" s="70">
        <v>0</v>
      </c>
      <c r="GOU76" s="70">
        <v>0</v>
      </c>
      <c r="GOV76" s="70">
        <v>0</v>
      </c>
      <c r="GOW76" s="70">
        <v>0</v>
      </c>
      <c r="GOX76" s="70">
        <v>0</v>
      </c>
      <c r="GOY76" s="70">
        <v>0</v>
      </c>
      <c r="GOZ76" s="70">
        <v>0</v>
      </c>
      <c r="GPA76" s="70">
        <v>0</v>
      </c>
      <c r="GPB76" s="70">
        <v>0</v>
      </c>
      <c r="GPC76" s="70">
        <v>0</v>
      </c>
      <c r="GPD76" s="70">
        <v>0</v>
      </c>
      <c r="GPE76" s="70">
        <v>0</v>
      </c>
      <c r="GPF76" s="70">
        <v>0</v>
      </c>
      <c r="GPG76" s="70">
        <v>0</v>
      </c>
      <c r="GPH76" s="70">
        <v>0</v>
      </c>
      <c r="GPI76" s="70">
        <v>0</v>
      </c>
      <c r="GPJ76" s="70">
        <v>0</v>
      </c>
      <c r="GPK76" s="70">
        <v>0</v>
      </c>
      <c r="GPL76" s="70">
        <v>0</v>
      </c>
      <c r="GPM76" s="70">
        <v>0</v>
      </c>
      <c r="GPN76" s="70">
        <v>0</v>
      </c>
      <c r="GPO76" s="70">
        <v>0</v>
      </c>
      <c r="GPP76" s="70">
        <v>0</v>
      </c>
      <c r="GPQ76" s="70">
        <v>0</v>
      </c>
      <c r="GPR76" s="70">
        <v>0</v>
      </c>
      <c r="GPS76" s="70">
        <v>0</v>
      </c>
      <c r="GPT76" s="70">
        <v>0</v>
      </c>
      <c r="GPU76" s="70">
        <v>0</v>
      </c>
      <c r="GPV76" s="70">
        <v>0</v>
      </c>
      <c r="GPW76" s="70">
        <v>0</v>
      </c>
      <c r="GPX76" s="70">
        <v>0</v>
      </c>
      <c r="GPY76" s="70">
        <v>0</v>
      </c>
      <c r="GPZ76" s="70">
        <v>0</v>
      </c>
      <c r="GQA76" s="70">
        <v>0</v>
      </c>
      <c r="GQB76" s="70">
        <v>0</v>
      </c>
      <c r="GQC76" s="70">
        <v>0</v>
      </c>
      <c r="GQD76" s="70">
        <v>0</v>
      </c>
      <c r="GQE76" s="70">
        <v>0</v>
      </c>
      <c r="GQF76" s="70">
        <v>0</v>
      </c>
      <c r="GQG76" s="70">
        <v>0</v>
      </c>
      <c r="GQH76" s="70">
        <v>0</v>
      </c>
      <c r="GQI76" s="70">
        <v>0</v>
      </c>
      <c r="GQJ76" s="70">
        <v>0</v>
      </c>
      <c r="GQK76" s="70">
        <v>0</v>
      </c>
      <c r="GQL76" s="70">
        <v>0</v>
      </c>
      <c r="GQM76" s="70">
        <v>0</v>
      </c>
      <c r="GQN76" s="70">
        <v>0</v>
      </c>
      <c r="GQO76" s="70">
        <v>0</v>
      </c>
      <c r="GQP76" s="70">
        <v>0</v>
      </c>
      <c r="GQQ76" s="70">
        <v>0</v>
      </c>
      <c r="GQR76" s="70">
        <v>0</v>
      </c>
      <c r="GQS76" s="70">
        <v>0</v>
      </c>
      <c r="GQT76" s="70">
        <v>0</v>
      </c>
      <c r="GQU76" s="70">
        <v>0</v>
      </c>
      <c r="GQV76" s="70">
        <v>0</v>
      </c>
      <c r="GQW76" s="70">
        <v>0</v>
      </c>
      <c r="GQX76" s="70">
        <v>0</v>
      </c>
      <c r="GQY76" s="70">
        <v>0</v>
      </c>
      <c r="GQZ76" s="70">
        <v>0</v>
      </c>
      <c r="GRA76" s="70">
        <v>0</v>
      </c>
      <c r="GRB76" s="70">
        <v>0</v>
      </c>
      <c r="GRC76" s="70">
        <v>0</v>
      </c>
      <c r="GRD76" s="70">
        <v>0</v>
      </c>
      <c r="GRE76" s="70">
        <v>0</v>
      </c>
      <c r="GRF76" s="70">
        <v>0</v>
      </c>
      <c r="GRG76" s="70">
        <v>0</v>
      </c>
      <c r="GRH76" s="70">
        <v>0</v>
      </c>
      <c r="GRI76" s="70">
        <v>0</v>
      </c>
      <c r="GRJ76" s="70">
        <v>0</v>
      </c>
      <c r="GRK76" s="70">
        <v>0</v>
      </c>
      <c r="GRL76" s="70">
        <v>0</v>
      </c>
      <c r="GRM76" s="70">
        <v>0</v>
      </c>
      <c r="GRN76" s="70">
        <v>0</v>
      </c>
      <c r="GRO76" s="70">
        <v>0</v>
      </c>
      <c r="GRP76" s="70">
        <v>0</v>
      </c>
      <c r="GRQ76" s="70">
        <v>0</v>
      </c>
      <c r="GRR76" s="70">
        <v>0</v>
      </c>
      <c r="GRS76" s="70">
        <v>0</v>
      </c>
      <c r="GRT76" s="70">
        <v>0</v>
      </c>
      <c r="GRU76" s="70">
        <v>0</v>
      </c>
      <c r="GRV76" s="70">
        <v>0</v>
      </c>
      <c r="GRW76" s="70">
        <v>0</v>
      </c>
      <c r="GRX76" s="70">
        <v>0</v>
      </c>
      <c r="GRY76" s="70">
        <v>0</v>
      </c>
      <c r="GRZ76" s="70">
        <v>0</v>
      </c>
      <c r="GSA76" s="70">
        <v>0</v>
      </c>
      <c r="GSB76" s="70">
        <v>0</v>
      </c>
      <c r="GSC76" s="70">
        <v>0</v>
      </c>
      <c r="GSD76" s="70">
        <v>0</v>
      </c>
      <c r="GSE76" s="70">
        <v>0</v>
      </c>
      <c r="GSF76" s="70">
        <v>0</v>
      </c>
      <c r="GSG76" s="70">
        <v>0</v>
      </c>
      <c r="GSH76" s="70">
        <v>0</v>
      </c>
      <c r="GSI76" s="70">
        <v>0</v>
      </c>
      <c r="GSJ76" s="70">
        <v>0</v>
      </c>
      <c r="GSK76" s="70">
        <v>0</v>
      </c>
      <c r="GSL76" s="70">
        <v>0</v>
      </c>
      <c r="GSM76" s="70">
        <v>0</v>
      </c>
      <c r="GSN76" s="70">
        <v>0</v>
      </c>
      <c r="GSO76" s="70">
        <v>0</v>
      </c>
      <c r="GSP76" s="70">
        <v>0</v>
      </c>
      <c r="GSQ76" s="70">
        <v>0</v>
      </c>
      <c r="GSR76" s="70">
        <v>0</v>
      </c>
      <c r="GSS76" s="70">
        <v>0</v>
      </c>
      <c r="GST76" s="70">
        <v>0</v>
      </c>
      <c r="GSU76" s="70">
        <v>0</v>
      </c>
      <c r="GSV76" s="70">
        <v>0</v>
      </c>
      <c r="GSW76" s="70">
        <v>0</v>
      </c>
      <c r="GSX76" s="70">
        <v>0</v>
      </c>
      <c r="GSY76" s="70">
        <v>0</v>
      </c>
      <c r="GSZ76" s="70">
        <v>0</v>
      </c>
      <c r="GTA76" s="70">
        <v>0</v>
      </c>
      <c r="GTB76" s="70">
        <v>0</v>
      </c>
      <c r="GTC76" s="70">
        <v>0</v>
      </c>
      <c r="GTD76" s="70">
        <v>0</v>
      </c>
      <c r="GTE76" s="70">
        <v>0</v>
      </c>
      <c r="GTF76" s="70">
        <v>0</v>
      </c>
      <c r="GTG76" s="70">
        <v>0</v>
      </c>
      <c r="GTH76" s="70">
        <v>0</v>
      </c>
      <c r="GTI76" s="70">
        <v>0</v>
      </c>
      <c r="GTJ76" s="70">
        <v>0</v>
      </c>
      <c r="GTK76" s="70">
        <v>0</v>
      </c>
      <c r="GTL76" s="70">
        <v>0</v>
      </c>
      <c r="GTM76" s="70">
        <v>0</v>
      </c>
      <c r="GTN76" s="70">
        <v>0</v>
      </c>
      <c r="GTO76" s="70">
        <v>0</v>
      </c>
      <c r="GTP76" s="70">
        <v>0</v>
      </c>
      <c r="GTQ76" s="70">
        <v>0</v>
      </c>
      <c r="GTR76" s="70">
        <v>0</v>
      </c>
      <c r="GTS76" s="70">
        <v>0</v>
      </c>
      <c r="GTT76" s="70">
        <v>0</v>
      </c>
      <c r="GTU76" s="70">
        <v>0</v>
      </c>
      <c r="GTV76" s="70">
        <v>0</v>
      </c>
      <c r="GTW76" s="70">
        <v>0</v>
      </c>
      <c r="GTX76" s="70">
        <v>0</v>
      </c>
      <c r="GTY76" s="70">
        <v>0</v>
      </c>
      <c r="GTZ76" s="70">
        <v>0</v>
      </c>
      <c r="GUA76" s="70">
        <v>0</v>
      </c>
      <c r="GUB76" s="70">
        <v>0</v>
      </c>
      <c r="GUC76" s="70">
        <v>0</v>
      </c>
      <c r="GUD76" s="70">
        <v>0</v>
      </c>
      <c r="GUE76" s="70">
        <v>0</v>
      </c>
      <c r="GUF76" s="70">
        <v>0</v>
      </c>
      <c r="GUG76" s="70">
        <v>0</v>
      </c>
      <c r="GUH76" s="70">
        <v>0</v>
      </c>
      <c r="GUI76" s="70">
        <v>0</v>
      </c>
      <c r="GUJ76" s="70">
        <v>0</v>
      </c>
      <c r="GUK76" s="70">
        <v>0</v>
      </c>
      <c r="GUL76" s="70">
        <v>0</v>
      </c>
      <c r="GUM76" s="70">
        <v>0</v>
      </c>
      <c r="GUN76" s="70">
        <v>0</v>
      </c>
      <c r="GUO76" s="70">
        <v>0</v>
      </c>
      <c r="GUP76" s="70">
        <v>0</v>
      </c>
      <c r="GUQ76" s="70">
        <v>0</v>
      </c>
      <c r="GUR76" s="70">
        <v>0</v>
      </c>
      <c r="GUS76" s="70">
        <v>0</v>
      </c>
      <c r="GUT76" s="70">
        <v>0</v>
      </c>
      <c r="GUU76" s="70">
        <v>0</v>
      </c>
      <c r="GUV76" s="70">
        <v>0</v>
      </c>
      <c r="GUW76" s="70">
        <v>0</v>
      </c>
      <c r="GUX76" s="70">
        <v>0</v>
      </c>
      <c r="GUY76" s="70">
        <v>0</v>
      </c>
      <c r="GUZ76" s="70">
        <v>0</v>
      </c>
      <c r="GVA76" s="70">
        <v>0</v>
      </c>
      <c r="GVB76" s="70">
        <v>0</v>
      </c>
      <c r="GVC76" s="70">
        <v>0</v>
      </c>
      <c r="GVD76" s="70">
        <v>0</v>
      </c>
      <c r="GVE76" s="70">
        <v>0</v>
      </c>
      <c r="GVF76" s="70">
        <v>0</v>
      </c>
      <c r="GVG76" s="70">
        <v>0</v>
      </c>
      <c r="GVH76" s="70">
        <v>0</v>
      </c>
      <c r="GVI76" s="70">
        <v>0</v>
      </c>
      <c r="GVJ76" s="70">
        <v>0</v>
      </c>
      <c r="GVK76" s="70">
        <v>0</v>
      </c>
      <c r="GVL76" s="70">
        <v>0</v>
      </c>
      <c r="GVM76" s="70">
        <v>0</v>
      </c>
      <c r="GVN76" s="70">
        <v>0</v>
      </c>
      <c r="GVO76" s="70">
        <v>0</v>
      </c>
      <c r="GVP76" s="70">
        <v>0</v>
      </c>
      <c r="GVQ76" s="70">
        <v>0</v>
      </c>
      <c r="GVR76" s="70">
        <v>0</v>
      </c>
      <c r="GVS76" s="70">
        <v>0</v>
      </c>
      <c r="GVT76" s="70">
        <v>0</v>
      </c>
      <c r="GVU76" s="70">
        <v>0</v>
      </c>
      <c r="GVV76" s="70">
        <v>0</v>
      </c>
      <c r="GVW76" s="70">
        <v>0</v>
      </c>
      <c r="GVX76" s="70">
        <v>0</v>
      </c>
      <c r="GVY76" s="70">
        <v>0</v>
      </c>
      <c r="GVZ76" s="70">
        <v>0</v>
      </c>
      <c r="GWA76" s="70">
        <v>0</v>
      </c>
      <c r="GWB76" s="70">
        <v>0</v>
      </c>
      <c r="GWC76" s="70">
        <v>0</v>
      </c>
      <c r="GWD76" s="70">
        <v>0</v>
      </c>
      <c r="GWE76" s="70">
        <v>0</v>
      </c>
      <c r="GWF76" s="70">
        <v>0</v>
      </c>
      <c r="GWG76" s="70">
        <v>0</v>
      </c>
      <c r="GWH76" s="70">
        <v>0</v>
      </c>
      <c r="GWI76" s="70">
        <v>0</v>
      </c>
      <c r="GWJ76" s="70">
        <v>0</v>
      </c>
      <c r="GWK76" s="70">
        <v>0</v>
      </c>
      <c r="GWL76" s="70">
        <v>0</v>
      </c>
      <c r="GWM76" s="70">
        <v>0</v>
      </c>
      <c r="GWN76" s="70">
        <v>0</v>
      </c>
      <c r="GWO76" s="70">
        <v>0</v>
      </c>
      <c r="GWP76" s="70">
        <v>0</v>
      </c>
      <c r="GWQ76" s="70">
        <v>0</v>
      </c>
      <c r="GWR76" s="70">
        <v>0</v>
      </c>
      <c r="GWS76" s="70">
        <v>0</v>
      </c>
      <c r="GWT76" s="70">
        <v>0</v>
      </c>
      <c r="GWU76" s="70">
        <v>0</v>
      </c>
      <c r="GWV76" s="70">
        <v>0</v>
      </c>
      <c r="GWW76" s="70">
        <v>0</v>
      </c>
      <c r="GWX76" s="70">
        <v>0</v>
      </c>
      <c r="GWY76" s="70">
        <v>0</v>
      </c>
      <c r="GWZ76" s="70">
        <v>0</v>
      </c>
      <c r="GXA76" s="70">
        <v>0</v>
      </c>
      <c r="GXB76" s="70">
        <v>0</v>
      </c>
      <c r="GXC76" s="70">
        <v>0</v>
      </c>
      <c r="GXD76" s="70">
        <v>0</v>
      </c>
      <c r="GXE76" s="70">
        <v>0</v>
      </c>
      <c r="GXF76" s="70">
        <v>0</v>
      </c>
      <c r="GXG76" s="70">
        <v>0</v>
      </c>
      <c r="GXH76" s="70">
        <v>0</v>
      </c>
      <c r="GXI76" s="70">
        <v>0</v>
      </c>
      <c r="GXJ76" s="70">
        <v>0</v>
      </c>
      <c r="GXK76" s="70">
        <v>0</v>
      </c>
      <c r="GXL76" s="70">
        <v>0</v>
      </c>
      <c r="GXM76" s="70">
        <v>0</v>
      </c>
      <c r="GXN76" s="70">
        <v>0</v>
      </c>
      <c r="GXO76" s="70">
        <v>0</v>
      </c>
      <c r="GXP76" s="70">
        <v>0</v>
      </c>
      <c r="GXQ76" s="70">
        <v>0</v>
      </c>
      <c r="GXR76" s="70">
        <v>0</v>
      </c>
      <c r="GXS76" s="70">
        <v>0</v>
      </c>
      <c r="GXT76" s="70">
        <v>0</v>
      </c>
      <c r="GXU76" s="70">
        <v>0</v>
      </c>
      <c r="GXV76" s="70">
        <v>0</v>
      </c>
      <c r="GXW76" s="70">
        <v>0</v>
      </c>
      <c r="GXX76" s="70">
        <v>0</v>
      </c>
      <c r="GXY76" s="70">
        <v>0</v>
      </c>
      <c r="GXZ76" s="70">
        <v>0</v>
      </c>
      <c r="GYA76" s="70">
        <v>0</v>
      </c>
      <c r="GYB76" s="70">
        <v>0</v>
      </c>
      <c r="GYC76" s="70">
        <v>0</v>
      </c>
      <c r="GYD76" s="70">
        <v>0</v>
      </c>
      <c r="GYE76" s="70">
        <v>0</v>
      </c>
      <c r="GYF76" s="70">
        <v>0</v>
      </c>
      <c r="GYG76" s="70">
        <v>0</v>
      </c>
      <c r="GYH76" s="70">
        <v>0</v>
      </c>
      <c r="GYI76" s="70">
        <v>0</v>
      </c>
      <c r="GYJ76" s="70">
        <v>0</v>
      </c>
      <c r="GYK76" s="70">
        <v>0</v>
      </c>
      <c r="GYL76" s="70">
        <v>0</v>
      </c>
      <c r="GYM76" s="70">
        <v>0</v>
      </c>
      <c r="GYN76" s="70">
        <v>0</v>
      </c>
      <c r="GYO76" s="70">
        <v>0</v>
      </c>
      <c r="GYP76" s="70">
        <v>0</v>
      </c>
      <c r="GYQ76" s="70">
        <v>0</v>
      </c>
      <c r="GYR76" s="70">
        <v>0</v>
      </c>
      <c r="GYS76" s="70">
        <v>0</v>
      </c>
      <c r="GYT76" s="70">
        <v>0</v>
      </c>
      <c r="GYU76" s="70">
        <v>0</v>
      </c>
      <c r="GYV76" s="70">
        <v>0</v>
      </c>
      <c r="GYW76" s="70">
        <v>0</v>
      </c>
      <c r="GYX76" s="70">
        <v>0</v>
      </c>
      <c r="GYY76" s="70">
        <v>0</v>
      </c>
      <c r="GYZ76" s="70">
        <v>0</v>
      </c>
      <c r="GZA76" s="70">
        <v>0</v>
      </c>
      <c r="GZB76" s="70">
        <v>0</v>
      </c>
      <c r="GZC76" s="70">
        <v>0</v>
      </c>
      <c r="GZD76" s="70">
        <v>0</v>
      </c>
      <c r="GZE76" s="70">
        <v>0</v>
      </c>
      <c r="GZF76" s="70">
        <v>0</v>
      </c>
      <c r="GZG76" s="70">
        <v>0</v>
      </c>
      <c r="GZH76" s="70">
        <v>0</v>
      </c>
      <c r="GZI76" s="70">
        <v>0</v>
      </c>
      <c r="GZJ76" s="70">
        <v>0</v>
      </c>
      <c r="GZK76" s="70">
        <v>0</v>
      </c>
      <c r="GZL76" s="70">
        <v>0</v>
      </c>
      <c r="GZM76" s="70">
        <v>0</v>
      </c>
      <c r="GZN76" s="70">
        <v>0</v>
      </c>
      <c r="GZO76" s="70">
        <v>0</v>
      </c>
      <c r="GZP76" s="70">
        <v>0</v>
      </c>
      <c r="GZQ76" s="70">
        <v>0</v>
      </c>
      <c r="GZR76" s="70">
        <v>0</v>
      </c>
      <c r="GZS76" s="70">
        <v>0</v>
      </c>
      <c r="GZT76" s="70">
        <v>0</v>
      </c>
      <c r="GZU76" s="70">
        <v>0</v>
      </c>
      <c r="GZV76" s="70">
        <v>0</v>
      </c>
      <c r="GZW76" s="70">
        <v>0</v>
      </c>
      <c r="GZX76" s="70">
        <v>0</v>
      </c>
      <c r="GZY76" s="70">
        <v>0</v>
      </c>
      <c r="GZZ76" s="70">
        <v>0</v>
      </c>
      <c r="HAA76" s="70">
        <v>0</v>
      </c>
      <c r="HAB76" s="70">
        <v>0</v>
      </c>
      <c r="HAC76" s="70">
        <v>0</v>
      </c>
      <c r="HAD76" s="70">
        <v>0</v>
      </c>
      <c r="HAE76" s="70">
        <v>0</v>
      </c>
      <c r="HAF76" s="70">
        <v>0</v>
      </c>
      <c r="HAG76" s="70">
        <v>0</v>
      </c>
      <c r="HAH76" s="70">
        <v>0</v>
      </c>
      <c r="HAI76" s="70">
        <v>0</v>
      </c>
      <c r="HAJ76" s="70">
        <v>0</v>
      </c>
      <c r="HAK76" s="70">
        <v>0</v>
      </c>
      <c r="HAL76" s="70">
        <v>0</v>
      </c>
      <c r="HAM76" s="70">
        <v>0</v>
      </c>
      <c r="HAN76" s="70">
        <v>0</v>
      </c>
      <c r="HAO76" s="70">
        <v>0</v>
      </c>
      <c r="HAP76" s="70">
        <v>0</v>
      </c>
      <c r="HAQ76" s="70">
        <v>0</v>
      </c>
      <c r="HAR76" s="70">
        <v>0</v>
      </c>
      <c r="HAS76" s="70">
        <v>0</v>
      </c>
      <c r="HAT76" s="70">
        <v>0</v>
      </c>
      <c r="HAU76" s="70">
        <v>0</v>
      </c>
      <c r="HAV76" s="70">
        <v>0</v>
      </c>
      <c r="HAW76" s="70">
        <v>0</v>
      </c>
      <c r="HAX76" s="70">
        <v>0</v>
      </c>
      <c r="HAY76" s="70">
        <v>0</v>
      </c>
      <c r="HAZ76" s="70">
        <v>0</v>
      </c>
      <c r="HBA76" s="70">
        <v>0</v>
      </c>
      <c r="HBB76" s="70">
        <v>0</v>
      </c>
      <c r="HBC76" s="70">
        <v>0</v>
      </c>
      <c r="HBD76" s="70">
        <v>0</v>
      </c>
      <c r="HBE76" s="70">
        <v>0</v>
      </c>
      <c r="HBF76" s="70">
        <v>0</v>
      </c>
      <c r="HBG76" s="70">
        <v>0</v>
      </c>
      <c r="HBH76" s="70">
        <v>0</v>
      </c>
      <c r="HBI76" s="70">
        <v>0</v>
      </c>
      <c r="HBJ76" s="70">
        <v>0</v>
      </c>
      <c r="HBK76" s="70">
        <v>0</v>
      </c>
      <c r="HBL76" s="70">
        <v>0</v>
      </c>
      <c r="HBM76" s="70">
        <v>0</v>
      </c>
      <c r="HBN76" s="70">
        <v>0</v>
      </c>
      <c r="HBO76" s="70">
        <v>0</v>
      </c>
      <c r="HBP76" s="70">
        <v>0</v>
      </c>
      <c r="HBQ76" s="70">
        <v>0</v>
      </c>
      <c r="HBR76" s="70">
        <v>0</v>
      </c>
      <c r="HBS76" s="70">
        <v>0</v>
      </c>
      <c r="HBT76" s="70">
        <v>0</v>
      </c>
      <c r="HBU76" s="70">
        <v>0</v>
      </c>
      <c r="HBV76" s="70">
        <v>0</v>
      </c>
      <c r="HBW76" s="70">
        <v>0</v>
      </c>
      <c r="HBX76" s="70">
        <v>0</v>
      </c>
      <c r="HBY76" s="70">
        <v>0</v>
      </c>
      <c r="HBZ76" s="70">
        <v>0</v>
      </c>
      <c r="HCA76" s="70">
        <v>0</v>
      </c>
      <c r="HCB76" s="70">
        <v>0</v>
      </c>
      <c r="HCC76" s="70">
        <v>0</v>
      </c>
      <c r="HCD76" s="70">
        <v>0</v>
      </c>
      <c r="HCE76" s="70">
        <v>0</v>
      </c>
      <c r="HCF76" s="70">
        <v>0</v>
      </c>
      <c r="HCG76" s="70">
        <v>0</v>
      </c>
      <c r="HCH76" s="70">
        <v>0</v>
      </c>
      <c r="HCI76" s="70">
        <v>0</v>
      </c>
      <c r="HCJ76" s="70">
        <v>0</v>
      </c>
      <c r="HCK76" s="70">
        <v>0</v>
      </c>
      <c r="HCL76" s="70">
        <v>0</v>
      </c>
      <c r="HCM76" s="70">
        <v>0</v>
      </c>
      <c r="HCN76" s="70">
        <v>0</v>
      </c>
      <c r="HCO76" s="70">
        <v>0</v>
      </c>
      <c r="HCP76" s="70">
        <v>0</v>
      </c>
      <c r="HCQ76" s="70">
        <v>0</v>
      </c>
      <c r="HCR76" s="70">
        <v>0</v>
      </c>
      <c r="HCS76" s="70">
        <v>0</v>
      </c>
      <c r="HCT76" s="70">
        <v>0</v>
      </c>
      <c r="HCU76" s="70">
        <v>0</v>
      </c>
      <c r="HCV76" s="70">
        <v>0</v>
      </c>
      <c r="HCW76" s="70">
        <v>0</v>
      </c>
      <c r="HCX76" s="70">
        <v>0</v>
      </c>
      <c r="HCY76" s="70">
        <v>0</v>
      </c>
      <c r="HCZ76" s="70">
        <v>0</v>
      </c>
      <c r="HDA76" s="70">
        <v>0</v>
      </c>
      <c r="HDB76" s="70">
        <v>0</v>
      </c>
      <c r="HDC76" s="70">
        <v>0</v>
      </c>
      <c r="HDD76" s="70">
        <v>0</v>
      </c>
      <c r="HDE76" s="70">
        <v>0</v>
      </c>
      <c r="HDF76" s="70">
        <v>0</v>
      </c>
      <c r="HDG76" s="70">
        <v>0</v>
      </c>
      <c r="HDH76" s="70">
        <v>0</v>
      </c>
      <c r="HDI76" s="70">
        <v>0</v>
      </c>
      <c r="HDJ76" s="70">
        <v>0</v>
      </c>
      <c r="HDK76" s="70">
        <v>0</v>
      </c>
      <c r="HDL76" s="70">
        <v>0</v>
      </c>
      <c r="HDM76" s="70">
        <v>0</v>
      </c>
      <c r="HDN76" s="70">
        <v>0</v>
      </c>
      <c r="HDO76" s="70">
        <v>0</v>
      </c>
      <c r="HDP76" s="70">
        <v>0</v>
      </c>
      <c r="HDQ76" s="70">
        <v>0</v>
      </c>
      <c r="HDR76" s="70">
        <v>0</v>
      </c>
      <c r="HDS76" s="70">
        <v>0</v>
      </c>
      <c r="HDT76" s="70">
        <v>0</v>
      </c>
      <c r="HDU76" s="70">
        <v>0</v>
      </c>
      <c r="HDV76" s="70">
        <v>0</v>
      </c>
      <c r="HDW76" s="70">
        <v>0</v>
      </c>
      <c r="HDX76" s="70">
        <v>0</v>
      </c>
      <c r="HDY76" s="70">
        <v>0</v>
      </c>
      <c r="HDZ76" s="70">
        <v>0</v>
      </c>
      <c r="HEA76" s="70">
        <v>0</v>
      </c>
      <c r="HEB76" s="70">
        <v>0</v>
      </c>
      <c r="HEC76" s="70">
        <v>0</v>
      </c>
      <c r="HED76" s="70">
        <v>0</v>
      </c>
      <c r="HEE76" s="70">
        <v>0</v>
      </c>
      <c r="HEF76" s="70">
        <v>0</v>
      </c>
      <c r="HEG76" s="70">
        <v>0</v>
      </c>
      <c r="HEH76" s="70">
        <v>0</v>
      </c>
      <c r="HEI76" s="70">
        <v>0</v>
      </c>
      <c r="HEJ76" s="70">
        <v>0</v>
      </c>
      <c r="HEK76" s="70">
        <v>0</v>
      </c>
      <c r="HEL76" s="70">
        <v>0</v>
      </c>
      <c r="HEM76" s="70">
        <v>0</v>
      </c>
      <c r="HEN76" s="70">
        <v>0</v>
      </c>
      <c r="HEO76" s="70">
        <v>0</v>
      </c>
      <c r="HEP76" s="70">
        <v>0</v>
      </c>
      <c r="HEQ76" s="70">
        <v>0</v>
      </c>
      <c r="HER76" s="70">
        <v>0</v>
      </c>
      <c r="HES76" s="70">
        <v>0</v>
      </c>
      <c r="HET76" s="70">
        <v>0</v>
      </c>
      <c r="HEU76" s="70">
        <v>0</v>
      </c>
      <c r="HEV76" s="70">
        <v>0</v>
      </c>
      <c r="HEW76" s="70">
        <v>0</v>
      </c>
      <c r="HEX76" s="70">
        <v>0</v>
      </c>
      <c r="HEY76" s="70">
        <v>0</v>
      </c>
      <c r="HEZ76" s="70">
        <v>0</v>
      </c>
      <c r="HFA76" s="70">
        <v>0</v>
      </c>
      <c r="HFB76" s="70">
        <v>0</v>
      </c>
      <c r="HFC76" s="70">
        <v>0</v>
      </c>
      <c r="HFD76" s="70">
        <v>0</v>
      </c>
      <c r="HFE76" s="70">
        <v>0</v>
      </c>
      <c r="HFF76" s="70">
        <v>0</v>
      </c>
      <c r="HFG76" s="70">
        <v>0</v>
      </c>
      <c r="HFH76" s="70">
        <v>0</v>
      </c>
      <c r="HFI76" s="70">
        <v>0</v>
      </c>
      <c r="HFJ76" s="70">
        <v>0</v>
      </c>
      <c r="HFK76" s="70">
        <v>0</v>
      </c>
      <c r="HFL76" s="70">
        <v>0</v>
      </c>
      <c r="HFM76" s="70">
        <v>0</v>
      </c>
      <c r="HFN76" s="70">
        <v>0</v>
      </c>
      <c r="HFO76" s="70">
        <v>0</v>
      </c>
      <c r="HFP76" s="70">
        <v>0</v>
      </c>
      <c r="HFQ76" s="70">
        <v>0</v>
      </c>
      <c r="HFR76" s="70">
        <v>0</v>
      </c>
      <c r="HFS76" s="70">
        <v>0</v>
      </c>
      <c r="HFT76" s="70">
        <v>0</v>
      </c>
      <c r="HFU76" s="70">
        <v>0</v>
      </c>
      <c r="HFV76" s="70">
        <v>0</v>
      </c>
      <c r="HFW76" s="70">
        <v>0</v>
      </c>
      <c r="HFX76" s="70">
        <v>0</v>
      </c>
      <c r="HFY76" s="70">
        <v>0</v>
      </c>
      <c r="HFZ76" s="70">
        <v>0</v>
      </c>
      <c r="HGA76" s="70">
        <v>0</v>
      </c>
      <c r="HGB76" s="70">
        <v>0</v>
      </c>
      <c r="HGC76" s="70">
        <v>0</v>
      </c>
      <c r="HGD76" s="70">
        <v>0</v>
      </c>
      <c r="HGE76" s="70">
        <v>0</v>
      </c>
      <c r="HGF76" s="70">
        <v>0</v>
      </c>
      <c r="HGG76" s="70">
        <v>0</v>
      </c>
      <c r="HGH76" s="70">
        <v>0</v>
      </c>
      <c r="HGI76" s="70">
        <v>0</v>
      </c>
      <c r="HGJ76" s="70">
        <v>0</v>
      </c>
      <c r="HGK76" s="70">
        <v>0</v>
      </c>
      <c r="HGL76" s="70">
        <v>0</v>
      </c>
      <c r="HGM76" s="70">
        <v>0</v>
      </c>
      <c r="HGN76" s="70">
        <v>0</v>
      </c>
      <c r="HGO76" s="70">
        <v>0</v>
      </c>
      <c r="HGP76" s="70">
        <v>0</v>
      </c>
      <c r="HGQ76" s="70">
        <v>0</v>
      </c>
      <c r="HGR76" s="70">
        <v>0</v>
      </c>
      <c r="HGS76" s="70">
        <v>0</v>
      </c>
      <c r="HGT76" s="70">
        <v>0</v>
      </c>
      <c r="HGU76" s="70">
        <v>0</v>
      </c>
      <c r="HGV76" s="70">
        <v>0</v>
      </c>
      <c r="HGW76" s="70">
        <v>0</v>
      </c>
      <c r="HGX76" s="70">
        <v>0</v>
      </c>
      <c r="HGY76" s="70">
        <v>0</v>
      </c>
      <c r="HGZ76" s="70">
        <v>0</v>
      </c>
      <c r="HHA76" s="70">
        <v>0</v>
      </c>
      <c r="HHB76" s="70">
        <v>0</v>
      </c>
      <c r="HHC76" s="70">
        <v>0</v>
      </c>
      <c r="HHD76" s="70">
        <v>0</v>
      </c>
      <c r="HHE76" s="70">
        <v>0</v>
      </c>
      <c r="HHF76" s="70">
        <v>0</v>
      </c>
      <c r="HHG76" s="70">
        <v>0</v>
      </c>
      <c r="HHH76" s="70">
        <v>0</v>
      </c>
      <c r="HHI76" s="70">
        <v>0</v>
      </c>
      <c r="HHJ76" s="70">
        <v>0</v>
      </c>
      <c r="HHK76" s="70">
        <v>0</v>
      </c>
      <c r="HHL76" s="70">
        <v>0</v>
      </c>
      <c r="HHM76" s="70">
        <v>0</v>
      </c>
      <c r="HHN76" s="70">
        <v>0</v>
      </c>
      <c r="HHO76" s="70">
        <v>0</v>
      </c>
      <c r="HHP76" s="70">
        <v>0</v>
      </c>
      <c r="HHQ76" s="70">
        <v>0</v>
      </c>
      <c r="HHR76" s="70">
        <v>0</v>
      </c>
      <c r="HHS76" s="70">
        <v>0</v>
      </c>
      <c r="HHT76" s="70">
        <v>0</v>
      </c>
      <c r="HHU76" s="70">
        <v>0</v>
      </c>
      <c r="HHV76" s="70">
        <v>0</v>
      </c>
      <c r="HHW76" s="70">
        <v>0</v>
      </c>
      <c r="HHX76" s="70">
        <v>0</v>
      </c>
      <c r="HHY76" s="70">
        <v>0</v>
      </c>
      <c r="HHZ76" s="70">
        <v>0</v>
      </c>
      <c r="HIA76" s="70">
        <v>0</v>
      </c>
      <c r="HIB76" s="70">
        <v>0</v>
      </c>
      <c r="HIC76" s="70">
        <v>0</v>
      </c>
      <c r="HID76" s="70">
        <v>0</v>
      </c>
      <c r="HIE76" s="70">
        <v>0</v>
      </c>
      <c r="HIF76" s="70">
        <v>0</v>
      </c>
      <c r="HIG76" s="70">
        <v>0</v>
      </c>
      <c r="HIH76" s="70">
        <v>0</v>
      </c>
      <c r="HII76" s="70">
        <v>0</v>
      </c>
      <c r="HIJ76" s="70">
        <v>0</v>
      </c>
      <c r="HIK76" s="70">
        <v>0</v>
      </c>
      <c r="HIL76" s="70">
        <v>0</v>
      </c>
      <c r="HIM76" s="70">
        <v>0</v>
      </c>
      <c r="HIN76" s="70">
        <v>0</v>
      </c>
      <c r="HIO76" s="70">
        <v>0</v>
      </c>
      <c r="HIP76" s="70">
        <v>0</v>
      </c>
      <c r="HIQ76" s="70">
        <v>0</v>
      </c>
      <c r="HIR76" s="70">
        <v>0</v>
      </c>
      <c r="HIS76" s="70">
        <v>0</v>
      </c>
      <c r="HIT76" s="70">
        <v>0</v>
      </c>
      <c r="HIU76" s="70">
        <v>0</v>
      </c>
      <c r="HIV76" s="70">
        <v>0</v>
      </c>
      <c r="HIW76" s="70">
        <v>0</v>
      </c>
      <c r="HIX76" s="70">
        <v>0</v>
      </c>
      <c r="HIY76" s="70">
        <v>0</v>
      </c>
      <c r="HIZ76" s="70">
        <v>0</v>
      </c>
      <c r="HJA76" s="70">
        <v>0</v>
      </c>
      <c r="HJB76" s="70">
        <v>0</v>
      </c>
      <c r="HJC76" s="70">
        <v>0</v>
      </c>
      <c r="HJD76" s="70">
        <v>0</v>
      </c>
      <c r="HJE76" s="70">
        <v>0</v>
      </c>
      <c r="HJF76" s="70">
        <v>0</v>
      </c>
      <c r="HJG76" s="70">
        <v>0</v>
      </c>
      <c r="HJH76" s="70">
        <v>0</v>
      </c>
      <c r="HJI76" s="70">
        <v>0</v>
      </c>
      <c r="HJJ76" s="70">
        <v>0</v>
      </c>
      <c r="HJK76" s="70">
        <v>0</v>
      </c>
      <c r="HJL76" s="70">
        <v>0</v>
      </c>
      <c r="HJM76" s="70">
        <v>0</v>
      </c>
      <c r="HJN76" s="70">
        <v>0</v>
      </c>
      <c r="HJO76" s="70">
        <v>0</v>
      </c>
      <c r="HJP76" s="70">
        <v>0</v>
      </c>
      <c r="HJQ76" s="70">
        <v>0</v>
      </c>
      <c r="HJR76" s="70">
        <v>0</v>
      </c>
      <c r="HJS76" s="70">
        <v>0</v>
      </c>
      <c r="HJT76" s="70">
        <v>0</v>
      </c>
      <c r="HJU76" s="70">
        <v>0</v>
      </c>
      <c r="HJV76" s="70">
        <v>0</v>
      </c>
      <c r="HJW76" s="70">
        <v>0</v>
      </c>
      <c r="HJX76" s="70">
        <v>0</v>
      </c>
      <c r="HJY76" s="70">
        <v>0</v>
      </c>
      <c r="HJZ76" s="70">
        <v>0</v>
      </c>
      <c r="HKA76" s="70">
        <v>0</v>
      </c>
      <c r="HKB76" s="70">
        <v>0</v>
      </c>
      <c r="HKC76" s="70">
        <v>0</v>
      </c>
      <c r="HKD76" s="70">
        <v>0</v>
      </c>
      <c r="HKE76" s="70">
        <v>0</v>
      </c>
      <c r="HKF76" s="70">
        <v>0</v>
      </c>
      <c r="HKG76" s="70">
        <v>0</v>
      </c>
      <c r="HKH76" s="70">
        <v>0</v>
      </c>
      <c r="HKI76" s="70">
        <v>0</v>
      </c>
      <c r="HKJ76" s="70">
        <v>0</v>
      </c>
      <c r="HKK76" s="70">
        <v>0</v>
      </c>
      <c r="HKL76" s="70">
        <v>0</v>
      </c>
      <c r="HKM76" s="70">
        <v>0</v>
      </c>
      <c r="HKN76" s="70">
        <v>0</v>
      </c>
      <c r="HKO76" s="70">
        <v>0</v>
      </c>
      <c r="HKP76" s="70">
        <v>0</v>
      </c>
      <c r="HKQ76" s="70">
        <v>0</v>
      </c>
      <c r="HKR76" s="70">
        <v>0</v>
      </c>
      <c r="HKS76" s="70">
        <v>0</v>
      </c>
      <c r="HKT76" s="70">
        <v>0</v>
      </c>
      <c r="HKU76" s="70">
        <v>0</v>
      </c>
      <c r="HKV76" s="70">
        <v>0</v>
      </c>
      <c r="HKW76" s="70">
        <v>0</v>
      </c>
      <c r="HKX76" s="70">
        <v>0</v>
      </c>
      <c r="HKY76" s="70">
        <v>0</v>
      </c>
      <c r="HKZ76" s="70">
        <v>0</v>
      </c>
      <c r="HLA76" s="70">
        <v>0</v>
      </c>
      <c r="HLB76" s="70">
        <v>0</v>
      </c>
      <c r="HLC76" s="70">
        <v>0</v>
      </c>
      <c r="HLD76" s="70">
        <v>0</v>
      </c>
      <c r="HLE76" s="70">
        <v>0</v>
      </c>
      <c r="HLF76" s="70">
        <v>0</v>
      </c>
      <c r="HLG76" s="70">
        <v>0</v>
      </c>
      <c r="HLH76" s="70">
        <v>0</v>
      </c>
      <c r="HLI76" s="70">
        <v>0</v>
      </c>
      <c r="HLJ76" s="70">
        <v>0</v>
      </c>
      <c r="HLK76" s="70">
        <v>0</v>
      </c>
      <c r="HLL76" s="70">
        <v>0</v>
      </c>
      <c r="HLM76" s="70">
        <v>0</v>
      </c>
      <c r="HLN76" s="70">
        <v>0</v>
      </c>
      <c r="HLO76" s="70">
        <v>0</v>
      </c>
      <c r="HLP76" s="70">
        <v>0</v>
      </c>
      <c r="HLQ76" s="70">
        <v>0</v>
      </c>
      <c r="HLR76" s="70">
        <v>0</v>
      </c>
      <c r="HLS76" s="70">
        <v>0</v>
      </c>
      <c r="HLT76" s="70">
        <v>0</v>
      </c>
      <c r="HLU76" s="70">
        <v>0</v>
      </c>
      <c r="HLV76" s="70">
        <v>0</v>
      </c>
      <c r="HLW76" s="70">
        <v>0</v>
      </c>
      <c r="HLX76" s="70">
        <v>0</v>
      </c>
      <c r="HLY76" s="70">
        <v>0</v>
      </c>
      <c r="HLZ76" s="70">
        <v>0</v>
      </c>
      <c r="HMA76" s="70">
        <v>0</v>
      </c>
      <c r="HMB76" s="70">
        <v>0</v>
      </c>
      <c r="HMC76" s="70">
        <v>0</v>
      </c>
      <c r="HMD76" s="70">
        <v>0</v>
      </c>
      <c r="HME76" s="70">
        <v>0</v>
      </c>
      <c r="HMF76" s="70">
        <v>0</v>
      </c>
      <c r="HMG76" s="70">
        <v>0</v>
      </c>
      <c r="HMH76" s="70">
        <v>0</v>
      </c>
      <c r="HMI76" s="70">
        <v>0</v>
      </c>
      <c r="HMJ76" s="70">
        <v>0</v>
      </c>
      <c r="HMK76" s="70">
        <v>0</v>
      </c>
      <c r="HML76" s="70">
        <v>0</v>
      </c>
      <c r="HMM76" s="70">
        <v>0</v>
      </c>
      <c r="HMN76" s="70">
        <v>0</v>
      </c>
      <c r="HMO76" s="70">
        <v>0</v>
      </c>
      <c r="HMP76" s="70">
        <v>0</v>
      </c>
      <c r="HMQ76" s="70">
        <v>0</v>
      </c>
      <c r="HMR76" s="70">
        <v>0</v>
      </c>
      <c r="HMS76" s="70">
        <v>0</v>
      </c>
      <c r="HMT76" s="70">
        <v>0</v>
      </c>
      <c r="HMU76" s="70">
        <v>0</v>
      </c>
      <c r="HMV76" s="70">
        <v>0</v>
      </c>
      <c r="HMW76" s="70">
        <v>0</v>
      </c>
      <c r="HMX76" s="70">
        <v>0</v>
      </c>
      <c r="HMY76" s="70">
        <v>0</v>
      </c>
      <c r="HMZ76" s="70">
        <v>0</v>
      </c>
      <c r="HNA76" s="70">
        <v>0</v>
      </c>
      <c r="HNB76" s="70">
        <v>0</v>
      </c>
      <c r="HNC76" s="70">
        <v>0</v>
      </c>
      <c r="HND76" s="70">
        <v>0</v>
      </c>
      <c r="HNE76" s="70">
        <v>0</v>
      </c>
      <c r="HNF76" s="70">
        <v>0</v>
      </c>
      <c r="HNG76" s="70">
        <v>0</v>
      </c>
      <c r="HNH76" s="70">
        <v>0</v>
      </c>
      <c r="HNI76" s="70">
        <v>0</v>
      </c>
      <c r="HNJ76" s="70">
        <v>0</v>
      </c>
      <c r="HNK76" s="70">
        <v>0</v>
      </c>
      <c r="HNL76" s="70">
        <v>0</v>
      </c>
      <c r="HNM76" s="70">
        <v>0</v>
      </c>
      <c r="HNN76" s="70">
        <v>0</v>
      </c>
      <c r="HNO76" s="70">
        <v>0</v>
      </c>
      <c r="HNP76" s="70">
        <v>0</v>
      </c>
      <c r="HNQ76" s="70">
        <v>0</v>
      </c>
      <c r="HNR76" s="70">
        <v>0</v>
      </c>
      <c r="HNS76" s="70">
        <v>0</v>
      </c>
      <c r="HNT76" s="70">
        <v>0</v>
      </c>
      <c r="HNU76" s="70">
        <v>0</v>
      </c>
      <c r="HNV76" s="70">
        <v>0</v>
      </c>
      <c r="HNW76" s="70">
        <v>0</v>
      </c>
      <c r="HNX76" s="70">
        <v>0</v>
      </c>
      <c r="HNY76" s="70">
        <v>0</v>
      </c>
      <c r="HNZ76" s="70">
        <v>0</v>
      </c>
      <c r="HOA76" s="70">
        <v>0</v>
      </c>
      <c r="HOB76" s="70">
        <v>0</v>
      </c>
      <c r="HOC76" s="70">
        <v>0</v>
      </c>
      <c r="HOD76" s="70">
        <v>0</v>
      </c>
      <c r="HOE76" s="70">
        <v>0</v>
      </c>
      <c r="HOF76" s="70">
        <v>0</v>
      </c>
      <c r="HOG76" s="70">
        <v>0</v>
      </c>
      <c r="HOH76" s="70">
        <v>0</v>
      </c>
      <c r="HOI76" s="70">
        <v>0</v>
      </c>
      <c r="HOJ76" s="70">
        <v>0</v>
      </c>
      <c r="HOK76" s="70">
        <v>0</v>
      </c>
      <c r="HOL76" s="70">
        <v>0</v>
      </c>
      <c r="HOM76" s="70">
        <v>0</v>
      </c>
      <c r="HON76" s="70">
        <v>0</v>
      </c>
      <c r="HOO76" s="70">
        <v>0</v>
      </c>
      <c r="HOP76" s="70">
        <v>0</v>
      </c>
      <c r="HOQ76" s="70">
        <v>0</v>
      </c>
      <c r="HOR76" s="70">
        <v>0</v>
      </c>
      <c r="HOS76" s="70">
        <v>0</v>
      </c>
      <c r="HOT76" s="70">
        <v>0</v>
      </c>
      <c r="HOU76" s="70">
        <v>0</v>
      </c>
      <c r="HOV76" s="70">
        <v>0</v>
      </c>
      <c r="HOW76" s="70">
        <v>0</v>
      </c>
      <c r="HOX76" s="70">
        <v>0</v>
      </c>
      <c r="HOY76" s="70">
        <v>0</v>
      </c>
      <c r="HOZ76" s="70">
        <v>0</v>
      </c>
      <c r="HPA76" s="70">
        <v>0</v>
      </c>
      <c r="HPB76" s="70">
        <v>0</v>
      </c>
      <c r="HPC76" s="70">
        <v>0</v>
      </c>
      <c r="HPD76" s="70">
        <v>0</v>
      </c>
      <c r="HPE76" s="70">
        <v>0</v>
      </c>
      <c r="HPF76" s="70">
        <v>0</v>
      </c>
      <c r="HPG76" s="70">
        <v>0</v>
      </c>
      <c r="HPH76" s="70">
        <v>0</v>
      </c>
      <c r="HPI76" s="70">
        <v>0</v>
      </c>
      <c r="HPJ76" s="70">
        <v>0</v>
      </c>
      <c r="HPK76" s="70">
        <v>0</v>
      </c>
      <c r="HPL76" s="70">
        <v>0</v>
      </c>
      <c r="HPM76" s="70">
        <v>0</v>
      </c>
      <c r="HPN76" s="70">
        <v>0</v>
      </c>
      <c r="HPO76" s="70">
        <v>0</v>
      </c>
      <c r="HPP76" s="70">
        <v>0</v>
      </c>
      <c r="HPQ76" s="70">
        <v>0</v>
      </c>
      <c r="HPR76" s="70">
        <v>0</v>
      </c>
      <c r="HPS76" s="70">
        <v>0</v>
      </c>
      <c r="HPT76" s="70">
        <v>0</v>
      </c>
      <c r="HPU76" s="70">
        <v>0</v>
      </c>
      <c r="HPV76" s="70">
        <v>0</v>
      </c>
      <c r="HPW76" s="70">
        <v>0</v>
      </c>
      <c r="HPX76" s="70">
        <v>0</v>
      </c>
      <c r="HPY76" s="70">
        <v>0</v>
      </c>
      <c r="HPZ76" s="70">
        <v>0</v>
      </c>
      <c r="HQA76" s="70">
        <v>0</v>
      </c>
      <c r="HQB76" s="70">
        <v>0</v>
      </c>
      <c r="HQC76" s="70">
        <v>0</v>
      </c>
      <c r="HQD76" s="70">
        <v>0</v>
      </c>
      <c r="HQE76" s="70">
        <v>0</v>
      </c>
      <c r="HQF76" s="70">
        <v>0</v>
      </c>
      <c r="HQG76" s="70">
        <v>0</v>
      </c>
      <c r="HQH76" s="70">
        <v>0</v>
      </c>
      <c r="HQI76" s="70">
        <v>0</v>
      </c>
      <c r="HQJ76" s="70">
        <v>0</v>
      </c>
      <c r="HQK76" s="70">
        <v>0</v>
      </c>
      <c r="HQL76" s="70">
        <v>0</v>
      </c>
      <c r="HQM76" s="70">
        <v>0</v>
      </c>
      <c r="HQN76" s="70">
        <v>0</v>
      </c>
      <c r="HQO76" s="70">
        <v>0</v>
      </c>
      <c r="HQP76" s="70">
        <v>0</v>
      </c>
      <c r="HQQ76" s="70">
        <v>0</v>
      </c>
      <c r="HQR76" s="70">
        <v>0</v>
      </c>
      <c r="HQS76" s="70">
        <v>0</v>
      </c>
      <c r="HQT76" s="70">
        <v>0</v>
      </c>
      <c r="HQU76" s="70">
        <v>0</v>
      </c>
      <c r="HQV76" s="70">
        <v>0</v>
      </c>
      <c r="HQW76" s="70">
        <v>0</v>
      </c>
      <c r="HQX76" s="70">
        <v>0</v>
      </c>
      <c r="HQY76" s="70">
        <v>0</v>
      </c>
      <c r="HQZ76" s="70">
        <v>0</v>
      </c>
      <c r="HRA76" s="70">
        <v>0</v>
      </c>
      <c r="HRB76" s="70">
        <v>0</v>
      </c>
      <c r="HRC76" s="70">
        <v>0</v>
      </c>
      <c r="HRD76" s="70">
        <v>0</v>
      </c>
      <c r="HRE76" s="70">
        <v>0</v>
      </c>
      <c r="HRF76" s="70">
        <v>0</v>
      </c>
      <c r="HRG76" s="70">
        <v>0</v>
      </c>
      <c r="HRH76" s="70">
        <v>0</v>
      </c>
      <c r="HRI76" s="70">
        <v>0</v>
      </c>
      <c r="HRJ76" s="70">
        <v>0</v>
      </c>
      <c r="HRK76" s="70">
        <v>0</v>
      </c>
      <c r="HRL76" s="70">
        <v>0</v>
      </c>
      <c r="HRM76" s="70">
        <v>0</v>
      </c>
      <c r="HRN76" s="70">
        <v>0</v>
      </c>
      <c r="HRO76" s="70">
        <v>0</v>
      </c>
      <c r="HRP76" s="70">
        <v>0</v>
      </c>
      <c r="HRQ76" s="70">
        <v>0</v>
      </c>
      <c r="HRR76" s="70">
        <v>0</v>
      </c>
      <c r="HRS76" s="70">
        <v>0</v>
      </c>
      <c r="HRT76" s="70">
        <v>0</v>
      </c>
      <c r="HRU76" s="70">
        <v>0</v>
      </c>
      <c r="HRV76" s="70">
        <v>0</v>
      </c>
      <c r="HRW76" s="70">
        <v>0</v>
      </c>
      <c r="HRX76" s="70">
        <v>0</v>
      </c>
      <c r="HRY76" s="70">
        <v>0</v>
      </c>
      <c r="HRZ76" s="70">
        <v>0</v>
      </c>
      <c r="HSA76" s="70">
        <v>0</v>
      </c>
      <c r="HSB76" s="70">
        <v>0</v>
      </c>
      <c r="HSC76" s="70">
        <v>0</v>
      </c>
      <c r="HSD76" s="70">
        <v>0</v>
      </c>
      <c r="HSE76" s="70">
        <v>0</v>
      </c>
      <c r="HSF76" s="70">
        <v>0</v>
      </c>
      <c r="HSG76" s="70">
        <v>0</v>
      </c>
      <c r="HSH76" s="70">
        <v>0</v>
      </c>
      <c r="HSI76" s="70">
        <v>0</v>
      </c>
      <c r="HSJ76" s="70">
        <v>0</v>
      </c>
      <c r="HSK76" s="70">
        <v>0</v>
      </c>
      <c r="HSL76" s="70">
        <v>0</v>
      </c>
      <c r="HSM76" s="70">
        <v>0</v>
      </c>
      <c r="HSN76" s="70">
        <v>0</v>
      </c>
      <c r="HSO76" s="70">
        <v>0</v>
      </c>
      <c r="HSP76" s="70">
        <v>0</v>
      </c>
      <c r="HSQ76" s="70">
        <v>0</v>
      </c>
      <c r="HSR76" s="70">
        <v>0</v>
      </c>
      <c r="HSS76" s="70">
        <v>0</v>
      </c>
      <c r="HST76" s="70">
        <v>0</v>
      </c>
      <c r="HSU76" s="70">
        <v>0</v>
      </c>
      <c r="HSV76" s="70">
        <v>0</v>
      </c>
      <c r="HSW76" s="70">
        <v>0</v>
      </c>
      <c r="HSX76" s="70">
        <v>0</v>
      </c>
      <c r="HSY76" s="70">
        <v>0</v>
      </c>
      <c r="HSZ76" s="70">
        <v>0</v>
      </c>
      <c r="HTA76" s="70">
        <v>0</v>
      </c>
      <c r="HTB76" s="70">
        <v>0</v>
      </c>
      <c r="HTC76" s="70">
        <v>0</v>
      </c>
      <c r="HTD76" s="70">
        <v>0</v>
      </c>
      <c r="HTE76" s="70">
        <v>0</v>
      </c>
      <c r="HTF76" s="70">
        <v>0</v>
      </c>
      <c r="HTG76" s="70">
        <v>0</v>
      </c>
      <c r="HTH76" s="70">
        <v>0</v>
      </c>
      <c r="HTI76" s="70">
        <v>0</v>
      </c>
      <c r="HTJ76" s="70">
        <v>0</v>
      </c>
      <c r="HTK76" s="70">
        <v>0</v>
      </c>
      <c r="HTL76" s="70">
        <v>0</v>
      </c>
      <c r="HTM76" s="70">
        <v>0</v>
      </c>
      <c r="HTN76" s="70">
        <v>0</v>
      </c>
      <c r="HTO76" s="70">
        <v>0</v>
      </c>
      <c r="HTP76" s="70">
        <v>0</v>
      </c>
      <c r="HTQ76" s="70">
        <v>0</v>
      </c>
      <c r="HTR76" s="70">
        <v>0</v>
      </c>
      <c r="HTS76" s="70">
        <v>0</v>
      </c>
      <c r="HTT76" s="70">
        <v>0</v>
      </c>
      <c r="HTU76" s="70">
        <v>0</v>
      </c>
      <c r="HTV76" s="70">
        <v>0</v>
      </c>
      <c r="HTW76" s="70">
        <v>0</v>
      </c>
      <c r="HTX76" s="70">
        <v>0</v>
      </c>
      <c r="HTY76" s="70">
        <v>0</v>
      </c>
      <c r="HTZ76" s="70">
        <v>0</v>
      </c>
      <c r="HUA76" s="70">
        <v>0</v>
      </c>
      <c r="HUB76" s="70">
        <v>0</v>
      </c>
      <c r="HUC76" s="70">
        <v>0</v>
      </c>
      <c r="HUD76" s="70">
        <v>0</v>
      </c>
      <c r="HUE76" s="70">
        <v>0</v>
      </c>
      <c r="HUF76" s="70">
        <v>0</v>
      </c>
      <c r="HUG76" s="70">
        <v>0</v>
      </c>
      <c r="HUH76" s="70">
        <v>0</v>
      </c>
      <c r="HUI76" s="70">
        <v>0</v>
      </c>
      <c r="HUJ76" s="70">
        <v>0</v>
      </c>
      <c r="HUK76" s="70">
        <v>0</v>
      </c>
      <c r="HUL76" s="70">
        <v>0</v>
      </c>
      <c r="HUM76" s="70">
        <v>0</v>
      </c>
      <c r="HUN76" s="70">
        <v>0</v>
      </c>
      <c r="HUO76" s="70">
        <v>0</v>
      </c>
      <c r="HUP76" s="70">
        <v>0</v>
      </c>
      <c r="HUQ76" s="70">
        <v>0</v>
      </c>
      <c r="HUR76" s="70">
        <v>0</v>
      </c>
      <c r="HUS76" s="70">
        <v>0</v>
      </c>
      <c r="HUT76" s="70">
        <v>0</v>
      </c>
      <c r="HUU76" s="70">
        <v>0</v>
      </c>
      <c r="HUV76" s="70">
        <v>0</v>
      </c>
      <c r="HUW76" s="70">
        <v>0</v>
      </c>
      <c r="HUX76" s="70">
        <v>0</v>
      </c>
      <c r="HUY76" s="70">
        <v>0</v>
      </c>
      <c r="HUZ76" s="70">
        <v>0</v>
      </c>
      <c r="HVA76" s="70">
        <v>0</v>
      </c>
      <c r="HVB76" s="70">
        <v>0</v>
      </c>
      <c r="HVC76" s="70">
        <v>0</v>
      </c>
      <c r="HVD76" s="70">
        <v>0</v>
      </c>
      <c r="HVE76" s="70">
        <v>0</v>
      </c>
      <c r="HVF76" s="70">
        <v>0</v>
      </c>
      <c r="HVG76" s="70">
        <v>0</v>
      </c>
      <c r="HVH76" s="70">
        <v>0</v>
      </c>
      <c r="HVI76" s="70">
        <v>0</v>
      </c>
      <c r="HVJ76" s="70">
        <v>0</v>
      </c>
      <c r="HVK76" s="70">
        <v>0</v>
      </c>
      <c r="HVL76" s="70">
        <v>0</v>
      </c>
      <c r="HVM76" s="70">
        <v>0</v>
      </c>
      <c r="HVN76" s="70">
        <v>0</v>
      </c>
      <c r="HVO76" s="70">
        <v>0</v>
      </c>
      <c r="HVP76" s="70">
        <v>0</v>
      </c>
      <c r="HVQ76" s="70">
        <v>0</v>
      </c>
      <c r="HVR76" s="70">
        <v>0</v>
      </c>
      <c r="HVS76" s="70">
        <v>0</v>
      </c>
      <c r="HVT76" s="70">
        <v>0</v>
      </c>
      <c r="HVU76" s="70">
        <v>0</v>
      </c>
      <c r="HVV76" s="70">
        <v>0</v>
      </c>
      <c r="HVW76" s="70">
        <v>0</v>
      </c>
      <c r="HVX76" s="70">
        <v>0</v>
      </c>
      <c r="HVY76" s="70">
        <v>0</v>
      </c>
      <c r="HVZ76" s="70">
        <v>0</v>
      </c>
      <c r="HWA76" s="70">
        <v>0</v>
      </c>
      <c r="HWB76" s="70">
        <v>0</v>
      </c>
      <c r="HWC76" s="70">
        <v>0</v>
      </c>
      <c r="HWD76" s="70">
        <v>0</v>
      </c>
      <c r="HWE76" s="70">
        <v>0</v>
      </c>
      <c r="HWF76" s="70">
        <v>0</v>
      </c>
      <c r="HWG76" s="70">
        <v>0</v>
      </c>
      <c r="HWH76" s="70">
        <v>0</v>
      </c>
      <c r="HWI76" s="70">
        <v>0</v>
      </c>
      <c r="HWJ76" s="70">
        <v>0</v>
      </c>
      <c r="HWK76" s="70">
        <v>0</v>
      </c>
      <c r="HWL76" s="70">
        <v>0</v>
      </c>
      <c r="HWM76" s="70">
        <v>0</v>
      </c>
      <c r="HWN76" s="70">
        <v>0</v>
      </c>
      <c r="HWO76" s="70">
        <v>0</v>
      </c>
      <c r="HWP76" s="70">
        <v>0</v>
      </c>
      <c r="HWQ76" s="70">
        <v>0</v>
      </c>
      <c r="HWR76" s="70">
        <v>0</v>
      </c>
      <c r="HWS76" s="70">
        <v>0</v>
      </c>
      <c r="HWT76" s="70">
        <v>0</v>
      </c>
      <c r="HWU76" s="70">
        <v>0</v>
      </c>
      <c r="HWV76" s="70">
        <v>0</v>
      </c>
      <c r="HWW76" s="70">
        <v>0</v>
      </c>
      <c r="HWX76" s="70">
        <v>0</v>
      </c>
      <c r="HWY76" s="70">
        <v>0</v>
      </c>
      <c r="HWZ76" s="70">
        <v>0</v>
      </c>
      <c r="HXA76" s="70">
        <v>0</v>
      </c>
      <c r="HXB76" s="70">
        <v>0</v>
      </c>
      <c r="HXC76" s="70">
        <v>0</v>
      </c>
      <c r="HXD76" s="70">
        <v>0</v>
      </c>
      <c r="HXE76" s="70">
        <v>0</v>
      </c>
      <c r="HXF76" s="70">
        <v>0</v>
      </c>
      <c r="HXG76" s="70">
        <v>0</v>
      </c>
      <c r="HXH76" s="70">
        <v>0</v>
      </c>
      <c r="HXI76" s="70">
        <v>0</v>
      </c>
      <c r="HXJ76" s="70">
        <v>0</v>
      </c>
      <c r="HXK76" s="70">
        <v>0</v>
      </c>
      <c r="HXL76" s="70">
        <v>0</v>
      </c>
      <c r="HXM76" s="70">
        <v>0</v>
      </c>
      <c r="HXN76" s="70">
        <v>0</v>
      </c>
      <c r="HXO76" s="70">
        <v>0</v>
      </c>
      <c r="HXP76" s="70">
        <v>0</v>
      </c>
      <c r="HXQ76" s="70">
        <v>0</v>
      </c>
      <c r="HXR76" s="70">
        <v>0</v>
      </c>
      <c r="HXS76" s="70">
        <v>0</v>
      </c>
      <c r="HXT76" s="70">
        <v>0</v>
      </c>
      <c r="HXU76" s="70">
        <v>0</v>
      </c>
      <c r="HXV76" s="70">
        <v>0</v>
      </c>
      <c r="HXW76" s="70">
        <v>0</v>
      </c>
      <c r="HXX76" s="70">
        <v>0</v>
      </c>
      <c r="HXY76" s="70">
        <v>0</v>
      </c>
      <c r="HXZ76" s="70">
        <v>0</v>
      </c>
      <c r="HYA76" s="70">
        <v>0</v>
      </c>
      <c r="HYB76" s="70">
        <v>0</v>
      </c>
      <c r="HYC76" s="70">
        <v>0</v>
      </c>
      <c r="HYD76" s="70">
        <v>0</v>
      </c>
      <c r="HYE76" s="70">
        <v>0</v>
      </c>
      <c r="HYF76" s="70">
        <v>0</v>
      </c>
      <c r="HYG76" s="70">
        <v>0</v>
      </c>
      <c r="HYH76" s="70">
        <v>0</v>
      </c>
      <c r="HYI76" s="70">
        <v>0</v>
      </c>
      <c r="HYJ76" s="70">
        <v>0</v>
      </c>
      <c r="HYK76" s="70">
        <v>0</v>
      </c>
      <c r="HYL76" s="70">
        <v>0</v>
      </c>
      <c r="HYM76" s="70">
        <v>0</v>
      </c>
      <c r="HYN76" s="70">
        <v>0</v>
      </c>
      <c r="HYO76" s="70">
        <v>0</v>
      </c>
      <c r="HYP76" s="70">
        <v>0</v>
      </c>
      <c r="HYQ76" s="70">
        <v>0</v>
      </c>
      <c r="HYR76" s="70">
        <v>0</v>
      </c>
      <c r="HYS76" s="70">
        <v>0</v>
      </c>
      <c r="HYT76" s="70">
        <v>0</v>
      </c>
      <c r="HYU76" s="70">
        <v>0</v>
      </c>
      <c r="HYV76" s="70">
        <v>0</v>
      </c>
      <c r="HYW76" s="70">
        <v>0</v>
      </c>
      <c r="HYX76" s="70">
        <v>0</v>
      </c>
      <c r="HYY76" s="70">
        <v>0</v>
      </c>
      <c r="HYZ76" s="70">
        <v>0</v>
      </c>
      <c r="HZA76" s="70">
        <v>0</v>
      </c>
      <c r="HZB76" s="70">
        <v>0</v>
      </c>
      <c r="HZC76" s="70">
        <v>0</v>
      </c>
      <c r="HZD76" s="70">
        <v>0</v>
      </c>
      <c r="HZE76" s="70">
        <v>0</v>
      </c>
      <c r="HZF76" s="70">
        <v>0</v>
      </c>
      <c r="HZG76" s="70">
        <v>0</v>
      </c>
      <c r="HZH76" s="70">
        <v>0</v>
      </c>
      <c r="HZI76" s="70">
        <v>0</v>
      </c>
      <c r="HZJ76" s="70">
        <v>0</v>
      </c>
      <c r="HZK76" s="70">
        <v>0</v>
      </c>
      <c r="HZL76" s="70">
        <v>0</v>
      </c>
      <c r="HZM76" s="70">
        <v>0</v>
      </c>
      <c r="HZN76" s="70">
        <v>0</v>
      </c>
      <c r="HZO76" s="70">
        <v>0</v>
      </c>
      <c r="HZP76" s="70">
        <v>0</v>
      </c>
      <c r="HZQ76" s="70">
        <v>0</v>
      </c>
      <c r="HZR76" s="70">
        <v>0</v>
      </c>
      <c r="HZS76" s="70">
        <v>0</v>
      </c>
      <c r="HZT76" s="70">
        <v>0</v>
      </c>
      <c r="HZU76" s="70">
        <v>0</v>
      </c>
      <c r="HZV76" s="70">
        <v>0</v>
      </c>
      <c r="HZW76" s="70">
        <v>0</v>
      </c>
      <c r="HZX76" s="70">
        <v>0</v>
      </c>
      <c r="HZY76" s="70">
        <v>0</v>
      </c>
      <c r="HZZ76" s="70">
        <v>0</v>
      </c>
      <c r="IAA76" s="70">
        <v>0</v>
      </c>
      <c r="IAB76" s="70">
        <v>0</v>
      </c>
      <c r="IAC76" s="70">
        <v>0</v>
      </c>
      <c r="IAD76" s="70">
        <v>0</v>
      </c>
      <c r="IAE76" s="70">
        <v>0</v>
      </c>
      <c r="IAF76" s="70">
        <v>0</v>
      </c>
      <c r="IAG76" s="70">
        <v>0</v>
      </c>
      <c r="IAH76" s="70">
        <v>0</v>
      </c>
      <c r="IAI76" s="70">
        <v>0</v>
      </c>
      <c r="IAJ76" s="70">
        <v>0</v>
      </c>
      <c r="IAK76" s="70">
        <v>0</v>
      </c>
      <c r="IAL76" s="70">
        <v>0</v>
      </c>
      <c r="IAM76" s="70">
        <v>0</v>
      </c>
      <c r="IAN76" s="70">
        <v>0</v>
      </c>
      <c r="IAO76" s="70">
        <v>0</v>
      </c>
      <c r="IAP76" s="70">
        <v>0</v>
      </c>
      <c r="IAQ76" s="70">
        <v>0</v>
      </c>
      <c r="IAR76" s="70">
        <v>0</v>
      </c>
      <c r="IAS76" s="70">
        <v>0</v>
      </c>
      <c r="IAT76" s="70">
        <v>0</v>
      </c>
      <c r="IAU76" s="70">
        <v>0</v>
      </c>
      <c r="IAV76" s="70">
        <v>0</v>
      </c>
      <c r="IAW76" s="70">
        <v>0</v>
      </c>
      <c r="IAX76" s="70">
        <v>0</v>
      </c>
      <c r="IAY76" s="70">
        <v>0</v>
      </c>
      <c r="IAZ76" s="70">
        <v>0</v>
      </c>
      <c r="IBA76" s="70">
        <v>0</v>
      </c>
      <c r="IBB76" s="70">
        <v>0</v>
      </c>
      <c r="IBC76" s="70">
        <v>0</v>
      </c>
      <c r="IBD76" s="70">
        <v>0</v>
      </c>
      <c r="IBE76" s="70">
        <v>0</v>
      </c>
      <c r="IBF76" s="70">
        <v>0</v>
      </c>
      <c r="IBG76" s="70">
        <v>0</v>
      </c>
      <c r="IBH76" s="70">
        <v>0</v>
      </c>
      <c r="IBI76" s="70">
        <v>0</v>
      </c>
      <c r="IBJ76" s="70">
        <v>0</v>
      </c>
      <c r="IBK76" s="70">
        <v>0</v>
      </c>
      <c r="IBL76" s="70">
        <v>0</v>
      </c>
      <c r="IBM76" s="70">
        <v>0</v>
      </c>
      <c r="IBN76" s="70">
        <v>0</v>
      </c>
      <c r="IBO76" s="70">
        <v>0</v>
      </c>
      <c r="IBP76" s="70">
        <v>0</v>
      </c>
      <c r="IBQ76" s="70">
        <v>0</v>
      </c>
      <c r="IBR76" s="70">
        <v>0</v>
      </c>
      <c r="IBS76" s="70">
        <v>0</v>
      </c>
      <c r="IBT76" s="70">
        <v>0</v>
      </c>
      <c r="IBU76" s="70">
        <v>0</v>
      </c>
      <c r="IBV76" s="70">
        <v>0</v>
      </c>
      <c r="IBW76" s="70">
        <v>0</v>
      </c>
      <c r="IBX76" s="70">
        <v>0</v>
      </c>
      <c r="IBY76" s="70">
        <v>0</v>
      </c>
      <c r="IBZ76" s="70">
        <v>0</v>
      </c>
      <c r="ICA76" s="70">
        <v>0</v>
      </c>
      <c r="ICB76" s="70">
        <v>0</v>
      </c>
      <c r="ICC76" s="70">
        <v>0</v>
      </c>
      <c r="ICD76" s="70">
        <v>0</v>
      </c>
      <c r="ICE76" s="70">
        <v>0</v>
      </c>
      <c r="ICF76" s="70">
        <v>0</v>
      </c>
      <c r="ICG76" s="70">
        <v>0</v>
      </c>
      <c r="ICH76" s="70">
        <v>0</v>
      </c>
      <c r="ICI76" s="70">
        <v>0</v>
      </c>
      <c r="ICJ76" s="70">
        <v>0</v>
      </c>
      <c r="ICK76" s="70">
        <v>0</v>
      </c>
      <c r="ICL76" s="70">
        <v>0</v>
      </c>
      <c r="ICM76" s="70">
        <v>0</v>
      </c>
      <c r="ICN76" s="70">
        <v>0</v>
      </c>
      <c r="ICO76" s="70">
        <v>0</v>
      </c>
      <c r="ICP76" s="70">
        <v>0</v>
      </c>
      <c r="ICQ76" s="70">
        <v>0</v>
      </c>
      <c r="ICR76" s="70">
        <v>0</v>
      </c>
      <c r="ICS76" s="70">
        <v>0</v>
      </c>
      <c r="ICT76" s="70">
        <v>0</v>
      </c>
      <c r="ICU76" s="70">
        <v>0</v>
      </c>
      <c r="ICV76" s="70">
        <v>0</v>
      </c>
      <c r="ICW76" s="70">
        <v>0</v>
      </c>
      <c r="ICX76" s="70">
        <v>0</v>
      </c>
      <c r="ICY76" s="70">
        <v>0</v>
      </c>
      <c r="ICZ76" s="70">
        <v>0</v>
      </c>
      <c r="IDA76" s="70">
        <v>0</v>
      </c>
      <c r="IDB76" s="70">
        <v>0</v>
      </c>
      <c r="IDC76" s="70">
        <v>0</v>
      </c>
      <c r="IDD76" s="70">
        <v>0</v>
      </c>
      <c r="IDE76" s="70">
        <v>0</v>
      </c>
      <c r="IDF76" s="70">
        <v>0</v>
      </c>
      <c r="IDG76" s="70">
        <v>0</v>
      </c>
      <c r="IDH76" s="70">
        <v>0</v>
      </c>
      <c r="IDI76" s="70">
        <v>0</v>
      </c>
      <c r="IDJ76" s="70">
        <v>0</v>
      </c>
      <c r="IDK76" s="70">
        <v>0</v>
      </c>
      <c r="IDL76" s="70">
        <v>0</v>
      </c>
      <c r="IDM76" s="70">
        <v>0</v>
      </c>
      <c r="IDN76" s="70">
        <v>0</v>
      </c>
      <c r="IDO76" s="70">
        <v>0</v>
      </c>
      <c r="IDP76" s="70">
        <v>0</v>
      </c>
      <c r="IDQ76" s="70">
        <v>0</v>
      </c>
      <c r="IDR76" s="70">
        <v>0</v>
      </c>
      <c r="IDS76" s="70">
        <v>0</v>
      </c>
      <c r="IDT76" s="70">
        <v>0</v>
      </c>
      <c r="IDU76" s="70">
        <v>0</v>
      </c>
      <c r="IDV76" s="70">
        <v>0</v>
      </c>
      <c r="IDW76" s="70">
        <v>0</v>
      </c>
      <c r="IDX76" s="70">
        <v>0</v>
      </c>
      <c r="IDY76" s="70">
        <v>0</v>
      </c>
      <c r="IDZ76" s="70">
        <v>0</v>
      </c>
      <c r="IEA76" s="70">
        <v>0</v>
      </c>
      <c r="IEB76" s="70">
        <v>0</v>
      </c>
      <c r="IEC76" s="70">
        <v>0</v>
      </c>
      <c r="IED76" s="70">
        <v>0</v>
      </c>
      <c r="IEE76" s="70">
        <v>0</v>
      </c>
      <c r="IEF76" s="70">
        <v>0</v>
      </c>
      <c r="IEG76" s="70">
        <v>0</v>
      </c>
      <c r="IEH76" s="70">
        <v>0</v>
      </c>
      <c r="IEI76" s="70">
        <v>0</v>
      </c>
      <c r="IEJ76" s="70">
        <v>0</v>
      </c>
      <c r="IEK76" s="70">
        <v>0</v>
      </c>
      <c r="IEL76" s="70">
        <v>0</v>
      </c>
      <c r="IEM76" s="70">
        <v>0</v>
      </c>
      <c r="IEN76" s="70">
        <v>0</v>
      </c>
      <c r="IEO76" s="70">
        <v>0</v>
      </c>
      <c r="IEP76" s="70">
        <v>0</v>
      </c>
      <c r="IEQ76" s="70">
        <v>0</v>
      </c>
      <c r="IER76" s="70">
        <v>0</v>
      </c>
      <c r="IES76" s="70">
        <v>0</v>
      </c>
      <c r="IET76" s="70">
        <v>0</v>
      </c>
      <c r="IEU76" s="70">
        <v>0</v>
      </c>
      <c r="IEV76" s="70">
        <v>0</v>
      </c>
      <c r="IEW76" s="70">
        <v>0</v>
      </c>
      <c r="IEX76" s="70">
        <v>0</v>
      </c>
      <c r="IEY76" s="70">
        <v>0</v>
      </c>
      <c r="IEZ76" s="70">
        <v>0</v>
      </c>
      <c r="IFA76" s="70">
        <v>0</v>
      </c>
      <c r="IFB76" s="70">
        <v>0</v>
      </c>
      <c r="IFC76" s="70">
        <v>0</v>
      </c>
      <c r="IFD76" s="70">
        <v>0</v>
      </c>
      <c r="IFE76" s="70">
        <v>0</v>
      </c>
      <c r="IFF76" s="70">
        <v>0</v>
      </c>
      <c r="IFG76" s="70">
        <v>0</v>
      </c>
      <c r="IFH76" s="70">
        <v>0</v>
      </c>
      <c r="IFI76" s="70">
        <v>0</v>
      </c>
      <c r="IFJ76" s="70">
        <v>0</v>
      </c>
      <c r="IFK76" s="70">
        <v>0</v>
      </c>
      <c r="IFL76" s="70">
        <v>0</v>
      </c>
      <c r="IFM76" s="70">
        <v>0</v>
      </c>
      <c r="IFN76" s="70">
        <v>0</v>
      </c>
      <c r="IFO76" s="70">
        <v>0</v>
      </c>
      <c r="IFP76" s="70">
        <v>0</v>
      </c>
      <c r="IFQ76" s="70">
        <v>0</v>
      </c>
      <c r="IFR76" s="70">
        <v>0</v>
      </c>
      <c r="IFS76" s="70">
        <v>0</v>
      </c>
      <c r="IFT76" s="70">
        <v>0</v>
      </c>
      <c r="IFU76" s="70">
        <v>0</v>
      </c>
      <c r="IFV76" s="70">
        <v>0</v>
      </c>
      <c r="IFW76" s="70">
        <v>0</v>
      </c>
      <c r="IFX76" s="70">
        <v>0</v>
      </c>
      <c r="IFY76" s="70">
        <v>0</v>
      </c>
      <c r="IFZ76" s="70">
        <v>0</v>
      </c>
      <c r="IGA76" s="70">
        <v>0</v>
      </c>
      <c r="IGB76" s="70">
        <v>0</v>
      </c>
      <c r="IGC76" s="70">
        <v>0</v>
      </c>
      <c r="IGD76" s="70">
        <v>0</v>
      </c>
      <c r="IGE76" s="70">
        <v>0</v>
      </c>
      <c r="IGF76" s="70">
        <v>0</v>
      </c>
      <c r="IGG76" s="70">
        <v>0</v>
      </c>
      <c r="IGH76" s="70">
        <v>0</v>
      </c>
      <c r="IGI76" s="70">
        <v>0</v>
      </c>
      <c r="IGJ76" s="70">
        <v>0</v>
      </c>
      <c r="IGK76" s="70">
        <v>0</v>
      </c>
      <c r="IGL76" s="70">
        <v>0</v>
      </c>
      <c r="IGM76" s="70">
        <v>0</v>
      </c>
      <c r="IGN76" s="70">
        <v>0</v>
      </c>
      <c r="IGO76" s="70">
        <v>0</v>
      </c>
      <c r="IGP76" s="70">
        <v>0</v>
      </c>
      <c r="IGQ76" s="70">
        <v>0</v>
      </c>
      <c r="IGR76" s="70">
        <v>0</v>
      </c>
      <c r="IGS76" s="70">
        <v>0</v>
      </c>
      <c r="IGT76" s="70">
        <v>0</v>
      </c>
      <c r="IGU76" s="70">
        <v>0</v>
      </c>
      <c r="IGV76" s="70">
        <v>0</v>
      </c>
      <c r="IGW76" s="70">
        <v>0</v>
      </c>
      <c r="IGX76" s="70">
        <v>0</v>
      </c>
      <c r="IGY76" s="70">
        <v>0</v>
      </c>
      <c r="IGZ76" s="70">
        <v>0</v>
      </c>
      <c r="IHA76" s="70">
        <v>0</v>
      </c>
      <c r="IHB76" s="70">
        <v>0</v>
      </c>
      <c r="IHC76" s="70">
        <v>0</v>
      </c>
      <c r="IHD76" s="70">
        <v>0</v>
      </c>
      <c r="IHE76" s="70">
        <v>0</v>
      </c>
      <c r="IHF76" s="70">
        <v>0</v>
      </c>
      <c r="IHG76" s="70">
        <v>0</v>
      </c>
      <c r="IHH76" s="70">
        <v>0</v>
      </c>
      <c r="IHI76" s="70">
        <v>0</v>
      </c>
      <c r="IHJ76" s="70">
        <v>0</v>
      </c>
      <c r="IHK76" s="70">
        <v>0</v>
      </c>
      <c r="IHL76" s="70">
        <v>0</v>
      </c>
      <c r="IHM76" s="70">
        <v>0</v>
      </c>
      <c r="IHN76" s="70">
        <v>0</v>
      </c>
      <c r="IHO76" s="70">
        <v>0</v>
      </c>
      <c r="IHP76" s="70">
        <v>0</v>
      </c>
      <c r="IHQ76" s="70">
        <v>0</v>
      </c>
      <c r="IHR76" s="70">
        <v>0</v>
      </c>
      <c r="IHS76" s="70">
        <v>0</v>
      </c>
      <c r="IHT76" s="70">
        <v>0</v>
      </c>
      <c r="IHU76" s="70">
        <v>0</v>
      </c>
      <c r="IHV76" s="70">
        <v>0</v>
      </c>
      <c r="IHW76" s="70">
        <v>0</v>
      </c>
      <c r="IHX76" s="70">
        <v>0</v>
      </c>
      <c r="IHY76" s="70">
        <v>0</v>
      </c>
      <c r="IHZ76" s="70">
        <v>0</v>
      </c>
      <c r="IIA76" s="70">
        <v>0</v>
      </c>
      <c r="IIB76" s="70">
        <v>0</v>
      </c>
      <c r="IIC76" s="70">
        <v>0</v>
      </c>
      <c r="IID76" s="70">
        <v>0</v>
      </c>
      <c r="IIE76" s="70">
        <v>0</v>
      </c>
      <c r="IIF76" s="70">
        <v>0</v>
      </c>
      <c r="IIG76" s="70">
        <v>0</v>
      </c>
      <c r="IIH76" s="70">
        <v>0</v>
      </c>
      <c r="III76" s="70">
        <v>0</v>
      </c>
      <c r="IIJ76" s="70">
        <v>0</v>
      </c>
      <c r="IIK76" s="70">
        <v>0</v>
      </c>
      <c r="IIL76" s="70">
        <v>0</v>
      </c>
      <c r="IIM76" s="70">
        <v>0</v>
      </c>
      <c r="IIN76" s="70">
        <v>0</v>
      </c>
      <c r="IIO76" s="70">
        <v>0</v>
      </c>
      <c r="IIP76" s="70">
        <v>0</v>
      </c>
      <c r="IIQ76" s="70">
        <v>0</v>
      </c>
      <c r="IIR76" s="70">
        <v>0</v>
      </c>
      <c r="IIS76" s="70">
        <v>0</v>
      </c>
      <c r="IIT76" s="70">
        <v>0</v>
      </c>
      <c r="IIU76" s="70">
        <v>0</v>
      </c>
      <c r="IIV76" s="70">
        <v>0</v>
      </c>
      <c r="IIW76" s="70">
        <v>0</v>
      </c>
      <c r="IIX76" s="70">
        <v>0</v>
      </c>
      <c r="IIY76" s="70">
        <v>0</v>
      </c>
      <c r="IIZ76" s="70">
        <v>0</v>
      </c>
      <c r="IJA76" s="70">
        <v>0</v>
      </c>
      <c r="IJB76" s="70">
        <v>0</v>
      </c>
      <c r="IJC76" s="70">
        <v>0</v>
      </c>
      <c r="IJD76" s="70">
        <v>0</v>
      </c>
      <c r="IJE76" s="70">
        <v>0</v>
      </c>
      <c r="IJF76" s="70">
        <v>0</v>
      </c>
      <c r="IJG76" s="70">
        <v>0</v>
      </c>
      <c r="IJH76" s="70">
        <v>0</v>
      </c>
      <c r="IJI76" s="70">
        <v>0</v>
      </c>
      <c r="IJJ76" s="70">
        <v>0</v>
      </c>
      <c r="IJK76" s="70">
        <v>0</v>
      </c>
      <c r="IJL76" s="70">
        <v>0</v>
      </c>
      <c r="IJM76" s="70">
        <v>0</v>
      </c>
      <c r="IJN76" s="70">
        <v>0</v>
      </c>
      <c r="IJO76" s="70">
        <v>0</v>
      </c>
      <c r="IJP76" s="70">
        <v>0</v>
      </c>
      <c r="IJQ76" s="70">
        <v>0</v>
      </c>
      <c r="IJR76" s="70">
        <v>0</v>
      </c>
      <c r="IJS76" s="70">
        <v>0</v>
      </c>
      <c r="IJT76" s="70">
        <v>0</v>
      </c>
      <c r="IJU76" s="70">
        <v>0</v>
      </c>
      <c r="IJV76" s="70">
        <v>0</v>
      </c>
      <c r="IJW76" s="70">
        <v>0</v>
      </c>
      <c r="IJX76" s="70">
        <v>0</v>
      </c>
      <c r="IJY76" s="70">
        <v>0</v>
      </c>
      <c r="IJZ76" s="70">
        <v>0</v>
      </c>
      <c r="IKA76" s="70">
        <v>0</v>
      </c>
      <c r="IKB76" s="70">
        <v>0</v>
      </c>
      <c r="IKC76" s="70">
        <v>0</v>
      </c>
      <c r="IKD76" s="70">
        <v>0</v>
      </c>
      <c r="IKE76" s="70">
        <v>0</v>
      </c>
      <c r="IKF76" s="70">
        <v>0</v>
      </c>
      <c r="IKG76" s="70">
        <v>0</v>
      </c>
      <c r="IKH76" s="70">
        <v>0</v>
      </c>
      <c r="IKI76" s="70">
        <v>0</v>
      </c>
      <c r="IKJ76" s="70">
        <v>0</v>
      </c>
      <c r="IKK76" s="70">
        <v>0</v>
      </c>
      <c r="IKL76" s="70">
        <v>0</v>
      </c>
      <c r="IKM76" s="70">
        <v>0</v>
      </c>
      <c r="IKN76" s="70">
        <v>0</v>
      </c>
      <c r="IKO76" s="70">
        <v>0</v>
      </c>
      <c r="IKP76" s="70">
        <v>0</v>
      </c>
      <c r="IKQ76" s="70">
        <v>0</v>
      </c>
      <c r="IKR76" s="70">
        <v>0</v>
      </c>
      <c r="IKS76" s="70">
        <v>0</v>
      </c>
      <c r="IKT76" s="70">
        <v>0</v>
      </c>
      <c r="IKU76" s="70">
        <v>0</v>
      </c>
      <c r="IKV76" s="70">
        <v>0</v>
      </c>
      <c r="IKW76" s="70">
        <v>0</v>
      </c>
      <c r="IKX76" s="70">
        <v>0</v>
      </c>
      <c r="IKY76" s="70">
        <v>0</v>
      </c>
      <c r="IKZ76" s="70">
        <v>0</v>
      </c>
      <c r="ILA76" s="70">
        <v>0</v>
      </c>
      <c r="ILB76" s="70">
        <v>0</v>
      </c>
      <c r="ILC76" s="70">
        <v>0</v>
      </c>
      <c r="ILD76" s="70">
        <v>0</v>
      </c>
      <c r="ILE76" s="70">
        <v>0</v>
      </c>
      <c r="ILF76" s="70">
        <v>0</v>
      </c>
      <c r="ILG76" s="70">
        <v>0</v>
      </c>
      <c r="ILH76" s="70">
        <v>0</v>
      </c>
      <c r="ILI76" s="70">
        <v>0</v>
      </c>
      <c r="ILJ76" s="70">
        <v>0</v>
      </c>
      <c r="ILK76" s="70">
        <v>0</v>
      </c>
      <c r="ILL76" s="70">
        <v>0</v>
      </c>
      <c r="ILM76" s="70">
        <v>0</v>
      </c>
      <c r="ILN76" s="70">
        <v>0</v>
      </c>
      <c r="ILO76" s="70">
        <v>0</v>
      </c>
      <c r="ILP76" s="70">
        <v>0</v>
      </c>
      <c r="ILQ76" s="70">
        <v>0</v>
      </c>
      <c r="ILR76" s="70">
        <v>0</v>
      </c>
      <c r="ILS76" s="70">
        <v>0</v>
      </c>
      <c r="ILT76" s="70">
        <v>0</v>
      </c>
      <c r="ILU76" s="70">
        <v>0</v>
      </c>
      <c r="ILV76" s="70">
        <v>0</v>
      </c>
      <c r="ILW76" s="70">
        <v>0</v>
      </c>
      <c r="ILX76" s="70">
        <v>0</v>
      </c>
      <c r="ILY76" s="70">
        <v>0</v>
      </c>
      <c r="ILZ76" s="70">
        <v>0</v>
      </c>
      <c r="IMA76" s="70">
        <v>0</v>
      </c>
      <c r="IMB76" s="70">
        <v>0</v>
      </c>
      <c r="IMC76" s="70">
        <v>0</v>
      </c>
      <c r="IMD76" s="70">
        <v>0</v>
      </c>
      <c r="IME76" s="70">
        <v>0</v>
      </c>
      <c r="IMF76" s="70">
        <v>0</v>
      </c>
      <c r="IMG76" s="70">
        <v>0</v>
      </c>
      <c r="IMH76" s="70">
        <v>0</v>
      </c>
      <c r="IMI76" s="70">
        <v>0</v>
      </c>
      <c r="IMJ76" s="70">
        <v>0</v>
      </c>
      <c r="IMK76" s="70">
        <v>0</v>
      </c>
      <c r="IML76" s="70">
        <v>0</v>
      </c>
      <c r="IMM76" s="70">
        <v>0</v>
      </c>
      <c r="IMN76" s="70">
        <v>0</v>
      </c>
      <c r="IMO76" s="70">
        <v>0</v>
      </c>
      <c r="IMP76" s="70">
        <v>0</v>
      </c>
      <c r="IMQ76" s="70">
        <v>0</v>
      </c>
      <c r="IMR76" s="70">
        <v>0</v>
      </c>
      <c r="IMS76" s="70">
        <v>0</v>
      </c>
      <c r="IMT76" s="70">
        <v>0</v>
      </c>
      <c r="IMU76" s="70">
        <v>0</v>
      </c>
      <c r="IMV76" s="70">
        <v>0</v>
      </c>
      <c r="IMW76" s="70">
        <v>0</v>
      </c>
      <c r="IMX76" s="70">
        <v>0</v>
      </c>
      <c r="IMY76" s="70">
        <v>0</v>
      </c>
      <c r="IMZ76" s="70">
        <v>0</v>
      </c>
      <c r="INA76" s="70">
        <v>0</v>
      </c>
      <c r="INB76" s="70">
        <v>0</v>
      </c>
      <c r="INC76" s="70">
        <v>0</v>
      </c>
      <c r="IND76" s="70">
        <v>0</v>
      </c>
      <c r="INE76" s="70">
        <v>0</v>
      </c>
      <c r="INF76" s="70">
        <v>0</v>
      </c>
      <c r="ING76" s="70">
        <v>0</v>
      </c>
      <c r="INH76" s="70">
        <v>0</v>
      </c>
      <c r="INI76" s="70">
        <v>0</v>
      </c>
      <c r="INJ76" s="70">
        <v>0</v>
      </c>
      <c r="INK76" s="70">
        <v>0</v>
      </c>
      <c r="INL76" s="70">
        <v>0</v>
      </c>
      <c r="INM76" s="70">
        <v>0</v>
      </c>
      <c r="INN76" s="70">
        <v>0</v>
      </c>
      <c r="INO76" s="70">
        <v>0</v>
      </c>
      <c r="INP76" s="70">
        <v>0</v>
      </c>
      <c r="INQ76" s="70">
        <v>0</v>
      </c>
      <c r="INR76" s="70">
        <v>0</v>
      </c>
      <c r="INS76" s="70">
        <v>0</v>
      </c>
      <c r="INT76" s="70">
        <v>0</v>
      </c>
      <c r="INU76" s="70">
        <v>0</v>
      </c>
      <c r="INV76" s="70">
        <v>0</v>
      </c>
      <c r="INW76" s="70">
        <v>0</v>
      </c>
      <c r="INX76" s="70">
        <v>0</v>
      </c>
      <c r="INY76" s="70">
        <v>0</v>
      </c>
      <c r="INZ76" s="70">
        <v>0</v>
      </c>
      <c r="IOA76" s="70">
        <v>0</v>
      </c>
      <c r="IOB76" s="70">
        <v>0</v>
      </c>
      <c r="IOC76" s="70">
        <v>0</v>
      </c>
      <c r="IOD76" s="70">
        <v>0</v>
      </c>
      <c r="IOE76" s="70">
        <v>0</v>
      </c>
      <c r="IOF76" s="70">
        <v>0</v>
      </c>
      <c r="IOG76" s="70">
        <v>0</v>
      </c>
      <c r="IOH76" s="70">
        <v>0</v>
      </c>
      <c r="IOI76" s="70">
        <v>0</v>
      </c>
      <c r="IOJ76" s="70">
        <v>0</v>
      </c>
      <c r="IOK76" s="70">
        <v>0</v>
      </c>
      <c r="IOL76" s="70">
        <v>0</v>
      </c>
      <c r="IOM76" s="70">
        <v>0</v>
      </c>
      <c r="ION76" s="70">
        <v>0</v>
      </c>
      <c r="IOO76" s="70">
        <v>0</v>
      </c>
      <c r="IOP76" s="70">
        <v>0</v>
      </c>
      <c r="IOQ76" s="70">
        <v>0</v>
      </c>
      <c r="IOR76" s="70">
        <v>0</v>
      </c>
      <c r="IOS76" s="70">
        <v>0</v>
      </c>
      <c r="IOT76" s="70">
        <v>0</v>
      </c>
      <c r="IOU76" s="70">
        <v>0</v>
      </c>
      <c r="IOV76" s="70">
        <v>0</v>
      </c>
      <c r="IOW76" s="70">
        <v>0</v>
      </c>
      <c r="IOX76" s="70">
        <v>0</v>
      </c>
      <c r="IOY76" s="70">
        <v>0</v>
      </c>
      <c r="IOZ76" s="70">
        <v>0</v>
      </c>
      <c r="IPA76" s="70">
        <v>0</v>
      </c>
      <c r="IPB76" s="70">
        <v>0</v>
      </c>
      <c r="IPC76" s="70">
        <v>0</v>
      </c>
      <c r="IPD76" s="70">
        <v>0</v>
      </c>
      <c r="IPE76" s="70">
        <v>0</v>
      </c>
      <c r="IPF76" s="70">
        <v>0</v>
      </c>
      <c r="IPG76" s="70">
        <v>0</v>
      </c>
      <c r="IPH76" s="70">
        <v>0</v>
      </c>
      <c r="IPI76" s="70">
        <v>0</v>
      </c>
      <c r="IPJ76" s="70">
        <v>0</v>
      </c>
      <c r="IPK76" s="70">
        <v>0</v>
      </c>
      <c r="IPL76" s="70">
        <v>0</v>
      </c>
      <c r="IPM76" s="70">
        <v>0</v>
      </c>
      <c r="IPN76" s="70">
        <v>0</v>
      </c>
      <c r="IPO76" s="70">
        <v>0</v>
      </c>
      <c r="IPP76" s="70">
        <v>0</v>
      </c>
      <c r="IPQ76" s="70">
        <v>0</v>
      </c>
      <c r="IPR76" s="70">
        <v>0</v>
      </c>
      <c r="IPS76" s="70">
        <v>0</v>
      </c>
      <c r="IPT76" s="70">
        <v>0</v>
      </c>
      <c r="IPU76" s="70">
        <v>0</v>
      </c>
      <c r="IPV76" s="70">
        <v>0</v>
      </c>
      <c r="IPW76" s="70">
        <v>0</v>
      </c>
      <c r="IPX76" s="70">
        <v>0</v>
      </c>
      <c r="IPY76" s="70">
        <v>0</v>
      </c>
      <c r="IPZ76" s="70">
        <v>0</v>
      </c>
      <c r="IQA76" s="70">
        <v>0</v>
      </c>
      <c r="IQB76" s="70">
        <v>0</v>
      </c>
      <c r="IQC76" s="70">
        <v>0</v>
      </c>
      <c r="IQD76" s="70">
        <v>0</v>
      </c>
      <c r="IQE76" s="70">
        <v>0</v>
      </c>
      <c r="IQF76" s="70">
        <v>0</v>
      </c>
      <c r="IQG76" s="70">
        <v>0</v>
      </c>
      <c r="IQH76" s="70">
        <v>0</v>
      </c>
      <c r="IQI76" s="70">
        <v>0</v>
      </c>
      <c r="IQJ76" s="70">
        <v>0</v>
      </c>
      <c r="IQK76" s="70">
        <v>0</v>
      </c>
      <c r="IQL76" s="70">
        <v>0</v>
      </c>
      <c r="IQM76" s="70">
        <v>0</v>
      </c>
      <c r="IQN76" s="70">
        <v>0</v>
      </c>
      <c r="IQO76" s="70">
        <v>0</v>
      </c>
      <c r="IQP76" s="70">
        <v>0</v>
      </c>
      <c r="IQQ76" s="70">
        <v>0</v>
      </c>
      <c r="IQR76" s="70">
        <v>0</v>
      </c>
      <c r="IQS76" s="70">
        <v>0</v>
      </c>
      <c r="IQT76" s="70">
        <v>0</v>
      </c>
      <c r="IQU76" s="70">
        <v>0</v>
      </c>
      <c r="IQV76" s="70">
        <v>0</v>
      </c>
      <c r="IQW76" s="70">
        <v>0</v>
      </c>
      <c r="IQX76" s="70">
        <v>0</v>
      </c>
      <c r="IQY76" s="70">
        <v>0</v>
      </c>
      <c r="IQZ76" s="70">
        <v>0</v>
      </c>
      <c r="IRA76" s="70">
        <v>0</v>
      </c>
      <c r="IRB76" s="70">
        <v>0</v>
      </c>
      <c r="IRC76" s="70">
        <v>0</v>
      </c>
      <c r="IRD76" s="70">
        <v>0</v>
      </c>
      <c r="IRE76" s="70">
        <v>0</v>
      </c>
      <c r="IRF76" s="70">
        <v>0</v>
      </c>
      <c r="IRG76" s="70">
        <v>0</v>
      </c>
      <c r="IRH76" s="70">
        <v>0</v>
      </c>
      <c r="IRI76" s="70">
        <v>0</v>
      </c>
      <c r="IRJ76" s="70">
        <v>0</v>
      </c>
      <c r="IRK76" s="70">
        <v>0</v>
      </c>
      <c r="IRL76" s="70">
        <v>0</v>
      </c>
      <c r="IRM76" s="70">
        <v>0</v>
      </c>
      <c r="IRN76" s="70">
        <v>0</v>
      </c>
      <c r="IRO76" s="70">
        <v>0</v>
      </c>
      <c r="IRP76" s="70">
        <v>0</v>
      </c>
      <c r="IRQ76" s="70">
        <v>0</v>
      </c>
      <c r="IRR76" s="70">
        <v>0</v>
      </c>
      <c r="IRS76" s="70">
        <v>0</v>
      </c>
      <c r="IRT76" s="70">
        <v>0</v>
      </c>
      <c r="IRU76" s="70">
        <v>0</v>
      </c>
      <c r="IRV76" s="70">
        <v>0</v>
      </c>
      <c r="IRW76" s="70">
        <v>0</v>
      </c>
      <c r="IRX76" s="70">
        <v>0</v>
      </c>
      <c r="IRY76" s="70">
        <v>0</v>
      </c>
      <c r="IRZ76" s="70">
        <v>0</v>
      </c>
      <c r="ISA76" s="70">
        <v>0</v>
      </c>
      <c r="ISB76" s="70">
        <v>0</v>
      </c>
      <c r="ISC76" s="70">
        <v>0</v>
      </c>
      <c r="ISD76" s="70">
        <v>0</v>
      </c>
      <c r="ISE76" s="70">
        <v>0</v>
      </c>
      <c r="ISF76" s="70">
        <v>0</v>
      </c>
      <c r="ISG76" s="70">
        <v>0</v>
      </c>
      <c r="ISH76" s="70">
        <v>0</v>
      </c>
      <c r="ISI76" s="70">
        <v>0</v>
      </c>
      <c r="ISJ76" s="70">
        <v>0</v>
      </c>
      <c r="ISK76" s="70">
        <v>0</v>
      </c>
      <c r="ISL76" s="70">
        <v>0</v>
      </c>
      <c r="ISM76" s="70">
        <v>0</v>
      </c>
      <c r="ISN76" s="70">
        <v>0</v>
      </c>
      <c r="ISO76" s="70">
        <v>0</v>
      </c>
      <c r="ISP76" s="70">
        <v>0</v>
      </c>
      <c r="ISQ76" s="70">
        <v>0</v>
      </c>
      <c r="ISR76" s="70">
        <v>0</v>
      </c>
      <c r="ISS76" s="70">
        <v>0</v>
      </c>
      <c r="IST76" s="70">
        <v>0</v>
      </c>
      <c r="ISU76" s="70">
        <v>0</v>
      </c>
      <c r="ISV76" s="70">
        <v>0</v>
      </c>
      <c r="ISW76" s="70">
        <v>0</v>
      </c>
      <c r="ISX76" s="70">
        <v>0</v>
      </c>
      <c r="ISY76" s="70">
        <v>0</v>
      </c>
      <c r="ISZ76" s="70">
        <v>0</v>
      </c>
      <c r="ITA76" s="70">
        <v>0</v>
      </c>
      <c r="ITB76" s="70">
        <v>0</v>
      </c>
      <c r="ITC76" s="70">
        <v>0</v>
      </c>
      <c r="ITD76" s="70">
        <v>0</v>
      </c>
      <c r="ITE76" s="70">
        <v>0</v>
      </c>
      <c r="ITF76" s="70">
        <v>0</v>
      </c>
      <c r="ITG76" s="70">
        <v>0</v>
      </c>
      <c r="ITH76" s="70">
        <v>0</v>
      </c>
      <c r="ITI76" s="70">
        <v>0</v>
      </c>
      <c r="ITJ76" s="70">
        <v>0</v>
      </c>
      <c r="ITK76" s="70">
        <v>0</v>
      </c>
      <c r="ITL76" s="70">
        <v>0</v>
      </c>
      <c r="ITM76" s="70">
        <v>0</v>
      </c>
      <c r="ITN76" s="70">
        <v>0</v>
      </c>
      <c r="ITO76" s="70">
        <v>0</v>
      </c>
      <c r="ITP76" s="70">
        <v>0</v>
      </c>
      <c r="ITQ76" s="70">
        <v>0</v>
      </c>
      <c r="ITR76" s="70">
        <v>0</v>
      </c>
      <c r="ITS76" s="70">
        <v>0</v>
      </c>
      <c r="ITT76" s="70">
        <v>0</v>
      </c>
      <c r="ITU76" s="70">
        <v>0</v>
      </c>
      <c r="ITV76" s="70">
        <v>0</v>
      </c>
      <c r="ITW76" s="70">
        <v>0</v>
      </c>
      <c r="ITX76" s="70">
        <v>0</v>
      </c>
      <c r="ITY76" s="70">
        <v>0</v>
      </c>
      <c r="ITZ76" s="70">
        <v>0</v>
      </c>
      <c r="IUA76" s="70">
        <v>0</v>
      </c>
      <c r="IUB76" s="70">
        <v>0</v>
      </c>
      <c r="IUC76" s="70">
        <v>0</v>
      </c>
      <c r="IUD76" s="70">
        <v>0</v>
      </c>
      <c r="IUE76" s="70">
        <v>0</v>
      </c>
      <c r="IUF76" s="70">
        <v>0</v>
      </c>
      <c r="IUG76" s="70">
        <v>0</v>
      </c>
      <c r="IUH76" s="70">
        <v>0</v>
      </c>
      <c r="IUI76" s="70">
        <v>0</v>
      </c>
      <c r="IUJ76" s="70">
        <v>0</v>
      </c>
      <c r="IUK76" s="70">
        <v>0</v>
      </c>
      <c r="IUL76" s="70">
        <v>0</v>
      </c>
      <c r="IUM76" s="70">
        <v>0</v>
      </c>
      <c r="IUN76" s="70">
        <v>0</v>
      </c>
      <c r="IUO76" s="70">
        <v>0</v>
      </c>
      <c r="IUP76" s="70">
        <v>0</v>
      </c>
      <c r="IUQ76" s="70">
        <v>0</v>
      </c>
      <c r="IUR76" s="70">
        <v>0</v>
      </c>
      <c r="IUS76" s="70">
        <v>0</v>
      </c>
      <c r="IUT76" s="70">
        <v>0</v>
      </c>
      <c r="IUU76" s="70">
        <v>0</v>
      </c>
      <c r="IUV76" s="70">
        <v>0</v>
      </c>
      <c r="IUW76" s="70">
        <v>0</v>
      </c>
      <c r="IUX76" s="70">
        <v>0</v>
      </c>
      <c r="IUY76" s="70">
        <v>0</v>
      </c>
      <c r="IUZ76" s="70">
        <v>0</v>
      </c>
      <c r="IVA76" s="70">
        <v>0</v>
      </c>
      <c r="IVB76" s="70">
        <v>0</v>
      </c>
      <c r="IVC76" s="70">
        <v>0</v>
      </c>
      <c r="IVD76" s="70">
        <v>0</v>
      </c>
      <c r="IVE76" s="70">
        <v>0</v>
      </c>
      <c r="IVF76" s="70">
        <v>0</v>
      </c>
      <c r="IVG76" s="70">
        <v>0</v>
      </c>
      <c r="IVH76" s="70">
        <v>0</v>
      </c>
      <c r="IVI76" s="70">
        <v>0</v>
      </c>
      <c r="IVJ76" s="70">
        <v>0</v>
      </c>
      <c r="IVK76" s="70">
        <v>0</v>
      </c>
      <c r="IVL76" s="70">
        <v>0</v>
      </c>
      <c r="IVM76" s="70">
        <v>0</v>
      </c>
      <c r="IVN76" s="70">
        <v>0</v>
      </c>
      <c r="IVO76" s="70">
        <v>0</v>
      </c>
      <c r="IVP76" s="70">
        <v>0</v>
      </c>
      <c r="IVQ76" s="70">
        <v>0</v>
      </c>
      <c r="IVR76" s="70">
        <v>0</v>
      </c>
      <c r="IVS76" s="70">
        <v>0</v>
      </c>
      <c r="IVT76" s="70">
        <v>0</v>
      </c>
      <c r="IVU76" s="70">
        <v>0</v>
      </c>
      <c r="IVV76" s="70">
        <v>0</v>
      </c>
      <c r="IVW76" s="70">
        <v>0</v>
      </c>
      <c r="IVX76" s="70">
        <v>0</v>
      </c>
      <c r="IVY76" s="70">
        <v>0</v>
      </c>
      <c r="IVZ76" s="70">
        <v>0</v>
      </c>
      <c r="IWA76" s="70">
        <v>0</v>
      </c>
      <c r="IWB76" s="70">
        <v>0</v>
      </c>
      <c r="IWC76" s="70">
        <v>0</v>
      </c>
      <c r="IWD76" s="70">
        <v>0</v>
      </c>
      <c r="IWE76" s="70">
        <v>0</v>
      </c>
      <c r="IWF76" s="70">
        <v>0</v>
      </c>
      <c r="IWG76" s="70">
        <v>0</v>
      </c>
      <c r="IWH76" s="70">
        <v>0</v>
      </c>
      <c r="IWI76" s="70">
        <v>0</v>
      </c>
      <c r="IWJ76" s="70">
        <v>0</v>
      </c>
      <c r="IWK76" s="70">
        <v>0</v>
      </c>
      <c r="IWL76" s="70">
        <v>0</v>
      </c>
      <c r="IWM76" s="70">
        <v>0</v>
      </c>
      <c r="IWN76" s="70">
        <v>0</v>
      </c>
      <c r="IWO76" s="70">
        <v>0</v>
      </c>
      <c r="IWP76" s="70">
        <v>0</v>
      </c>
      <c r="IWQ76" s="70">
        <v>0</v>
      </c>
      <c r="IWR76" s="70">
        <v>0</v>
      </c>
      <c r="IWS76" s="70">
        <v>0</v>
      </c>
      <c r="IWT76" s="70">
        <v>0</v>
      </c>
      <c r="IWU76" s="70">
        <v>0</v>
      </c>
      <c r="IWV76" s="70">
        <v>0</v>
      </c>
      <c r="IWW76" s="70">
        <v>0</v>
      </c>
      <c r="IWX76" s="70">
        <v>0</v>
      </c>
      <c r="IWY76" s="70">
        <v>0</v>
      </c>
      <c r="IWZ76" s="70">
        <v>0</v>
      </c>
      <c r="IXA76" s="70">
        <v>0</v>
      </c>
      <c r="IXB76" s="70">
        <v>0</v>
      </c>
      <c r="IXC76" s="70">
        <v>0</v>
      </c>
      <c r="IXD76" s="70">
        <v>0</v>
      </c>
      <c r="IXE76" s="70">
        <v>0</v>
      </c>
      <c r="IXF76" s="70">
        <v>0</v>
      </c>
      <c r="IXG76" s="70">
        <v>0</v>
      </c>
      <c r="IXH76" s="70">
        <v>0</v>
      </c>
      <c r="IXI76" s="70">
        <v>0</v>
      </c>
      <c r="IXJ76" s="70">
        <v>0</v>
      </c>
      <c r="IXK76" s="70">
        <v>0</v>
      </c>
      <c r="IXL76" s="70">
        <v>0</v>
      </c>
      <c r="IXM76" s="70">
        <v>0</v>
      </c>
      <c r="IXN76" s="70">
        <v>0</v>
      </c>
      <c r="IXO76" s="70">
        <v>0</v>
      </c>
      <c r="IXP76" s="70">
        <v>0</v>
      </c>
      <c r="IXQ76" s="70">
        <v>0</v>
      </c>
      <c r="IXR76" s="70">
        <v>0</v>
      </c>
      <c r="IXS76" s="70">
        <v>0</v>
      </c>
      <c r="IXT76" s="70">
        <v>0</v>
      </c>
      <c r="IXU76" s="70">
        <v>0</v>
      </c>
      <c r="IXV76" s="70">
        <v>0</v>
      </c>
      <c r="IXW76" s="70">
        <v>0</v>
      </c>
      <c r="IXX76" s="70">
        <v>0</v>
      </c>
      <c r="IXY76" s="70">
        <v>0</v>
      </c>
      <c r="IXZ76" s="70">
        <v>0</v>
      </c>
      <c r="IYA76" s="70">
        <v>0</v>
      </c>
      <c r="IYB76" s="70">
        <v>0</v>
      </c>
      <c r="IYC76" s="70">
        <v>0</v>
      </c>
      <c r="IYD76" s="70">
        <v>0</v>
      </c>
      <c r="IYE76" s="70">
        <v>0</v>
      </c>
      <c r="IYF76" s="70">
        <v>0</v>
      </c>
      <c r="IYG76" s="70">
        <v>0</v>
      </c>
      <c r="IYH76" s="70">
        <v>0</v>
      </c>
      <c r="IYI76" s="70">
        <v>0</v>
      </c>
      <c r="IYJ76" s="70">
        <v>0</v>
      </c>
      <c r="IYK76" s="70">
        <v>0</v>
      </c>
      <c r="IYL76" s="70">
        <v>0</v>
      </c>
      <c r="IYM76" s="70">
        <v>0</v>
      </c>
      <c r="IYN76" s="70">
        <v>0</v>
      </c>
      <c r="IYO76" s="70">
        <v>0</v>
      </c>
      <c r="IYP76" s="70">
        <v>0</v>
      </c>
      <c r="IYQ76" s="70">
        <v>0</v>
      </c>
      <c r="IYR76" s="70">
        <v>0</v>
      </c>
      <c r="IYS76" s="70">
        <v>0</v>
      </c>
      <c r="IYT76" s="70">
        <v>0</v>
      </c>
      <c r="IYU76" s="70">
        <v>0</v>
      </c>
      <c r="IYV76" s="70">
        <v>0</v>
      </c>
      <c r="IYW76" s="70">
        <v>0</v>
      </c>
      <c r="IYX76" s="70">
        <v>0</v>
      </c>
      <c r="IYY76" s="70">
        <v>0</v>
      </c>
      <c r="IYZ76" s="70">
        <v>0</v>
      </c>
      <c r="IZA76" s="70">
        <v>0</v>
      </c>
      <c r="IZB76" s="70">
        <v>0</v>
      </c>
      <c r="IZC76" s="70">
        <v>0</v>
      </c>
      <c r="IZD76" s="70">
        <v>0</v>
      </c>
      <c r="IZE76" s="70">
        <v>0</v>
      </c>
      <c r="IZF76" s="70">
        <v>0</v>
      </c>
      <c r="IZG76" s="70">
        <v>0</v>
      </c>
      <c r="IZH76" s="70">
        <v>0</v>
      </c>
      <c r="IZI76" s="70">
        <v>0</v>
      </c>
      <c r="IZJ76" s="70">
        <v>0</v>
      </c>
      <c r="IZK76" s="70">
        <v>0</v>
      </c>
      <c r="IZL76" s="70">
        <v>0</v>
      </c>
      <c r="IZM76" s="70">
        <v>0</v>
      </c>
      <c r="IZN76" s="70">
        <v>0</v>
      </c>
      <c r="IZO76" s="70">
        <v>0</v>
      </c>
      <c r="IZP76" s="70">
        <v>0</v>
      </c>
      <c r="IZQ76" s="70">
        <v>0</v>
      </c>
      <c r="IZR76" s="70">
        <v>0</v>
      </c>
      <c r="IZS76" s="70">
        <v>0</v>
      </c>
      <c r="IZT76" s="70">
        <v>0</v>
      </c>
      <c r="IZU76" s="70">
        <v>0</v>
      </c>
      <c r="IZV76" s="70">
        <v>0</v>
      </c>
      <c r="IZW76" s="70">
        <v>0</v>
      </c>
      <c r="IZX76" s="70">
        <v>0</v>
      </c>
      <c r="IZY76" s="70">
        <v>0</v>
      </c>
      <c r="IZZ76" s="70">
        <v>0</v>
      </c>
      <c r="JAA76" s="70">
        <v>0</v>
      </c>
      <c r="JAB76" s="70">
        <v>0</v>
      </c>
      <c r="JAC76" s="70">
        <v>0</v>
      </c>
      <c r="JAD76" s="70">
        <v>0</v>
      </c>
      <c r="JAE76" s="70">
        <v>0</v>
      </c>
      <c r="JAF76" s="70">
        <v>0</v>
      </c>
      <c r="JAG76" s="70">
        <v>0</v>
      </c>
      <c r="JAH76" s="70">
        <v>0</v>
      </c>
      <c r="JAI76" s="70">
        <v>0</v>
      </c>
      <c r="JAJ76" s="70">
        <v>0</v>
      </c>
      <c r="JAK76" s="70">
        <v>0</v>
      </c>
      <c r="JAL76" s="70">
        <v>0</v>
      </c>
      <c r="JAM76" s="70">
        <v>0</v>
      </c>
      <c r="JAN76" s="70">
        <v>0</v>
      </c>
      <c r="JAO76" s="70">
        <v>0</v>
      </c>
      <c r="JAP76" s="70">
        <v>0</v>
      </c>
      <c r="JAQ76" s="70">
        <v>0</v>
      </c>
      <c r="JAR76" s="70">
        <v>0</v>
      </c>
      <c r="JAS76" s="70">
        <v>0</v>
      </c>
      <c r="JAT76" s="70">
        <v>0</v>
      </c>
      <c r="JAU76" s="70">
        <v>0</v>
      </c>
      <c r="JAV76" s="70">
        <v>0</v>
      </c>
      <c r="JAW76" s="70">
        <v>0</v>
      </c>
      <c r="JAX76" s="70">
        <v>0</v>
      </c>
      <c r="JAY76" s="70">
        <v>0</v>
      </c>
      <c r="JAZ76" s="70">
        <v>0</v>
      </c>
      <c r="JBA76" s="70">
        <v>0</v>
      </c>
      <c r="JBB76" s="70">
        <v>0</v>
      </c>
      <c r="JBC76" s="70">
        <v>0</v>
      </c>
      <c r="JBD76" s="70">
        <v>0</v>
      </c>
      <c r="JBE76" s="70">
        <v>0</v>
      </c>
      <c r="JBF76" s="70">
        <v>0</v>
      </c>
      <c r="JBG76" s="70">
        <v>0</v>
      </c>
      <c r="JBH76" s="70">
        <v>0</v>
      </c>
      <c r="JBI76" s="70">
        <v>0</v>
      </c>
      <c r="JBJ76" s="70">
        <v>0</v>
      </c>
      <c r="JBK76" s="70">
        <v>0</v>
      </c>
      <c r="JBL76" s="70">
        <v>0</v>
      </c>
      <c r="JBM76" s="70">
        <v>0</v>
      </c>
      <c r="JBN76" s="70">
        <v>0</v>
      </c>
      <c r="JBO76" s="70">
        <v>0</v>
      </c>
      <c r="JBP76" s="70">
        <v>0</v>
      </c>
      <c r="JBQ76" s="70">
        <v>0</v>
      </c>
      <c r="JBR76" s="70">
        <v>0</v>
      </c>
      <c r="JBS76" s="70">
        <v>0</v>
      </c>
      <c r="JBT76" s="70">
        <v>0</v>
      </c>
      <c r="JBU76" s="70">
        <v>0</v>
      </c>
      <c r="JBV76" s="70">
        <v>0</v>
      </c>
      <c r="JBW76" s="70">
        <v>0</v>
      </c>
      <c r="JBX76" s="70">
        <v>0</v>
      </c>
      <c r="JBY76" s="70">
        <v>0</v>
      </c>
      <c r="JBZ76" s="70">
        <v>0</v>
      </c>
      <c r="JCA76" s="70">
        <v>0</v>
      </c>
      <c r="JCB76" s="70">
        <v>0</v>
      </c>
      <c r="JCC76" s="70">
        <v>0</v>
      </c>
      <c r="JCD76" s="70">
        <v>0</v>
      </c>
      <c r="JCE76" s="70">
        <v>0</v>
      </c>
      <c r="JCF76" s="70">
        <v>0</v>
      </c>
      <c r="JCG76" s="70">
        <v>0</v>
      </c>
      <c r="JCH76" s="70">
        <v>0</v>
      </c>
      <c r="JCI76" s="70">
        <v>0</v>
      </c>
      <c r="JCJ76" s="70">
        <v>0</v>
      </c>
      <c r="JCK76" s="70">
        <v>0</v>
      </c>
      <c r="JCL76" s="70">
        <v>0</v>
      </c>
      <c r="JCM76" s="70">
        <v>0</v>
      </c>
      <c r="JCN76" s="70">
        <v>0</v>
      </c>
      <c r="JCO76" s="70">
        <v>0</v>
      </c>
      <c r="JCP76" s="70">
        <v>0</v>
      </c>
      <c r="JCQ76" s="70">
        <v>0</v>
      </c>
      <c r="JCR76" s="70">
        <v>0</v>
      </c>
      <c r="JCS76" s="70">
        <v>0</v>
      </c>
      <c r="JCT76" s="70">
        <v>0</v>
      </c>
      <c r="JCU76" s="70">
        <v>0</v>
      </c>
      <c r="JCV76" s="70">
        <v>0</v>
      </c>
      <c r="JCW76" s="70">
        <v>0</v>
      </c>
      <c r="JCX76" s="70">
        <v>0</v>
      </c>
      <c r="JCY76" s="70">
        <v>0</v>
      </c>
      <c r="JCZ76" s="70">
        <v>0</v>
      </c>
      <c r="JDA76" s="70">
        <v>0</v>
      </c>
      <c r="JDB76" s="70">
        <v>0</v>
      </c>
      <c r="JDC76" s="70">
        <v>0</v>
      </c>
      <c r="JDD76" s="70">
        <v>0</v>
      </c>
      <c r="JDE76" s="70">
        <v>0</v>
      </c>
      <c r="JDF76" s="70">
        <v>0</v>
      </c>
      <c r="JDG76" s="70">
        <v>0</v>
      </c>
      <c r="JDH76" s="70">
        <v>0</v>
      </c>
      <c r="JDI76" s="70">
        <v>0</v>
      </c>
      <c r="JDJ76" s="70">
        <v>0</v>
      </c>
      <c r="JDK76" s="70">
        <v>0</v>
      </c>
      <c r="JDL76" s="70">
        <v>0</v>
      </c>
      <c r="JDM76" s="70">
        <v>0</v>
      </c>
      <c r="JDN76" s="70">
        <v>0</v>
      </c>
      <c r="JDO76" s="70">
        <v>0</v>
      </c>
      <c r="JDP76" s="70">
        <v>0</v>
      </c>
      <c r="JDQ76" s="70">
        <v>0</v>
      </c>
      <c r="JDR76" s="70">
        <v>0</v>
      </c>
      <c r="JDS76" s="70">
        <v>0</v>
      </c>
      <c r="JDT76" s="70">
        <v>0</v>
      </c>
      <c r="JDU76" s="70">
        <v>0</v>
      </c>
      <c r="JDV76" s="70">
        <v>0</v>
      </c>
      <c r="JDW76" s="70">
        <v>0</v>
      </c>
      <c r="JDX76" s="70">
        <v>0</v>
      </c>
      <c r="JDY76" s="70">
        <v>0</v>
      </c>
      <c r="JDZ76" s="70">
        <v>0</v>
      </c>
      <c r="JEA76" s="70">
        <v>0</v>
      </c>
      <c r="JEB76" s="70">
        <v>0</v>
      </c>
      <c r="JEC76" s="70">
        <v>0</v>
      </c>
      <c r="JED76" s="70">
        <v>0</v>
      </c>
      <c r="JEE76" s="70">
        <v>0</v>
      </c>
      <c r="JEF76" s="70">
        <v>0</v>
      </c>
      <c r="JEG76" s="70">
        <v>0</v>
      </c>
      <c r="JEH76" s="70">
        <v>0</v>
      </c>
      <c r="JEI76" s="70">
        <v>0</v>
      </c>
      <c r="JEJ76" s="70">
        <v>0</v>
      </c>
      <c r="JEK76" s="70">
        <v>0</v>
      </c>
      <c r="JEL76" s="70">
        <v>0</v>
      </c>
      <c r="JEM76" s="70">
        <v>0</v>
      </c>
      <c r="JEN76" s="70">
        <v>0</v>
      </c>
      <c r="JEO76" s="70">
        <v>0</v>
      </c>
      <c r="JEP76" s="70">
        <v>0</v>
      </c>
      <c r="JEQ76" s="70">
        <v>0</v>
      </c>
      <c r="JER76" s="70">
        <v>0</v>
      </c>
      <c r="JES76" s="70">
        <v>0</v>
      </c>
      <c r="JET76" s="70">
        <v>0</v>
      </c>
      <c r="JEU76" s="70">
        <v>0</v>
      </c>
      <c r="JEV76" s="70">
        <v>0</v>
      </c>
      <c r="JEW76" s="70">
        <v>0</v>
      </c>
      <c r="JEX76" s="70">
        <v>0</v>
      </c>
      <c r="JEY76" s="70">
        <v>0</v>
      </c>
      <c r="JEZ76" s="70">
        <v>0</v>
      </c>
      <c r="JFA76" s="70">
        <v>0</v>
      </c>
      <c r="JFB76" s="70">
        <v>0</v>
      </c>
      <c r="JFC76" s="70">
        <v>0</v>
      </c>
      <c r="JFD76" s="70">
        <v>0</v>
      </c>
      <c r="JFE76" s="70">
        <v>0</v>
      </c>
      <c r="JFF76" s="70">
        <v>0</v>
      </c>
      <c r="JFG76" s="70">
        <v>0</v>
      </c>
      <c r="JFH76" s="70">
        <v>0</v>
      </c>
      <c r="JFI76" s="70">
        <v>0</v>
      </c>
      <c r="JFJ76" s="70">
        <v>0</v>
      </c>
      <c r="JFK76" s="70">
        <v>0</v>
      </c>
      <c r="JFL76" s="70">
        <v>0</v>
      </c>
      <c r="JFM76" s="70">
        <v>0</v>
      </c>
      <c r="JFN76" s="70">
        <v>0</v>
      </c>
      <c r="JFO76" s="70">
        <v>0</v>
      </c>
      <c r="JFP76" s="70">
        <v>0</v>
      </c>
      <c r="JFQ76" s="70">
        <v>0</v>
      </c>
      <c r="JFR76" s="70">
        <v>0</v>
      </c>
      <c r="JFS76" s="70">
        <v>0</v>
      </c>
      <c r="JFT76" s="70">
        <v>0</v>
      </c>
      <c r="JFU76" s="70">
        <v>0</v>
      </c>
      <c r="JFV76" s="70">
        <v>0</v>
      </c>
      <c r="JFW76" s="70">
        <v>0</v>
      </c>
      <c r="JFX76" s="70">
        <v>0</v>
      </c>
      <c r="JFY76" s="70">
        <v>0</v>
      </c>
      <c r="JFZ76" s="70">
        <v>0</v>
      </c>
      <c r="JGA76" s="70">
        <v>0</v>
      </c>
      <c r="JGB76" s="70">
        <v>0</v>
      </c>
      <c r="JGC76" s="70">
        <v>0</v>
      </c>
      <c r="JGD76" s="70">
        <v>0</v>
      </c>
      <c r="JGE76" s="70">
        <v>0</v>
      </c>
      <c r="JGF76" s="70">
        <v>0</v>
      </c>
      <c r="JGG76" s="70">
        <v>0</v>
      </c>
      <c r="JGH76" s="70">
        <v>0</v>
      </c>
      <c r="JGI76" s="70">
        <v>0</v>
      </c>
      <c r="JGJ76" s="70">
        <v>0</v>
      </c>
      <c r="JGK76" s="70">
        <v>0</v>
      </c>
      <c r="JGL76" s="70">
        <v>0</v>
      </c>
      <c r="JGM76" s="70">
        <v>0</v>
      </c>
      <c r="JGN76" s="70">
        <v>0</v>
      </c>
      <c r="JGO76" s="70">
        <v>0</v>
      </c>
      <c r="JGP76" s="70">
        <v>0</v>
      </c>
      <c r="JGQ76" s="70">
        <v>0</v>
      </c>
      <c r="JGR76" s="70">
        <v>0</v>
      </c>
      <c r="JGS76" s="70">
        <v>0</v>
      </c>
      <c r="JGT76" s="70">
        <v>0</v>
      </c>
      <c r="JGU76" s="70">
        <v>0</v>
      </c>
      <c r="JGV76" s="70">
        <v>0</v>
      </c>
      <c r="JGW76" s="70">
        <v>0</v>
      </c>
      <c r="JGX76" s="70">
        <v>0</v>
      </c>
      <c r="JGY76" s="70">
        <v>0</v>
      </c>
      <c r="JGZ76" s="70">
        <v>0</v>
      </c>
      <c r="JHA76" s="70">
        <v>0</v>
      </c>
      <c r="JHB76" s="70">
        <v>0</v>
      </c>
      <c r="JHC76" s="70">
        <v>0</v>
      </c>
      <c r="JHD76" s="70">
        <v>0</v>
      </c>
      <c r="JHE76" s="70">
        <v>0</v>
      </c>
      <c r="JHF76" s="70">
        <v>0</v>
      </c>
      <c r="JHG76" s="70">
        <v>0</v>
      </c>
      <c r="JHH76" s="70">
        <v>0</v>
      </c>
      <c r="JHI76" s="70">
        <v>0</v>
      </c>
      <c r="JHJ76" s="70">
        <v>0</v>
      </c>
      <c r="JHK76" s="70">
        <v>0</v>
      </c>
      <c r="JHL76" s="70">
        <v>0</v>
      </c>
      <c r="JHM76" s="70">
        <v>0</v>
      </c>
      <c r="JHN76" s="70">
        <v>0</v>
      </c>
      <c r="JHO76" s="70">
        <v>0</v>
      </c>
      <c r="JHP76" s="70">
        <v>0</v>
      </c>
      <c r="JHQ76" s="70">
        <v>0</v>
      </c>
      <c r="JHR76" s="70">
        <v>0</v>
      </c>
      <c r="JHS76" s="70">
        <v>0</v>
      </c>
      <c r="JHT76" s="70">
        <v>0</v>
      </c>
      <c r="JHU76" s="70">
        <v>0</v>
      </c>
      <c r="JHV76" s="70">
        <v>0</v>
      </c>
      <c r="JHW76" s="70">
        <v>0</v>
      </c>
      <c r="JHX76" s="70">
        <v>0</v>
      </c>
      <c r="JHY76" s="70">
        <v>0</v>
      </c>
      <c r="JHZ76" s="70">
        <v>0</v>
      </c>
      <c r="JIA76" s="70">
        <v>0</v>
      </c>
      <c r="JIB76" s="70">
        <v>0</v>
      </c>
      <c r="JIC76" s="70">
        <v>0</v>
      </c>
      <c r="JID76" s="70">
        <v>0</v>
      </c>
      <c r="JIE76" s="70">
        <v>0</v>
      </c>
      <c r="JIF76" s="70">
        <v>0</v>
      </c>
      <c r="JIG76" s="70">
        <v>0</v>
      </c>
      <c r="JIH76" s="70">
        <v>0</v>
      </c>
      <c r="JII76" s="70">
        <v>0</v>
      </c>
      <c r="JIJ76" s="70">
        <v>0</v>
      </c>
      <c r="JIK76" s="70">
        <v>0</v>
      </c>
      <c r="JIL76" s="70">
        <v>0</v>
      </c>
      <c r="JIM76" s="70">
        <v>0</v>
      </c>
      <c r="JIN76" s="70">
        <v>0</v>
      </c>
      <c r="JIO76" s="70">
        <v>0</v>
      </c>
      <c r="JIP76" s="70">
        <v>0</v>
      </c>
      <c r="JIQ76" s="70">
        <v>0</v>
      </c>
      <c r="JIR76" s="70">
        <v>0</v>
      </c>
      <c r="JIS76" s="70">
        <v>0</v>
      </c>
      <c r="JIT76" s="70">
        <v>0</v>
      </c>
      <c r="JIU76" s="70">
        <v>0</v>
      </c>
      <c r="JIV76" s="70">
        <v>0</v>
      </c>
      <c r="JIW76" s="70">
        <v>0</v>
      </c>
      <c r="JIX76" s="70">
        <v>0</v>
      </c>
      <c r="JIY76" s="70">
        <v>0</v>
      </c>
      <c r="JIZ76" s="70">
        <v>0</v>
      </c>
      <c r="JJA76" s="70">
        <v>0</v>
      </c>
      <c r="JJB76" s="70">
        <v>0</v>
      </c>
      <c r="JJC76" s="70">
        <v>0</v>
      </c>
      <c r="JJD76" s="70">
        <v>0</v>
      </c>
      <c r="JJE76" s="70">
        <v>0</v>
      </c>
      <c r="JJF76" s="70">
        <v>0</v>
      </c>
      <c r="JJG76" s="70">
        <v>0</v>
      </c>
      <c r="JJH76" s="70">
        <v>0</v>
      </c>
      <c r="JJI76" s="70">
        <v>0</v>
      </c>
      <c r="JJJ76" s="70">
        <v>0</v>
      </c>
      <c r="JJK76" s="70">
        <v>0</v>
      </c>
      <c r="JJL76" s="70">
        <v>0</v>
      </c>
      <c r="JJM76" s="70">
        <v>0</v>
      </c>
      <c r="JJN76" s="70">
        <v>0</v>
      </c>
      <c r="JJO76" s="70">
        <v>0</v>
      </c>
      <c r="JJP76" s="70">
        <v>0</v>
      </c>
      <c r="JJQ76" s="70">
        <v>0</v>
      </c>
      <c r="JJR76" s="70">
        <v>0</v>
      </c>
      <c r="JJS76" s="70">
        <v>0</v>
      </c>
      <c r="JJT76" s="70">
        <v>0</v>
      </c>
      <c r="JJU76" s="70">
        <v>0</v>
      </c>
      <c r="JJV76" s="70">
        <v>0</v>
      </c>
      <c r="JJW76" s="70">
        <v>0</v>
      </c>
      <c r="JJX76" s="70">
        <v>0</v>
      </c>
      <c r="JJY76" s="70">
        <v>0</v>
      </c>
      <c r="JJZ76" s="70">
        <v>0</v>
      </c>
      <c r="JKA76" s="70">
        <v>0</v>
      </c>
      <c r="JKB76" s="70">
        <v>0</v>
      </c>
      <c r="JKC76" s="70">
        <v>0</v>
      </c>
      <c r="JKD76" s="70">
        <v>0</v>
      </c>
      <c r="JKE76" s="70">
        <v>0</v>
      </c>
      <c r="JKF76" s="70">
        <v>0</v>
      </c>
      <c r="JKG76" s="70">
        <v>0</v>
      </c>
      <c r="JKH76" s="70">
        <v>0</v>
      </c>
      <c r="JKI76" s="70">
        <v>0</v>
      </c>
      <c r="JKJ76" s="70">
        <v>0</v>
      </c>
      <c r="JKK76" s="70">
        <v>0</v>
      </c>
      <c r="JKL76" s="70">
        <v>0</v>
      </c>
      <c r="JKM76" s="70">
        <v>0</v>
      </c>
      <c r="JKN76" s="70">
        <v>0</v>
      </c>
      <c r="JKO76" s="70">
        <v>0</v>
      </c>
      <c r="JKP76" s="70">
        <v>0</v>
      </c>
      <c r="JKQ76" s="70">
        <v>0</v>
      </c>
      <c r="JKR76" s="70">
        <v>0</v>
      </c>
      <c r="JKS76" s="70">
        <v>0</v>
      </c>
      <c r="JKT76" s="70">
        <v>0</v>
      </c>
      <c r="JKU76" s="70">
        <v>0</v>
      </c>
      <c r="JKV76" s="70">
        <v>0</v>
      </c>
      <c r="JKW76" s="70">
        <v>0</v>
      </c>
      <c r="JKX76" s="70">
        <v>0</v>
      </c>
      <c r="JKY76" s="70">
        <v>0</v>
      </c>
      <c r="JKZ76" s="70">
        <v>0</v>
      </c>
      <c r="JLA76" s="70">
        <v>0</v>
      </c>
      <c r="JLB76" s="70">
        <v>0</v>
      </c>
      <c r="JLC76" s="70">
        <v>0</v>
      </c>
      <c r="JLD76" s="70">
        <v>0</v>
      </c>
      <c r="JLE76" s="70">
        <v>0</v>
      </c>
      <c r="JLF76" s="70">
        <v>0</v>
      </c>
      <c r="JLG76" s="70">
        <v>0</v>
      </c>
      <c r="JLH76" s="70">
        <v>0</v>
      </c>
      <c r="JLI76" s="70">
        <v>0</v>
      </c>
      <c r="JLJ76" s="70">
        <v>0</v>
      </c>
      <c r="JLK76" s="70">
        <v>0</v>
      </c>
      <c r="JLL76" s="70">
        <v>0</v>
      </c>
      <c r="JLM76" s="70">
        <v>0</v>
      </c>
      <c r="JLN76" s="70">
        <v>0</v>
      </c>
      <c r="JLO76" s="70">
        <v>0</v>
      </c>
      <c r="JLP76" s="70">
        <v>0</v>
      </c>
      <c r="JLQ76" s="70">
        <v>0</v>
      </c>
      <c r="JLR76" s="70">
        <v>0</v>
      </c>
      <c r="JLS76" s="70">
        <v>0</v>
      </c>
      <c r="JLT76" s="70">
        <v>0</v>
      </c>
      <c r="JLU76" s="70">
        <v>0</v>
      </c>
      <c r="JLV76" s="70">
        <v>0</v>
      </c>
      <c r="JLW76" s="70">
        <v>0</v>
      </c>
      <c r="JLX76" s="70">
        <v>0</v>
      </c>
      <c r="JLY76" s="70">
        <v>0</v>
      </c>
      <c r="JLZ76" s="70">
        <v>0</v>
      </c>
      <c r="JMA76" s="70">
        <v>0</v>
      </c>
      <c r="JMB76" s="70">
        <v>0</v>
      </c>
      <c r="JMC76" s="70">
        <v>0</v>
      </c>
      <c r="JMD76" s="70">
        <v>0</v>
      </c>
      <c r="JME76" s="70">
        <v>0</v>
      </c>
      <c r="JMF76" s="70">
        <v>0</v>
      </c>
      <c r="JMG76" s="70">
        <v>0</v>
      </c>
      <c r="JMH76" s="70">
        <v>0</v>
      </c>
      <c r="JMI76" s="70">
        <v>0</v>
      </c>
      <c r="JMJ76" s="70">
        <v>0</v>
      </c>
      <c r="JMK76" s="70">
        <v>0</v>
      </c>
      <c r="JML76" s="70">
        <v>0</v>
      </c>
      <c r="JMM76" s="70">
        <v>0</v>
      </c>
      <c r="JMN76" s="70">
        <v>0</v>
      </c>
      <c r="JMO76" s="70">
        <v>0</v>
      </c>
      <c r="JMP76" s="70">
        <v>0</v>
      </c>
      <c r="JMQ76" s="70">
        <v>0</v>
      </c>
      <c r="JMR76" s="70">
        <v>0</v>
      </c>
      <c r="JMS76" s="70">
        <v>0</v>
      </c>
      <c r="JMT76" s="70">
        <v>0</v>
      </c>
      <c r="JMU76" s="70">
        <v>0</v>
      </c>
      <c r="JMV76" s="70">
        <v>0</v>
      </c>
      <c r="JMW76" s="70">
        <v>0</v>
      </c>
      <c r="JMX76" s="70">
        <v>0</v>
      </c>
      <c r="JMY76" s="70">
        <v>0</v>
      </c>
      <c r="JMZ76" s="70">
        <v>0</v>
      </c>
      <c r="JNA76" s="70">
        <v>0</v>
      </c>
      <c r="JNB76" s="70">
        <v>0</v>
      </c>
      <c r="JNC76" s="70">
        <v>0</v>
      </c>
      <c r="JND76" s="70">
        <v>0</v>
      </c>
      <c r="JNE76" s="70">
        <v>0</v>
      </c>
      <c r="JNF76" s="70">
        <v>0</v>
      </c>
      <c r="JNG76" s="70">
        <v>0</v>
      </c>
      <c r="JNH76" s="70">
        <v>0</v>
      </c>
      <c r="JNI76" s="70">
        <v>0</v>
      </c>
      <c r="JNJ76" s="70">
        <v>0</v>
      </c>
      <c r="JNK76" s="70">
        <v>0</v>
      </c>
      <c r="JNL76" s="70">
        <v>0</v>
      </c>
      <c r="JNM76" s="70">
        <v>0</v>
      </c>
      <c r="JNN76" s="70">
        <v>0</v>
      </c>
      <c r="JNO76" s="70">
        <v>0</v>
      </c>
      <c r="JNP76" s="70">
        <v>0</v>
      </c>
      <c r="JNQ76" s="70">
        <v>0</v>
      </c>
      <c r="JNR76" s="70">
        <v>0</v>
      </c>
      <c r="JNS76" s="70">
        <v>0</v>
      </c>
      <c r="JNT76" s="70">
        <v>0</v>
      </c>
      <c r="JNU76" s="70">
        <v>0</v>
      </c>
      <c r="JNV76" s="70">
        <v>0</v>
      </c>
      <c r="JNW76" s="70">
        <v>0</v>
      </c>
      <c r="JNX76" s="70">
        <v>0</v>
      </c>
      <c r="JNY76" s="70">
        <v>0</v>
      </c>
      <c r="JNZ76" s="70">
        <v>0</v>
      </c>
      <c r="JOA76" s="70">
        <v>0</v>
      </c>
      <c r="JOB76" s="70">
        <v>0</v>
      </c>
      <c r="JOC76" s="70">
        <v>0</v>
      </c>
      <c r="JOD76" s="70">
        <v>0</v>
      </c>
      <c r="JOE76" s="70">
        <v>0</v>
      </c>
      <c r="JOF76" s="70">
        <v>0</v>
      </c>
      <c r="JOG76" s="70">
        <v>0</v>
      </c>
      <c r="JOH76" s="70">
        <v>0</v>
      </c>
      <c r="JOI76" s="70">
        <v>0</v>
      </c>
      <c r="JOJ76" s="70">
        <v>0</v>
      </c>
      <c r="JOK76" s="70">
        <v>0</v>
      </c>
      <c r="JOL76" s="70">
        <v>0</v>
      </c>
      <c r="JOM76" s="70">
        <v>0</v>
      </c>
      <c r="JON76" s="70">
        <v>0</v>
      </c>
      <c r="JOO76" s="70">
        <v>0</v>
      </c>
      <c r="JOP76" s="70">
        <v>0</v>
      </c>
      <c r="JOQ76" s="70">
        <v>0</v>
      </c>
      <c r="JOR76" s="70">
        <v>0</v>
      </c>
      <c r="JOS76" s="70">
        <v>0</v>
      </c>
      <c r="JOT76" s="70">
        <v>0</v>
      </c>
      <c r="JOU76" s="70">
        <v>0</v>
      </c>
      <c r="JOV76" s="70">
        <v>0</v>
      </c>
      <c r="JOW76" s="70">
        <v>0</v>
      </c>
      <c r="JOX76" s="70">
        <v>0</v>
      </c>
      <c r="JOY76" s="70">
        <v>0</v>
      </c>
      <c r="JOZ76" s="70">
        <v>0</v>
      </c>
      <c r="JPA76" s="70">
        <v>0</v>
      </c>
      <c r="JPB76" s="70">
        <v>0</v>
      </c>
      <c r="JPC76" s="70">
        <v>0</v>
      </c>
      <c r="JPD76" s="70">
        <v>0</v>
      </c>
      <c r="JPE76" s="70">
        <v>0</v>
      </c>
      <c r="JPF76" s="70">
        <v>0</v>
      </c>
      <c r="JPG76" s="70">
        <v>0</v>
      </c>
      <c r="JPH76" s="70">
        <v>0</v>
      </c>
      <c r="JPI76" s="70">
        <v>0</v>
      </c>
      <c r="JPJ76" s="70">
        <v>0</v>
      </c>
      <c r="JPK76" s="70">
        <v>0</v>
      </c>
      <c r="JPL76" s="70">
        <v>0</v>
      </c>
      <c r="JPM76" s="70">
        <v>0</v>
      </c>
      <c r="JPN76" s="70">
        <v>0</v>
      </c>
      <c r="JPO76" s="70">
        <v>0</v>
      </c>
      <c r="JPP76" s="70">
        <v>0</v>
      </c>
      <c r="JPQ76" s="70">
        <v>0</v>
      </c>
      <c r="JPR76" s="70">
        <v>0</v>
      </c>
      <c r="JPS76" s="70">
        <v>0</v>
      </c>
      <c r="JPT76" s="70">
        <v>0</v>
      </c>
      <c r="JPU76" s="70">
        <v>0</v>
      </c>
      <c r="JPV76" s="70">
        <v>0</v>
      </c>
      <c r="JPW76" s="70">
        <v>0</v>
      </c>
      <c r="JPX76" s="70">
        <v>0</v>
      </c>
      <c r="JPY76" s="70">
        <v>0</v>
      </c>
      <c r="JPZ76" s="70">
        <v>0</v>
      </c>
      <c r="JQA76" s="70">
        <v>0</v>
      </c>
      <c r="JQB76" s="70">
        <v>0</v>
      </c>
      <c r="JQC76" s="70">
        <v>0</v>
      </c>
      <c r="JQD76" s="70">
        <v>0</v>
      </c>
      <c r="JQE76" s="70">
        <v>0</v>
      </c>
      <c r="JQF76" s="70">
        <v>0</v>
      </c>
      <c r="JQG76" s="70">
        <v>0</v>
      </c>
      <c r="JQH76" s="70">
        <v>0</v>
      </c>
      <c r="JQI76" s="70">
        <v>0</v>
      </c>
      <c r="JQJ76" s="70">
        <v>0</v>
      </c>
      <c r="JQK76" s="70">
        <v>0</v>
      </c>
      <c r="JQL76" s="70">
        <v>0</v>
      </c>
      <c r="JQM76" s="70">
        <v>0</v>
      </c>
      <c r="JQN76" s="70">
        <v>0</v>
      </c>
      <c r="JQO76" s="70">
        <v>0</v>
      </c>
      <c r="JQP76" s="70">
        <v>0</v>
      </c>
      <c r="JQQ76" s="70">
        <v>0</v>
      </c>
      <c r="JQR76" s="70">
        <v>0</v>
      </c>
      <c r="JQS76" s="70">
        <v>0</v>
      </c>
      <c r="JQT76" s="70">
        <v>0</v>
      </c>
      <c r="JQU76" s="70">
        <v>0</v>
      </c>
      <c r="JQV76" s="70">
        <v>0</v>
      </c>
      <c r="JQW76" s="70">
        <v>0</v>
      </c>
      <c r="JQX76" s="70">
        <v>0</v>
      </c>
      <c r="JQY76" s="70">
        <v>0</v>
      </c>
      <c r="JQZ76" s="70">
        <v>0</v>
      </c>
      <c r="JRA76" s="70">
        <v>0</v>
      </c>
      <c r="JRB76" s="70">
        <v>0</v>
      </c>
      <c r="JRC76" s="70">
        <v>0</v>
      </c>
      <c r="JRD76" s="70">
        <v>0</v>
      </c>
      <c r="JRE76" s="70">
        <v>0</v>
      </c>
      <c r="JRF76" s="70">
        <v>0</v>
      </c>
      <c r="JRG76" s="70">
        <v>0</v>
      </c>
      <c r="JRH76" s="70">
        <v>0</v>
      </c>
      <c r="JRI76" s="70">
        <v>0</v>
      </c>
      <c r="JRJ76" s="70">
        <v>0</v>
      </c>
      <c r="JRK76" s="70">
        <v>0</v>
      </c>
      <c r="JRL76" s="70">
        <v>0</v>
      </c>
      <c r="JRM76" s="70">
        <v>0</v>
      </c>
      <c r="JRN76" s="70">
        <v>0</v>
      </c>
      <c r="JRO76" s="70">
        <v>0</v>
      </c>
      <c r="JRP76" s="70">
        <v>0</v>
      </c>
      <c r="JRQ76" s="70">
        <v>0</v>
      </c>
      <c r="JRR76" s="70">
        <v>0</v>
      </c>
      <c r="JRS76" s="70">
        <v>0</v>
      </c>
      <c r="JRT76" s="70">
        <v>0</v>
      </c>
      <c r="JRU76" s="70">
        <v>0</v>
      </c>
      <c r="JRV76" s="70">
        <v>0</v>
      </c>
      <c r="JRW76" s="70">
        <v>0</v>
      </c>
      <c r="JRX76" s="70">
        <v>0</v>
      </c>
      <c r="JRY76" s="70">
        <v>0</v>
      </c>
      <c r="JRZ76" s="70">
        <v>0</v>
      </c>
      <c r="JSA76" s="70">
        <v>0</v>
      </c>
      <c r="JSB76" s="70">
        <v>0</v>
      </c>
      <c r="JSC76" s="70">
        <v>0</v>
      </c>
      <c r="JSD76" s="70">
        <v>0</v>
      </c>
      <c r="JSE76" s="70">
        <v>0</v>
      </c>
      <c r="JSF76" s="70">
        <v>0</v>
      </c>
      <c r="JSG76" s="70">
        <v>0</v>
      </c>
      <c r="JSH76" s="70">
        <v>0</v>
      </c>
      <c r="JSI76" s="70">
        <v>0</v>
      </c>
      <c r="JSJ76" s="70">
        <v>0</v>
      </c>
      <c r="JSK76" s="70">
        <v>0</v>
      </c>
      <c r="JSL76" s="70">
        <v>0</v>
      </c>
      <c r="JSM76" s="70">
        <v>0</v>
      </c>
      <c r="JSN76" s="70">
        <v>0</v>
      </c>
      <c r="JSO76" s="70">
        <v>0</v>
      </c>
      <c r="JSP76" s="70">
        <v>0</v>
      </c>
      <c r="JSQ76" s="70">
        <v>0</v>
      </c>
      <c r="JSR76" s="70">
        <v>0</v>
      </c>
      <c r="JSS76" s="70">
        <v>0</v>
      </c>
      <c r="JST76" s="70">
        <v>0</v>
      </c>
      <c r="JSU76" s="70">
        <v>0</v>
      </c>
      <c r="JSV76" s="70">
        <v>0</v>
      </c>
      <c r="JSW76" s="70">
        <v>0</v>
      </c>
      <c r="JSX76" s="70">
        <v>0</v>
      </c>
      <c r="JSY76" s="70">
        <v>0</v>
      </c>
      <c r="JSZ76" s="70">
        <v>0</v>
      </c>
      <c r="JTA76" s="70">
        <v>0</v>
      </c>
      <c r="JTB76" s="70">
        <v>0</v>
      </c>
      <c r="JTC76" s="70">
        <v>0</v>
      </c>
      <c r="JTD76" s="70">
        <v>0</v>
      </c>
      <c r="JTE76" s="70">
        <v>0</v>
      </c>
      <c r="JTF76" s="70">
        <v>0</v>
      </c>
      <c r="JTG76" s="70">
        <v>0</v>
      </c>
      <c r="JTH76" s="70">
        <v>0</v>
      </c>
      <c r="JTI76" s="70">
        <v>0</v>
      </c>
      <c r="JTJ76" s="70">
        <v>0</v>
      </c>
      <c r="JTK76" s="70">
        <v>0</v>
      </c>
      <c r="JTL76" s="70">
        <v>0</v>
      </c>
      <c r="JTM76" s="70">
        <v>0</v>
      </c>
      <c r="JTN76" s="70">
        <v>0</v>
      </c>
      <c r="JTO76" s="70">
        <v>0</v>
      </c>
      <c r="JTP76" s="70">
        <v>0</v>
      </c>
      <c r="JTQ76" s="70">
        <v>0</v>
      </c>
      <c r="JTR76" s="70">
        <v>0</v>
      </c>
      <c r="JTS76" s="70">
        <v>0</v>
      </c>
      <c r="JTT76" s="70">
        <v>0</v>
      </c>
      <c r="JTU76" s="70">
        <v>0</v>
      </c>
      <c r="JTV76" s="70">
        <v>0</v>
      </c>
      <c r="JTW76" s="70">
        <v>0</v>
      </c>
      <c r="JTX76" s="70">
        <v>0</v>
      </c>
      <c r="JTY76" s="70">
        <v>0</v>
      </c>
      <c r="JTZ76" s="70">
        <v>0</v>
      </c>
      <c r="JUA76" s="70">
        <v>0</v>
      </c>
      <c r="JUB76" s="70">
        <v>0</v>
      </c>
      <c r="JUC76" s="70">
        <v>0</v>
      </c>
      <c r="JUD76" s="70">
        <v>0</v>
      </c>
      <c r="JUE76" s="70">
        <v>0</v>
      </c>
      <c r="JUF76" s="70">
        <v>0</v>
      </c>
      <c r="JUG76" s="70">
        <v>0</v>
      </c>
      <c r="JUH76" s="70">
        <v>0</v>
      </c>
      <c r="JUI76" s="70">
        <v>0</v>
      </c>
      <c r="JUJ76" s="70">
        <v>0</v>
      </c>
      <c r="JUK76" s="70">
        <v>0</v>
      </c>
      <c r="JUL76" s="70">
        <v>0</v>
      </c>
      <c r="JUM76" s="70">
        <v>0</v>
      </c>
      <c r="JUN76" s="70">
        <v>0</v>
      </c>
      <c r="JUO76" s="70">
        <v>0</v>
      </c>
      <c r="JUP76" s="70">
        <v>0</v>
      </c>
      <c r="JUQ76" s="70">
        <v>0</v>
      </c>
      <c r="JUR76" s="70">
        <v>0</v>
      </c>
      <c r="JUS76" s="70">
        <v>0</v>
      </c>
      <c r="JUT76" s="70">
        <v>0</v>
      </c>
      <c r="JUU76" s="70">
        <v>0</v>
      </c>
      <c r="JUV76" s="70">
        <v>0</v>
      </c>
      <c r="JUW76" s="70">
        <v>0</v>
      </c>
      <c r="JUX76" s="70">
        <v>0</v>
      </c>
      <c r="JUY76" s="70">
        <v>0</v>
      </c>
      <c r="JUZ76" s="70">
        <v>0</v>
      </c>
      <c r="JVA76" s="70">
        <v>0</v>
      </c>
      <c r="JVB76" s="70">
        <v>0</v>
      </c>
      <c r="JVC76" s="70">
        <v>0</v>
      </c>
      <c r="JVD76" s="70">
        <v>0</v>
      </c>
      <c r="JVE76" s="70">
        <v>0</v>
      </c>
      <c r="JVF76" s="70">
        <v>0</v>
      </c>
      <c r="JVG76" s="70">
        <v>0</v>
      </c>
      <c r="JVH76" s="70">
        <v>0</v>
      </c>
      <c r="JVI76" s="70">
        <v>0</v>
      </c>
      <c r="JVJ76" s="70">
        <v>0</v>
      </c>
      <c r="JVK76" s="70">
        <v>0</v>
      </c>
      <c r="JVL76" s="70">
        <v>0</v>
      </c>
      <c r="JVM76" s="70">
        <v>0</v>
      </c>
      <c r="JVN76" s="70">
        <v>0</v>
      </c>
      <c r="JVO76" s="70">
        <v>0</v>
      </c>
      <c r="JVP76" s="70">
        <v>0</v>
      </c>
      <c r="JVQ76" s="70">
        <v>0</v>
      </c>
      <c r="JVR76" s="70">
        <v>0</v>
      </c>
      <c r="JVS76" s="70">
        <v>0</v>
      </c>
      <c r="JVT76" s="70">
        <v>0</v>
      </c>
      <c r="JVU76" s="70">
        <v>0</v>
      </c>
      <c r="JVV76" s="70">
        <v>0</v>
      </c>
      <c r="JVW76" s="70">
        <v>0</v>
      </c>
      <c r="JVX76" s="70">
        <v>0</v>
      </c>
      <c r="JVY76" s="70">
        <v>0</v>
      </c>
      <c r="JVZ76" s="70">
        <v>0</v>
      </c>
      <c r="JWA76" s="70">
        <v>0</v>
      </c>
      <c r="JWB76" s="70">
        <v>0</v>
      </c>
      <c r="JWC76" s="70">
        <v>0</v>
      </c>
      <c r="JWD76" s="70">
        <v>0</v>
      </c>
      <c r="JWE76" s="70">
        <v>0</v>
      </c>
      <c r="JWF76" s="70">
        <v>0</v>
      </c>
      <c r="JWG76" s="70">
        <v>0</v>
      </c>
      <c r="JWH76" s="70">
        <v>0</v>
      </c>
      <c r="JWI76" s="70">
        <v>0</v>
      </c>
      <c r="JWJ76" s="70">
        <v>0</v>
      </c>
      <c r="JWK76" s="70">
        <v>0</v>
      </c>
      <c r="JWL76" s="70">
        <v>0</v>
      </c>
      <c r="JWM76" s="70">
        <v>0</v>
      </c>
      <c r="JWN76" s="70">
        <v>0</v>
      </c>
      <c r="JWO76" s="70">
        <v>0</v>
      </c>
      <c r="JWP76" s="70">
        <v>0</v>
      </c>
      <c r="JWQ76" s="70">
        <v>0</v>
      </c>
      <c r="JWR76" s="70">
        <v>0</v>
      </c>
      <c r="JWS76" s="70">
        <v>0</v>
      </c>
      <c r="JWT76" s="70">
        <v>0</v>
      </c>
      <c r="JWU76" s="70">
        <v>0</v>
      </c>
      <c r="JWV76" s="70">
        <v>0</v>
      </c>
      <c r="JWW76" s="70">
        <v>0</v>
      </c>
      <c r="JWX76" s="70">
        <v>0</v>
      </c>
      <c r="JWY76" s="70">
        <v>0</v>
      </c>
      <c r="JWZ76" s="70">
        <v>0</v>
      </c>
      <c r="JXA76" s="70">
        <v>0</v>
      </c>
      <c r="JXB76" s="70">
        <v>0</v>
      </c>
      <c r="JXC76" s="70">
        <v>0</v>
      </c>
      <c r="JXD76" s="70">
        <v>0</v>
      </c>
      <c r="JXE76" s="70">
        <v>0</v>
      </c>
      <c r="JXF76" s="70">
        <v>0</v>
      </c>
      <c r="JXG76" s="70">
        <v>0</v>
      </c>
      <c r="JXH76" s="70">
        <v>0</v>
      </c>
      <c r="JXI76" s="70">
        <v>0</v>
      </c>
      <c r="JXJ76" s="70">
        <v>0</v>
      </c>
      <c r="JXK76" s="70">
        <v>0</v>
      </c>
      <c r="JXL76" s="70">
        <v>0</v>
      </c>
      <c r="JXM76" s="70">
        <v>0</v>
      </c>
      <c r="JXN76" s="70">
        <v>0</v>
      </c>
      <c r="JXO76" s="70">
        <v>0</v>
      </c>
      <c r="JXP76" s="70">
        <v>0</v>
      </c>
      <c r="JXQ76" s="70">
        <v>0</v>
      </c>
      <c r="JXR76" s="70">
        <v>0</v>
      </c>
      <c r="JXS76" s="70">
        <v>0</v>
      </c>
      <c r="JXT76" s="70">
        <v>0</v>
      </c>
      <c r="JXU76" s="70">
        <v>0</v>
      </c>
      <c r="JXV76" s="70">
        <v>0</v>
      </c>
      <c r="JXW76" s="70">
        <v>0</v>
      </c>
      <c r="JXX76" s="70">
        <v>0</v>
      </c>
      <c r="JXY76" s="70">
        <v>0</v>
      </c>
      <c r="JXZ76" s="70">
        <v>0</v>
      </c>
      <c r="JYA76" s="70">
        <v>0</v>
      </c>
      <c r="JYB76" s="70">
        <v>0</v>
      </c>
      <c r="JYC76" s="70">
        <v>0</v>
      </c>
      <c r="JYD76" s="70">
        <v>0</v>
      </c>
      <c r="JYE76" s="70">
        <v>0</v>
      </c>
      <c r="JYF76" s="70">
        <v>0</v>
      </c>
      <c r="JYG76" s="70">
        <v>0</v>
      </c>
      <c r="JYH76" s="70">
        <v>0</v>
      </c>
      <c r="JYI76" s="70">
        <v>0</v>
      </c>
      <c r="JYJ76" s="70">
        <v>0</v>
      </c>
      <c r="JYK76" s="70">
        <v>0</v>
      </c>
      <c r="JYL76" s="70">
        <v>0</v>
      </c>
      <c r="JYM76" s="70">
        <v>0</v>
      </c>
      <c r="JYN76" s="70">
        <v>0</v>
      </c>
      <c r="JYO76" s="70">
        <v>0</v>
      </c>
      <c r="JYP76" s="70">
        <v>0</v>
      </c>
      <c r="JYQ76" s="70">
        <v>0</v>
      </c>
      <c r="JYR76" s="70">
        <v>0</v>
      </c>
      <c r="JYS76" s="70">
        <v>0</v>
      </c>
      <c r="JYT76" s="70">
        <v>0</v>
      </c>
      <c r="JYU76" s="70">
        <v>0</v>
      </c>
      <c r="JYV76" s="70">
        <v>0</v>
      </c>
      <c r="JYW76" s="70">
        <v>0</v>
      </c>
      <c r="JYX76" s="70">
        <v>0</v>
      </c>
      <c r="JYY76" s="70">
        <v>0</v>
      </c>
      <c r="JYZ76" s="70">
        <v>0</v>
      </c>
      <c r="JZA76" s="70">
        <v>0</v>
      </c>
      <c r="JZB76" s="70">
        <v>0</v>
      </c>
      <c r="JZC76" s="70">
        <v>0</v>
      </c>
      <c r="JZD76" s="70">
        <v>0</v>
      </c>
      <c r="JZE76" s="70">
        <v>0</v>
      </c>
      <c r="JZF76" s="70">
        <v>0</v>
      </c>
      <c r="JZG76" s="70">
        <v>0</v>
      </c>
      <c r="JZH76" s="70">
        <v>0</v>
      </c>
      <c r="JZI76" s="70">
        <v>0</v>
      </c>
      <c r="JZJ76" s="70">
        <v>0</v>
      </c>
      <c r="JZK76" s="70">
        <v>0</v>
      </c>
      <c r="JZL76" s="70">
        <v>0</v>
      </c>
      <c r="JZM76" s="70">
        <v>0</v>
      </c>
      <c r="JZN76" s="70">
        <v>0</v>
      </c>
      <c r="JZO76" s="70">
        <v>0</v>
      </c>
      <c r="JZP76" s="70">
        <v>0</v>
      </c>
      <c r="JZQ76" s="70">
        <v>0</v>
      </c>
      <c r="JZR76" s="70">
        <v>0</v>
      </c>
      <c r="JZS76" s="70">
        <v>0</v>
      </c>
      <c r="JZT76" s="70">
        <v>0</v>
      </c>
      <c r="JZU76" s="70">
        <v>0</v>
      </c>
      <c r="JZV76" s="70">
        <v>0</v>
      </c>
      <c r="JZW76" s="70">
        <v>0</v>
      </c>
      <c r="JZX76" s="70">
        <v>0</v>
      </c>
      <c r="JZY76" s="70">
        <v>0</v>
      </c>
      <c r="JZZ76" s="70">
        <v>0</v>
      </c>
      <c r="KAA76" s="70">
        <v>0</v>
      </c>
      <c r="KAB76" s="70">
        <v>0</v>
      </c>
      <c r="KAC76" s="70">
        <v>0</v>
      </c>
      <c r="KAD76" s="70">
        <v>0</v>
      </c>
      <c r="KAE76" s="70">
        <v>0</v>
      </c>
      <c r="KAF76" s="70">
        <v>0</v>
      </c>
      <c r="KAG76" s="70">
        <v>0</v>
      </c>
      <c r="KAH76" s="70">
        <v>0</v>
      </c>
      <c r="KAI76" s="70">
        <v>0</v>
      </c>
      <c r="KAJ76" s="70">
        <v>0</v>
      </c>
      <c r="KAK76" s="70">
        <v>0</v>
      </c>
      <c r="KAL76" s="70">
        <v>0</v>
      </c>
      <c r="KAM76" s="70">
        <v>0</v>
      </c>
      <c r="KAN76" s="70">
        <v>0</v>
      </c>
      <c r="KAO76" s="70">
        <v>0</v>
      </c>
      <c r="KAP76" s="70">
        <v>0</v>
      </c>
      <c r="KAQ76" s="70">
        <v>0</v>
      </c>
      <c r="KAR76" s="70">
        <v>0</v>
      </c>
      <c r="KAS76" s="70">
        <v>0</v>
      </c>
      <c r="KAT76" s="70">
        <v>0</v>
      </c>
      <c r="KAU76" s="70">
        <v>0</v>
      </c>
      <c r="KAV76" s="70">
        <v>0</v>
      </c>
      <c r="KAW76" s="70">
        <v>0</v>
      </c>
      <c r="KAX76" s="70">
        <v>0</v>
      </c>
      <c r="KAY76" s="70">
        <v>0</v>
      </c>
      <c r="KAZ76" s="70">
        <v>0</v>
      </c>
      <c r="KBA76" s="70">
        <v>0</v>
      </c>
      <c r="KBB76" s="70">
        <v>0</v>
      </c>
      <c r="KBC76" s="70">
        <v>0</v>
      </c>
      <c r="KBD76" s="70">
        <v>0</v>
      </c>
      <c r="KBE76" s="70">
        <v>0</v>
      </c>
      <c r="KBF76" s="70">
        <v>0</v>
      </c>
      <c r="KBG76" s="70">
        <v>0</v>
      </c>
      <c r="KBH76" s="70">
        <v>0</v>
      </c>
      <c r="KBI76" s="70">
        <v>0</v>
      </c>
      <c r="KBJ76" s="70">
        <v>0</v>
      </c>
      <c r="KBK76" s="70">
        <v>0</v>
      </c>
      <c r="KBL76" s="70">
        <v>0</v>
      </c>
      <c r="KBM76" s="70">
        <v>0</v>
      </c>
      <c r="KBN76" s="70">
        <v>0</v>
      </c>
      <c r="KBO76" s="70">
        <v>0</v>
      </c>
      <c r="KBP76" s="70">
        <v>0</v>
      </c>
      <c r="KBQ76" s="70">
        <v>0</v>
      </c>
      <c r="KBR76" s="70">
        <v>0</v>
      </c>
      <c r="KBS76" s="70">
        <v>0</v>
      </c>
      <c r="KBT76" s="70">
        <v>0</v>
      </c>
      <c r="KBU76" s="70">
        <v>0</v>
      </c>
      <c r="KBV76" s="70">
        <v>0</v>
      </c>
      <c r="KBW76" s="70">
        <v>0</v>
      </c>
      <c r="KBX76" s="70">
        <v>0</v>
      </c>
      <c r="KBY76" s="70">
        <v>0</v>
      </c>
      <c r="KBZ76" s="70">
        <v>0</v>
      </c>
      <c r="KCA76" s="70">
        <v>0</v>
      </c>
      <c r="KCB76" s="70">
        <v>0</v>
      </c>
      <c r="KCC76" s="70">
        <v>0</v>
      </c>
      <c r="KCD76" s="70">
        <v>0</v>
      </c>
      <c r="KCE76" s="70">
        <v>0</v>
      </c>
      <c r="KCF76" s="70">
        <v>0</v>
      </c>
      <c r="KCG76" s="70">
        <v>0</v>
      </c>
      <c r="KCH76" s="70">
        <v>0</v>
      </c>
      <c r="KCI76" s="70">
        <v>0</v>
      </c>
      <c r="KCJ76" s="70">
        <v>0</v>
      </c>
      <c r="KCK76" s="70">
        <v>0</v>
      </c>
      <c r="KCL76" s="70">
        <v>0</v>
      </c>
      <c r="KCM76" s="70">
        <v>0</v>
      </c>
      <c r="KCN76" s="70">
        <v>0</v>
      </c>
      <c r="KCO76" s="70">
        <v>0</v>
      </c>
      <c r="KCP76" s="70">
        <v>0</v>
      </c>
      <c r="KCQ76" s="70">
        <v>0</v>
      </c>
      <c r="KCR76" s="70">
        <v>0</v>
      </c>
      <c r="KCS76" s="70">
        <v>0</v>
      </c>
      <c r="KCT76" s="70">
        <v>0</v>
      </c>
      <c r="KCU76" s="70">
        <v>0</v>
      </c>
      <c r="KCV76" s="70">
        <v>0</v>
      </c>
      <c r="KCW76" s="70">
        <v>0</v>
      </c>
      <c r="KCX76" s="70">
        <v>0</v>
      </c>
      <c r="KCY76" s="70">
        <v>0</v>
      </c>
      <c r="KCZ76" s="70">
        <v>0</v>
      </c>
      <c r="KDA76" s="70">
        <v>0</v>
      </c>
      <c r="KDB76" s="70">
        <v>0</v>
      </c>
      <c r="KDC76" s="70">
        <v>0</v>
      </c>
      <c r="KDD76" s="70">
        <v>0</v>
      </c>
      <c r="KDE76" s="70">
        <v>0</v>
      </c>
      <c r="KDF76" s="70">
        <v>0</v>
      </c>
      <c r="KDG76" s="70">
        <v>0</v>
      </c>
      <c r="KDH76" s="70">
        <v>0</v>
      </c>
      <c r="KDI76" s="70">
        <v>0</v>
      </c>
      <c r="KDJ76" s="70">
        <v>0</v>
      </c>
      <c r="KDK76" s="70">
        <v>0</v>
      </c>
      <c r="KDL76" s="70">
        <v>0</v>
      </c>
      <c r="KDM76" s="70">
        <v>0</v>
      </c>
      <c r="KDN76" s="70">
        <v>0</v>
      </c>
      <c r="KDO76" s="70">
        <v>0</v>
      </c>
      <c r="KDP76" s="70">
        <v>0</v>
      </c>
      <c r="KDQ76" s="70">
        <v>0</v>
      </c>
      <c r="KDR76" s="70">
        <v>0</v>
      </c>
      <c r="KDS76" s="70">
        <v>0</v>
      </c>
      <c r="KDT76" s="70">
        <v>0</v>
      </c>
      <c r="KDU76" s="70">
        <v>0</v>
      </c>
      <c r="KDV76" s="70">
        <v>0</v>
      </c>
      <c r="KDW76" s="70">
        <v>0</v>
      </c>
      <c r="KDX76" s="70">
        <v>0</v>
      </c>
      <c r="KDY76" s="70">
        <v>0</v>
      </c>
      <c r="KDZ76" s="70">
        <v>0</v>
      </c>
      <c r="KEA76" s="70">
        <v>0</v>
      </c>
      <c r="KEB76" s="70">
        <v>0</v>
      </c>
      <c r="KEC76" s="70">
        <v>0</v>
      </c>
      <c r="KED76" s="70">
        <v>0</v>
      </c>
      <c r="KEE76" s="70">
        <v>0</v>
      </c>
      <c r="KEF76" s="70">
        <v>0</v>
      </c>
      <c r="KEG76" s="70">
        <v>0</v>
      </c>
      <c r="KEH76" s="70">
        <v>0</v>
      </c>
      <c r="KEI76" s="70">
        <v>0</v>
      </c>
      <c r="KEJ76" s="70">
        <v>0</v>
      </c>
      <c r="KEK76" s="70">
        <v>0</v>
      </c>
      <c r="KEL76" s="70">
        <v>0</v>
      </c>
      <c r="KEM76" s="70">
        <v>0</v>
      </c>
      <c r="KEN76" s="70">
        <v>0</v>
      </c>
      <c r="KEO76" s="70">
        <v>0</v>
      </c>
      <c r="KEP76" s="70">
        <v>0</v>
      </c>
      <c r="KEQ76" s="70">
        <v>0</v>
      </c>
      <c r="KER76" s="70">
        <v>0</v>
      </c>
      <c r="KES76" s="70">
        <v>0</v>
      </c>
      <c r="KET76" s="70">
        <v>0</v>
      </c>
      <c r="KEU76" s="70">
        <v>0</v>
      </c>
      <c r="KEV76" s="70">
        <v>0</v>
      </c>
      <c r="KEW76" s="70">
        <v>0</v>
      </c>
      <c r="KEX76" s="70">
        <v>0</v>
      </c>
      <c r="KEY76" s="70">
        <v>0</v>
      </c>
      <c r="KEZ76" s="70">
        <v>0</v>
      </c>
      <c r="KFA76" s="70">
        <v>0</v>
      </c>
      <c r="KFB76" s="70">
        <v>0</v>
      </c>
      <c r="KFC76" s="70">
        <v>0</v>
      </c>
      <c r="KFD76" s="70">
        <v>0</v>
      </c>
      <c r="KFE76" s="70">
        <v>0</v>
      </c>
      <c r="KFF76" s="70">
        <v>0</v>
      </c>
      <c r="KFG76" s="70">
        <v>0</v>
      </c>
      <c r="KFH76" s="70">
        <v>0</v>
      </c>
      <c r="KFI76" s="70">
        <v>0</v>
      </c>
      <c r="KFJ76" s="70">
        <v>0</v>
      </c>
      <c r="KFK76" s="70">
        <v>0</v>
      </c>
      <c r="KFL76" s="70">
        <v>0</v>
      </c>
      <c r="KFM76" s="70">
        <v>0</v>
      </c>
      <c r="KFN76" s="70">
        <v>0</v>
      </c>
      <c r="KFO76" s="70">
        <v>0</v>
      </c>
      <c r="KFP76" s="70">
        <v>0</v>
      </c>
      <c r="KFQ76" s="70">
        <v>0</v>
      </c>
      <c r="KFR76" s="70">
        <v>0</v>
      </c>
      <c r="KFS76" s="70">
        <v>0</v>
      </c>
      <c r="KFT76" s="70">
        <v>0</v>
      </c>
      <c r="KFU76" s="70">
        <v>0</v>
      </c>
      <c r="KFV76" s="70">
        <v>0</v>
      </c>
      <c r="KFW76" s="70">
        <v>0</v>
      </c>
      <c r="KFX76" s="70">
        <v>0</v>
      </c>
      <c r="KFY76" s="70">
        <v>0</v>
      </c>
      <c r="KFZ76" s="70">
        <v>0</v>
      </c>
      <c r="KGA76" s="70">
        <v>0</v>
      </c>
      <c r="KGB76" s="70">
        <v>0</v>
      </c>
      <c r="KGC76" s="70">
        <v>0</v>
      </c>
      <c r="KGD76" s="70">
        <v>0</v>
      </c>
      <c r="KGE76" s="70">
        <v>0</v>
      </c>
      <c r="KGF76" s="70">
        <v>0</v>
      </c>
      <c r="KGG76" s="70">
        <v>0</v>
      </c>
      <c r="KGH76" s="70">
        <v>0</v>
      </c>
      <c r="KGI76" s="70">
        <v>0</v>
      </c>
      <c r="KGJ76" s="70">
        <v>0</v>
      </c>
      <c r="KGK76" s="70">
        <v>0</v>
      </c>
      <c r="KGL76" s="70">
        <v>0</v>
      </c>
      <c r="KGM76" s="70">
        <v>0</v>
      </c>
      <c r="KGN76" s="70">
        <v>0</v>
      </c>
      <c r="KGO76" s="70">
        <v>0</v>
      </c>
      <c r="KGP76" s="70">
        <v>0</v>
      </c>
      <c r="KGQ76" s="70">
        <v>0</v>
      </c>
      <c r="KGR76" s="70">
        <v>0</v>
      </c>
      <c r="KGS76" s="70">
        <v>0</v>
      </c>
      <c r="KGT76" s="70">
        <v>0</v>
      </c>
      <c r="KGU76" s="70">
        <v>0</v>
      </c>
      <c r="KGV76" s="70">
        <v>0</v>
      </c>
      <c r="KGW76" s="70">
        <v>0</v>
      </c>
      <c r="KGX76" s="70">
        <v>0</v>
      </c>
      <c r="KGY76" s="70">
        <v>0</v>
      </c>
      <c r="KGZ76" s="70">
        <v>0</v>
      </c>
      <c r="KHA76" s="70">
        <v>0</v>
      </c>
      <c r="KHB76" s="70">
        <v>0</v>
      </c>
      <c r="KHC76" s="70">
        <v>0</v>
      </c>
      <c r="KHD76" s="70">
        <v>0</v>
      </c>
      <c r="KHE76" s="70">
        <v>0</v>
      </c>
      <c r="KHF76" s="70">
        <v>0</v>
      </c>
      <c r="KHG76" s="70">
        <v>0</v>
      </c>
      <c r="KHH76" s="70">
        <v>0</v>
      </c>
      <c r="KHI76" s="70">
        <v>0</v>
      </c>
      <c r="KHJ76" s="70">
        <v>0</v>
      </c>
      <c r="KHK76" s="70">
        <v>0</v>
      </c>
      <c r="KHL76" s="70">
        <v>0</v>
      </c>
      <c r="KHM76" s="70">
        <v>0</v>
      </c>
      <c r="KHN76" s="70">
        <v>0</v>
      </c>
      <c r="KHO76" s="70">
        <v>0</v>
      </c>
      <c r="KHP76" s="70">
        <v>0</v>
      </c>
      <c r="KHQ76" s="70">
        <v>0</v>
      </c>
      <c r="KHR76" s="70">
        <v>0</v>
      </c>
      <c r="KHS76" s="70">
        <v>0</v>
      </c>
      <c r="KHT76" s="70">
        <v>0</v>
      </c>
      <c r="KHU76" s="70">
        <v>0</v>
      </c>
      <c r="KHV76" s="70">
        <v>0</v>
      </c>
      <c r="KHW76" s="70">
        <v>0</v>
      </c>
      <c r="KHX76" s="70">
        <v>0</v>
      </c>
      <c r="KHY76" s="70">
        <v>0</v>
      </c>
      <c r="KHZ76" s="70">
        <v>0</v>
      </c>
      <c r="KIA76" s="70">
        <v>0</v>
      </c>
      <c r="KIB76" s="70">
        <v>0</v>
      </c>
      <c r="KIC76" s="70">
        <v>0</v>
      </c>
      <c r="KID76" s="70">
        <v>0</v>
      </c>
      <c r="KIE76" s="70">
        <v>0</v>
      </c>
      <c r="KIF76" s="70">
        <v>0</v>
      </c>
      <c r="KIG76" s="70">
        <v>0</v>
      </c>
      <c r="KIH76" s="70">
        <v>0</v>
      </c>
      <c r="KII76" s="70">
        <v>0</v>
      </c>
      <c r="KIJ76" s="70">
        <v>0</v>
      </c>
      <c r="KIK76" s="70">
        <v>0</v>
      </c>
      <c r="KIL76" s="70">
        <v>0</v>
      </c>
      <c r="KIM76" s="70">
        <v>0</v>
      </c>
      <c r="KIN76" s="70">
        <v>0</v>
      </c>
      <c r="KIO76" s="70">
        <v>0</v>
      </c>
      <c r="KIP76" s="70">
        <v>0</v>
      </c>
      <c r="KIQ76" s="70">
        <v>0</v>
      </c>
      <c r="KIR76" s="70">
        <v>0</v>
      </c>
      <c r="KIS76" s="70">
        <v>0</v>
      </c>
      <c r="KIT76" s="70">
        <v>0</v>
      </c>
      <c r="KIU76" s="70">
        <v>0</v>
      </c>
      <c r="KIV76" s="70">
        <v>0</v>
      </c>
      <c r="KIW76" s="70">
        <v>0</v>
      </c>
      <c r="KIX76" s="70">
        <v>0</v>
      </c>
      <c r="KIY76" s="70">
        <v>0</v>
      </c>
      <c r="KIZ76" s="70">
        <v>0</v>
      </c>
      <c r="KJA76" s="70">
        <v>0</v>
      </c>
      <c r="KJB76" s="70">
        <v>0</v>
      </c>
      <c r="KJC76" s="70">
        <v>0</v>
      </c>
      <c r="KJD76" s="70">
        <v>0</v>
      </c>
      <c r="KJE76" s="70">
        <v>0</v>
      </c>
      <c r="KJF76" s="70">
        <v>0</v>
      </c>
      <c r="KJG76" s="70">
        <v>0</v>
      </c>
      <c r="KJH76" s="70">
        <v>0</v>
      </c>
      <c r="KJI76" s="70">
        <v>0</v>
      </c>
      <c r="KJJ76" s="70">
        <v>0</v>
      </c>
      <c r="KJK76" s="70">
        <v>0</v>
      </c>
      <c r="KJL76" s="70">
        <v>0</v>
      </c>
      <c r="KJM76" s="70">
        <v>0</v>
      </c>
      <c r="KJN76" s="70">
        <v>0</v>
      </c>
      <c r="KJO76" s="70">
        <v>0</v>
      </c>
      <c r="KJP76" s="70">
        <v>0</v>
      </c>
      <c r="KJQ76" s="70">
        <v>0</v>
      </c>
      <c r="KJR76" s="70">
        <v>0</v>
      </c>
      <c r="KJS76" s="70">
        <v>0</v>
      </c>
      <c r="KJT76" s="70">
        <v>0</v>
      </c>
      <c r="KJU76" s="70">
        <v>0</v>
      </c>
      <c r="KJV76" s="70">
        <v>0</v>
      </c>
      <c r="KJW76" s="70">
        <v>0</v>
      </c>
      <c r="KJX76" s="70">
        <v>0</v>
      </c>
      <c r="KJY76" s="70">
        <v>0</v>
      </c>
      <c r="KJZ76" s="70">
        <v>0</v>
      </c>
      <c r="KKA76" s="70">
        <v>0</v>
      </c>
      <c r="KKB76" s="70">
        <v>0</v>
      </c>
      <c r="KKC76" s="70">
        <v>0</v>
      </c>
      <c r="KKD76" s="70">
        <v>0</v>
      </c>
      <c r="KKE76" s="70">
        <v>0</v>
      </c>
      <c r="KKF76" s="70">
        <v>0</v>
      </c>
      <c r="KKG76" s="70">
        <v>0</v>
      </c>
      <c r="KKH76" s="70">
        <v>0</v>
      </c>
      <c r="KKI76" s="70">
        <v>0</v>
      </c>
      <c r="KKJ76" s="70">
        <v>0</v>
      </c>
      <c r="KKK76" s="70">
        <v>0</v>
      </c>
      <c r="KKL76" s="70">
        <v>0</v>
      </c>
      <c r="KKM76" s="70">
        <v>0</v>
      </c>
      <c r="KKN76" s="70">
        <v>0</v>
      </c>
      <c r="KKO76" s="70">
        <v>0</v>
      </c>
      <c r="KKP76" s="70">
        <v>0</v>
      </c>
      <c r="KKQ76" s="70">
        <v>0</v>
      </c>
      <c r="KKR76" s="70">
        <v>0</v>
      </c>
      <c r="KKS76" s="70">
        <v>0</v>
      </c>
      <c r="KKT76" s="70">
        <v>0</v>
      </c>
      <c r="KKU76" s="70">
        <v>0</v>
      </c>
      <c r="KKV76" s="70">
        <v>0</v>
      </c>
      <c r="KKW76" s="70">
        <v>0</v>
      </c>
      <c r="KKX76" s="70">
        <v>0</v>
      </c>
      <c r="KKY76" s="70">
        <v>0</v>
      </c>
      <c r="KKZ76" s="70">
        <v>0</v>
      </c>
      <c r="KLA76" s="70">
        <v>0</v>
      </c>
      <c r="KLB76" s="70">
        <v>0</v>
      </c>
      <c r="KLC76" s="70">
        <v>0</v>
      </c>
      <c r="KLD76" s="70">
        <v>0</v>
      </c>
      <c r="KLE76" s="70">
        <v>0</v>
      </c>
      <c r="KLF76" s="70">
        <v>0</v>
      </c>
      <c r="KLG76" s="70">
        <v>0</v>
      </c>
      <c r="KLH76" s="70">
        <v>0</v>
      </c>
      <c r="KLI76" s="70">
        <v>0</v>
      </c>
      <c r="KLJ76" s="70">
        <v>0</v>
      </c>
      <c r="KLK76" s="70">
        <v>0</v>
      </c>
      <c r="KLL76" s="70">
        <v>0</v>
      </c>
      <c r="KLM76" s="70">
        <v>0</v>
      </c>
      <c r="KLN76" s="70">
        <v>0</v>
      </c>
      <c r="KLO76" s="70">
        <v>0</v>
      </c>
      <c r="KLP76" s="70">
        <v>0</v>
      </c>
      <c r="KLQ76" s="70">
        <v>0</v>
      </c>
      <c r="KLR76" s="70">
        <v>0</v>
      </c>
      <c r="KLS76" s="70">
        <v>0</v>
      </c>
      <c r="KLT76" s="70">
        <v>0</v>
      </c>
      <c r="KLU76" s="70">
        <v>0</v>
      </c>
      <c r="KLV76" s="70">
        <v>0</v>
      </c>
      <c r="KLW76" s="70">
        <v>0</v>
      </c>
      <c r="KLX76" s="70">
        <v>0</v>
      </c>
      <c r="KLY76" s="70">
        <v>0</v>
      </c>
      <c r="KLZ76" s="70">
        <v>0</v>
      </c>
      <c r="KMA76" s="70">
        <v>0</v>
      </c>
      <c r="KMB76" s="70">
        <v>0</v>
      </c>
      <c r="KMC76" s="70">
        <v>0</v>
      </c>
      <c r="KMD76" s="70">
        <v>0</v>
      </c>
      <c r="KME76" s="70">
        <v>0</v>
      </c>
      <c r="KMF76" s="70">
        <v>0</v>
      </c>
      <c r="KMG76" s="70">
        <v>0</v>
      </c>
      <c r="KMH76" s="70">
        <v>0</v>
      </c>
      <c r="KMI76" s="70">
        <v>0</v>
      </c>
      <c r="KMJ76" s="70">
        <v>0</v>
      </c>
      <c r="KMK76" s="70">
        <v>0</v>
      </c>
      <c r="KML76" s="70">
        <v>0</v>
      </c>
      <c r="KMM76" s="70">
        <v>0</v>
      </c>
      <c r="KMN76" s="70">
        <v>0</v>
      </c>
      <c r="KMO76" s="70">
        <v>0</v>
      </c>
      <c r="KMP76" s="70">
        <v>0</v>
      </c>
      <c r="KMQ76" s="70">
        <v>0</v>
      </c>
      <c r="KMR76" s="70">
        <v>0</v>
      </c>
      <c r="KMS76" s="70">
        <v>0</v>
      </c>
      <c r="KMT76" s="70">
        <v>0</v>
      </c>
      <c r="KMU76" s="70">
        <v>0</v>
      </c>
      <c r="KMV76" s="70">
        <v>0</v>
      </c>
      <c r="KMW76" s="70">
        <v>0</v>
      </c>
      <c r="KMX76" s="70">
        <v>0</v>
      </c>
      <c r="KMY76" s="70">
        <v>0</v>
      </c>
      <c r="KMZ76" s="70">
        <v>0</v>
      </c>
      <c r="KNA76" s="70">
        <v>0</v>
      </c>
      <c r="KNB76" s="70">
        <v>0</v>
      </c>
      <c r="KNC76" s="70">
        <v>0</v>
      </c>
      <c r="KND76" s="70">
        <v>0</v>
      </c>
      <c r="KNE76" s="70">
        <v>0</v>
      </c>
      <c r="KNF76" s="70">
        <v>0</v>
      </c>
      <c r="KNG76" s="70">
        <v>0</v>
      </c>
      <c r="KNH76" s="70">
        <v>0</v>
      </c>
      <c r="KNI76" s="70">
        <v>0</v>
      </c>
      <c r="KNJ76" s="70">
        <v>0</v>
      </c>
      <c r="KNK76" s="70">
        <v>0</v>
      </c>
      <c r="KNL76" s="70">
        <v>0</v>
      </c>
      <c r="KNM76" s="70">
        <v>0</v>
      </c>
      <c r="KNN76" s="70">
        <v>0</v>
      </c>
      <c r="KNO76" s="70">
        <v>0</v>
      </c>
      <c r="KNP76" s="70">
        <v>0</v>
      </c>
      <c r="KNQ76" s="70">
        <v>0</v>
      </c>
      <c r="KNR76" s="70">
        <v>0</v>
      </c>
      <c r="KNS76" s="70">
        <v>0</v>
      </c>
      <c r="KNT76" s="70">
        <v>0</v>
      </c>
      <c r="KNU76" s="70">
        <v>0</v>
      </c>
      <c r="KNV76" s="70">
        <v>0</v>
      </c>
      <c r="KNW76" s="70">
        <v>0</v>
      </c>
      <c r="KNX76" s="70">
        <v>0</v>
      </c>
      <c r="KNY76" s="70">
        <v>0</v>
      </c>
      <c r="KNZ76" s="70">
        <v>0</v>
      </c>
      <c r="KOA76" s="70">
        <v>0</v>
      </c>
      <c r="KOB76" s="70">
        <v>0</v>
      </c>
      <c r="KOC76" s="70">
        <v>0</v>
      </c>
      <c r="KOD76" s="70">
        <v>0</v>
      </c>
      <c r="KOE76" s="70">
        <v>0</v>
      </c>
      <c r="KOF76" s="70">
        <v>0</v>
      </c>
      <c r="KOG76" s="70">
        <v>0</v>
      </c>
      <c r="KOH76" s="70">
        <v>0</v>
      </c>
      <c r="KOI76" s="70">
        <v>0</v>
      </c>
      <c r="KOJ76" s="70">
        <v>0</v>
      </c>
      <c r="KOK76" s="70">
        <v>0</v>
      </c>
      <c r="KOL76" s="70">
        <v>0</v>
      </c>
      <c r="KOM76" s="70">
        <v>0</v>
      </c>
      <c r="KON76" s="70">
        <v>0</v>
      </c>
      <c r="KOO76" s="70">
        <v>0</v>
      </c>
      <c r="KOP76" s="70">
        <v>0</v>
      </c>
      <c r="KOQ76" s="70">
        <v>0</v>
      </c>
      <c r="KOR76" s="70">
        <v>0</v>
      </c>
      <c r="KOS76" s="70">
        <v>0</v>
      </c>
      <c r="KOT76" s="70">
        <v>0</v>
      </c>
      <c r="KOU76" s="70">
        <v>0</v>
      </c>
      <c r="KOV76" s="70">
        <v>0</v>
      </c>
      <c r="KOW76" s="70">
        <v>0</v>
      </c>
      <c r="KOX76" s="70">
        <v>0</v>
      </c>
      <c r="KOY76" s="70">
        <v>0</v>
      </c>
      <c r="KOZ76" s="70">
        <v>0</v>
      </c>
      <c r="KPA76" s="70">
        <v>0</v>
      </c>
      <c r="KPB76" s="70">
        <v>0</v>
      </c>
      <c r="KPC76" s="70">
        <v>0</v>
      </c>
      <c r="KPD76" s="70">
        <v>0</v>
      </c>
      <c r="KPE76" s="70">
        <v>0</v>
      </c>
      <c r="KPF76" s="70">
        <v>0</v>
      </c>
      <c r="KPG76" s="70">
        <v>0</v>
      </c>
      <c r="KPH76" s="70">
        <v>0</v>
      </c>
      <c r="KPI76" s="70">
        <v>0</v>
      </c>
      <c r="KPJ76" s="70">
        <v>0</v>
      </c>
      <c r="KPK76" s="70">
        <v>0</v>
      </c>
      <c r="KPL76" s="70">
        <v>0</v>
      </c>
      <c r="KPM76" s="70">
        <v>0</v>
      </c>
      <c r="KPN76" s="70">
        <v>0</v>
      </c>
      <c r="KPO76" s="70">
        <v>0</v>
      </c>
      <c r="KPP76" s="70">
        <v>0</v>
      </c>
      <c r="KPQ76" s="70">
        <v>0</v>
      </c>
      <c r="KPR76" s="70">
        <v>0</v>
      </c>
      <c r="KPS76" s="70">
        <v>0</v>
      </c>
      <c r="KPT76" s="70">
        <v>0</v>
      </c>
      <c r="KPU76" s="70">
        <v>0</v>
      </c>
      <c r="KPV76" s="70">
        <v>0</v>
      </c>
      <c r="KPW76" s="70">
        <v>0</v>
      </c>
      <c r="KPX76" s="70">
        <v>0</v>
      </c>
      <c r="KPY76" s="70">
        <v>0</v>
      </c>
      <c r="KPZ76" s="70">
        <v>0</v>
      </c>
      <c r="KQA76" s="70">
        <v>0</v>
      </c>
      <c r="KQB76" s="70">
        <v>0</v>
      </c>
      <c r="KQC76" s="70">
        <v>0</v>
      </c>
      <c r="KQD76" s="70">
        <v>0</v>
      </c>
      <c r="KQE76" s="70">
        <v>0</v>
      </c>
      <c r="KQF76" s="70">
        <v>0</v>
      </c>
      <c r="KQG76" s="70">
        <v>0</v>
      </c>
      <c r="KQH76" s="70">
        <v>0</v>
      </c>
      <c r="KQI76" s="70">
        <v>0</v>
      </c>
      <c r="KQJ76" s="70">
        <v>0</v>
      </c>
      <c r="KQK76" s="70">
        <v>0</v>
      </c>
      <c r="KQL76" s="70">
        <v>0</v>
      </c>
      <c r="KQM76" s="70">
        <v>0</v>
      </c>
      <c r="KQN76" s="70">
        <v>0</v>
      </c>
      <c r="KQO76" s="70">
        <v>0</v>
      </c>
      <c r="KQP76" s="70">
        <v>0</v>
      </c>
      <c r="KQQ76" s="70">
        <v>0</v>
      </c>
      <c r="KQR76" s="70">
        <v>0</v>
      </c>
      <c r="KQS76" s="70">
        <v>0</v>
      </c>
      <c r="KQT76" s="70">
        <v>0</v>
      </c>
      <c r="KQU76" s="70">
        <v>0</v>
      </c>
      <c r="KQV76" s="70">
        <v>0</v>
      </c>
      <c r="KQW76" s="70">
        <v>0</v>
      </c>
      <c r="KQX76" s="70">
        <v>0</v>
      </c>
      <c r="KQY76" s="70">
        <v>0</v>
      </c>
      <c r="KQZ76" s="70">
        <v>0</v>
      </c>
      <c r="KRA76" s="70">
        <v>0</v>
      </c>
      <c r="KRB76" s="70">
        <v>0</v>
      </c>
      <c r="KRC76" s="70">
        <v>0</v>
      </c>
      <c r="KRD76" s="70">
        <v>0</v>
      </c>
      <c r="KRE76" s="70">
        <v>0</v>
      </c>
      <c r="KRF76" s="70">
        <v>0</v>
      </c>
      <c r="KRG76" s="70">
        <v>0</v>
      </c>
      <c r="KRH76" s="70">
        <v>0</v>
      </c>
      <c r="KRI76" s="70">
        <v>0</v>
      </c>
      <c r="KRJ76" s="70">
        <v>0</v>
      </c>
      <c r="KRK76" s="70">
        <v>0</v>
      </c>
      <c r="KRL76" s="70">
        <v>0</v>
      </c>
      <c r="KRM76" s="70">
        <v>0</v>
      </c>
      <c r="KRN76" s="70">
        <v>0</v>
      </c>
      <c r="KRO76" s="70">
        <v>0</v>
      </c>
      <c r="KRP76" s="70">
        <v>0</v>
      </c>
      <c r="KRQ76" s="70">
        <v>0</v>
      </c>
      <c r="KRR76" s="70">
        <v>0</v>
      </c>
      <c r="KRS76" s="70">
        <v>0</v>
      </c>
      <c r="KRT76" s="70">
        <v>0</v>
      </c>
      <c r="KRU76" s="70">
        <v>0</v>
      </c>
      <c r="KRV76" s="70">
        <v>0</v>
      </c>
      <c r="KRW76" s="70">
        <v>0</v>
      </c>
      <c r="KRX76" s="70">
        <v>0</v>
      </c>
      <c r="KRY76" s="70">
        <v>0</v>
      </c>
      <c r="KRZ76" s="70">
        <v>0</v>
      </c>
      <c r="KSA76" s="70">
        <v>0</v>
      </c>
      <c r="KSB76" s="70">
        <v>0</v>
      </c>
      <c r="KSC76" s="70">
        <v>0</v>
      </c>
      <c r="KSD76" s="70">
        <v>0</v>
      </c>
      <c r="KSE76" s="70">
        <v>0</v>
      </c>
      <c r="KSF76" s="70">
        <v>0</v>
      </c>
      <c r="KSG76" s="70">
        <v>0</v>
      </c>
      <c r="KSH76" s="70">
        <v>0</v>
      </c>
      <c r="KSI76" s="70">
        <v>0</v>
      </c>
      <c r="KSJ76" s="70">
        <v>0</v>
      </c>
      <c r="KSK76" s="70">
        <v>0</v>
      </c>
      <c r="KSL76" s="70">
        <v>0</v>
      </c>
      <c r="KSM76" s="70">
        <v>0</v>
      </c>
      <c r="KSN76" s="70">
        <v>0</v>
      </c>
      <c r="KSO76" s="70">
        <v>0</v>
      </c>
      <c r="KSP76" s="70">
        <v>0</v>
      </c>
      <c r="KSQ76" s="70">
        <v>0</v>
      </c>
      <c r="KSR76" s="70">
        <v>0</v>
      </c>
      <c r="KSS76" s="70">
        <v>0</v>
      </c>
      <c r="KST76" s="70">
        <v>0</v>
      </c>
      <c r="KSU76" s="70">
        <v>0</v>
      </c>
      <c r="KSV76" s="70">
        <v>0</v>
      </c>
      <c r="KSW76" s="70">
        <v>0</v>
      </c>
      <c r="KSX76" s="70">
        <v>0</v>
      </c>
      <c r="KSY76" s="70">
        <v>0</v>
      </c>
      <c r="KSZ76" s="70">
        <v>0</v>
      </c>
      <c r="KTA76" s="70">
        <v>0</v>
      </c>
      <c r="KTB76" s="70">
        <v>0</v>
      </c>
      <c r="KTC76" s="70">
        <v>0</v>
      </c>
      <c r="KTD76" s="70">
        <v>0</v>
      </c>
      <c r="KTE76" s="70">
        <v>0</v>
      </c>
      <c r="KTF76" s="70">
        <v>0</v>
      </c>
      <c r="KTG76" s="70">
        <v>0</v>
      </c>
      <c r="KTH76" s="70">
        <v>0</v>
      </c>
      <c r="KTI76" s="70">
        <v>0</v>
      </c>
      <c r="KTJ76" s="70">
        <v>0</v>
      </c>
      <c r="KTK76" s="70">
        <v>0</v>
      </c>
      <c r="KTL76" s="70">
        <v>0</v>
      </c>
      <c r="KTM76" s="70">
        <v>0</v>
      </c>
      <c r="KTN76" s="70">
        <v>0</v>
      </c>
      <c r="KTO76" s="70">
        <v>0</v>
      </c>
      <c r="KTP76" s="70">
        <v>0</v>
      </c>
      <c r="KTQ76" s="70">
        <v>0</v>
      </c>
      <c r="KTR76" s="70">
        <v>0</v>
      </c>
      <c r="KTS76" s="70">
        <v>0</v>
      </c>
      <c r="KTT76" s="70">
        <v>0</v>
      </c>
      <c r="KTU76" s="70">
        <v>0</v>
      </c>
      <c r="KTV76" s="70">
        <v>0</v>
      </c>
      <c r="KTW76" s="70">
        <v>0</v>
      </c>
      <c r="KTX76" s="70">
        <v>0</v>
      </c>
      <c r="KTY76" s="70">
        <v>0</v>
      </c>
      <c r="KTZ76" s="70">
        <v>0</v>
      </c>
      <c r="KUA76" s="70">
        <v>0</v>
      </c>
      <c r="KUB76" s="70">
        <v>0</v>
      </c>
      <c r="KUC76" s="70">
        <v>0</v>
      </c>
      <c r="KUD76" s="70">
        <v>0</v>
      </c>
      <c r="KUE76" s="70">
        <v>0</v>
      </c>
      <c r="KUF76" s="70">
        <v>0</v>
      </c>
      <c r="KUG76" s="70">
        <v>0</v>
      </c>
      <c r="KUH76" s="70">
        <v>0</v>
      </c>
      <c r="KUI76" s="70">
        <v>0</v>
      </c>
      <c r="KUJ76" s="70">
        <v>0</v>
      </c>
      <c r="KUK76" s="70">
        <v>0</v>
      </c>
      <c r="KUL76" s="70">
        <v>0</v>
      </c>
      <c r="KUM76" s="70">
        <v>0</v>
      </c>
      <c r="KUN76" s="70">
        <v>0</v>
      </c>
      <c r="KUO76" s="70">
        <v>0</v>
      </c>
      <c r="KUP76" s="70">
        <v>0</v>
      </c>
      <c r="KUQ76" s="70">
        <v>0</v>
      </c>
      <c r="KUR76" s="70">
        <v>0</v>
      </c>
      <c r="KUS76" s="70">
        <v>0</v>
      </c>
      <c r="KUT76" s="70">
        <v>0</v>
      </c>
      <c r="KUU76" s="70">
        <v>0</v>
      </c>
      <c r="KUV76" s="70">
        <v>0</v>
      </c>
      <c r="KUW76" s="70">
        <v>0</v>
      </c>
      <c r="KUX76" s="70">
        <v>0</v>
      </c>
      <c r="KUY76" s="70">
        <v>0</v>
      </c>
      <c r="KUZ76" s="70">
        <v>0</v>
      </c>
      <c r="KVA76" s="70">
        <v>0</v>
      </c>
      <c r="KVB76" s="70">
        <v>0</v>
      </c>
      <c r="KVC76" s="70">
        <v>0</v>
      </c>
      <c r="KVD76" s="70">
        <v>0</v>
      </c>
      <c r="KVE76" s="70">
        <v>0</v>
      </c>
      <c r="KVF76" s="70">
        <v>0</v>
      </c>
      <c r="KVG76" s="70">
        <v>0</v>
      </c>
      <c r="KVH76" s="70">
        <v>0</v>
      </c>
      <c r="KVI76" s="70">
        <v>0</v>
      </c>
      <c r="KVJ76" s="70">
        <v>0</v>
      </c>
      <c r="KVK76" s="70">
        <v>0</v>
      </c>
      <c r="KVL76" s="70">
        <v>0</v>
      </c>
      <c r="KVM76" s="70">
        <v>0</v>
      </c>
      <c r="KVN76" s="70">
        <v>0</v>
      </c>
      <c r="KVO76" s="70">
        <v>0</v>
      </c>
      <c r="KVP76" s="70">
        <v>0</v>
      </c>
      <c r="KVQ76" s="70">
        <v>0</v>
      </c>
      <c r="KVR76" s="70">
        <v>0</v>
      </c>
      <c r="KVS76" s="70">
        <v>0</v>
      </c>
      <c r="KVT76" s="70">
        <v>0</v>
      </c>
      <c r="KVU76" s="70">
        <v>0</v>
      </c>
      <c r="KVV76" s="70">
        <v>0</v>
      </c>
      <c r="KVW76" s="70">
        <v>0</v>
      </c>
      <c r="KVX76" s="70">
        <v>0</v>
      </c>
      <c r="KVY76" s="70">
        <v>0</v>
      </c>
      <c r="KVZ76" s="70">
        <v>0</v>
      </c>
      <c r="KWA76" s="70">
        <v>0</v>
      </c>
      <c r="KWB76" s="70">
        <v>0</v>
      </c>
      <c r="KWC76" s="70">
        <v>0</v>
      </c>
      <c r="KWD76" s="70">
        <v>0</v>
      </c>
      <c r="KWE76" s="70">
        <v>0</v>
      </c>
      <c r="KWF76" s="70">
        <v>0</v>
      </c>
      <c r="KWG76" s="70">
        <v>0</v>
      </c>
      <c r="KWH76" s="70">
        <v>0</v>
      </c>
      <c r="KWI76" s="70">
        <v>0</v>
      </c>
      <c r="KWJ76" s="70">
        <v>0</v>
      </c>
      <c r="KWK76" s="70">
        <v>0</v>
      </c>
      <c r="KWL76" s="70">
        <v>0</v>
      </c>
      <c r="KWM76" s="70">
        <v>0</v>
      </c>
      <c r="KWN76" s="70">
        <v>0</v>
      </c>
      <c r="KWO76" s="70">
        <v>0</v>
      </c>
      <c r="KWP76" s="70">
        <v>0</v>
      </c>
      <c r="KWQ76" s="70">
        <v>0</v>
      </c>
      <c r="KWR76" s="70">
        <v>0</v>
      </c>
      <c r="KWS76" s="70">
        <v>0</v>
      </c>
      <c r="KWT76" s="70">
        <v>0</v>
      </c>
      <c r="KWU76" s="70">
        <v>0</v>
      </c>
      <c r="KWV76" s="70">
        <v>0</v>
      </c>
      <c r="KWW76" s="70">
        <v>0</v>
      </c>
      <c r="KWX76" s="70">
        <v>0</v>
      </c>
      <c r="KWY76" s="70">
        <v>0</v>
      </c>
      <c r="KWZ76" s="70">
        <v>0</v>
      </c>
      <c r="KXA76" s="70">
        <v>0</v>
      </c>
      <c r="KXB76" s="70">
        <v>0</v>
      </c>
      <c r="KXC76" s="70">
        <v>0</v>
      </c>
      <c r="KXD76" s="70">
        <v>0</v>
      </c>
      <c r="KXE76" s="70">
        <v>0</v>
      </c>
      <c r="KXF76" s="70">
        <v>0</v>
      </c>
      <c r="KXG76" s="70">
        <v>0</v>
      </c>
      <c r="KXH76" s="70">
        <v>0</v>
      </c>
      <c r="KXI76" s="70">
        <v>0</v>
      </c>
      <c r="KXJ76" s="70">
        <v>0</v>
      </c>
      <c r="KXK76" s="70">
        <v>0</v>
      </c>
      <c r="KXL76" s="70">
        <v>0</v>
      </c>
      <c r="KXM76" s="70">
        <v>0</v>
      </c>
      <c r="KXN76" s="70">
        <v>0</v>
      </c>
      <c r="KXO76" s="70">
        <v>0</v>
      </c>
      <c r="KXP76" s="70">
        <v>0</v>
      </c>
      <c r="KXQ76" s="70">
        <v>0</v>
      </c>
      <c r="KXR76" s="70">
        <v>0</v>
      </c>
      <c r="KXS76" s="70">
        <v>0</v>
      </c>
      <c r="KXT76" s="70">
        <v>0</v>
      </c>
      <c r="KXU76" s="70">
        <v>0</v>
      </c>
      <c r="KXV76" s="70">
        <v>0</v>
      </c>
      <c r="KXW76" s="70">
        <v>0</v>
      </c>
      <c r="KXX76" s="70">
        <v>0</v>
      </c>
      <c r="KXY76" s="70">
        <v>0</v>
      </c>
      <c r="KXZ76" s="70">
        <v>0</v>
      </c>
      <c r="KYA76" s="70">
        <v>0</v>
      </c>
      <c r="KYB76" s="70">
        <v>0</v>
      </c>
      <c r="KYC76" s="70">
        <v>0</v>
      </c>
      <c r="KYD76" s="70">
        <v>0</v>
      </c>
      <c r="KYE76" s="70">
        <v>0</v>
      </c>
      <c r="KYF76" s="70">
        <v>0</v>
      </c>
      <c r="KYG76" s="70">
        <v>0</v>
      </c>
      <c r="KYH76" s="70">
        <v>0</v>
      </c>
      <c r="KYI76" s="70">
        <v>0</v>
      </c>
      <c r="KYJ76" s="70">
        <v>0</v>
      </c>
      <c r="KYK76" s="70">
        <v>0</v>
      </c>
      <c r="KYL76" s="70">
        <v>0</v>
      </c>
      <c r="KYM76" s="70">
        <v>0</v>
      </c>
      <c r="KYN76" s="70">
        <v>0</v>
      </c>
      <c r="KYO76" s="70">
        <v>0</v>
      </c>
      <c r="KYP76" s="70">
        <v>0</v>
      </c>
      <c r="KYQ76" s="70">
        <v>0</v>
      </c>
      <c r="KYR76" s="70">
        <v>0</v>
      </c>
      <c r="KYS76" s="70">
        <v>0</v>
      </c>
      <c r="KYT76" s="70">
        <v>0</v>
      </c>
      <c r="KYU76" s="70">
        <v>0</v>
      </c>
      <c r="KYV76" s="70">
        <v>0</v>
      </c>
      <c r="KYW76" s="70">
        <v>0</v>
      </c>
      <c r="KYX76" s="70">
        <v>0</v>
      </c>
      <c r="KYY76" s="70">
        <v>0</v>
      </c>
      <c r="KYZ76" s="70">
        <v>0</v>
      </c>
      <c r="KZA76" s="70">
        <v>0</v>
      </c>
      <c r="KZB76" s="70">
        <v>0</v>
      </c>
      <c r="KZC76" s="70">
        <v>0</v>
      </c>
      <c r="KZD76" s="70">
        <v>0</v>
      </c>
      <c r="KZE76" s="70">
        <v>0</v>
      </c>
      <c r="KZF76" s="70">
        <v>0</v>
      </c>
      <c r="KZG76" s="70">
        <v>0</v>
      </c>
      <c r="KZH76" s="70">
        <v>0</v>
      </c>
      <c r="KZI76" s="70">
        <v>0</v>
      </c>
      <c r="KZJ76" s="70">
        <v>0</v>
      </c>
      <c r="KZK76" s="70">
        <v>0</v>
      </c>
      <c r="KZL76" s="70">
        <v>0</v>
      </c>
      <c r="KZM76" s="70">
        <v>0</v>
      </c>
      <c r="KZN76" s="70">
        <v>0</v>
      </c>
      <c r="KZO76" s="70">
        <v>0</v>
      </c>
      <c r="KZP76" s="70">
        <v>0</v>
      </c>
      <c r="KZQ76" s="70">
        <v>0</v>
      </c>
      <c r="KZR76" s="70">
        <v>0</v>
      </c>
      <c r="KZS76" s="70">
        <v>0</v>
      </c>
      <c r="KZT76" s="70">
        <v>0</v>
      </c>
      <c r="KZU76" s="70">
        <v>0</v>
      </c>
      <c r="KZV76" s="70">
        <v>0</v>
      </c>
      <c r="KZW76" s="70">
        <v>0</v>
      </c>
      <c r="KZX76" s="70">
        <v>0</v>
      </c>
      <c r="KZY76" s="70">
        <v>0</v>
      </c>
      <c r="KZZ76" s="70">
        <v>0</v>
      </c>
      <c r="LAA76" s="70">
        <v>0</v>
      </c>
      <c r="LAB76" s="70">
        <v>0</v>
      </c>
      <c r="LAC76" s="70">
        <v>0</v>
      </c>
      <c r="LAD76" s="70">
        <v>0</v>
      </c>
      <c r="LAE76" s="70">
        <v>0</v>
      </c>
      <c r="LAF76" s="70">
        <v>0</v>
      </c>
      <c r="LAG76" s="70">
        <v>0</v>
      </c>
      <c r="LAH76" s="70">
        <v>0</v>
      </c>
      <c r="LAI76" s="70">
        <v>0</v>
      </c>
      <c r="LAJ76" s="70">
        <v>0</v>
      </c>
      <c r="LAK76" s="70">
        <v>0</v>
      </c>
      <c r="LAL76" s="70">
        <v>0</v>
      </c>
      <c r="LAM76" s="70">
        <v>0</v>
      </c>
      <c r="LAN76" s="70">
        <v>0</v>
      </c>
      <c r="LAO76" s="70">
        <v>0</v>
      </c>
      <c r="LAP76" s="70">
        <v>0</v>
      </c>
      <c r="LAQ76" s="70">
        <v>0</v>
      </c>
      <c r="LAR76" s="70">
        <v>0</v>
      </c>
      <c r="LAS76" s="70">
        <v>0</v>
      </c>
      <c r="LAT76" s="70">
        <v>0</v>
      </c>
      <c r="LAU76" s="70">
        <v>0</v>
      </c>
      <c r="LAV76" s="70">
        <v>0</v>
      </c>
      <c r="LAW76" s="70">
        <v>0</v>
      </c>
      <c r="LAX76" s="70">
        <v>0</v>
      </c>
      <c r="LAY76" s="70">
        <v>0</v>
      </c>
      <c r="LAZ76" s="70">
        <v>0</v>
      </c>
      <c r="LBA76" s="70">
        <v>0</v>
      </c>
      <c r="LBB76" s="70">
        <v>0</v>
      </c>
      <c r="LBC76" s="70">
        <v>0</v>
      </c>
      <c r="LBD76" s="70">
        <v>0</v>
      </c>
      <c r="LBE76" s="70">
        <v>0</v>
      </c>
      <c r="LBF76" s="70">
        <v>0</v>
      </c>
      <c r="LBG76" s="70">
        <v>0</v>
      </c>
      <c r="LBH76" s="70">
        <v>0</v>
      </c>
      <c r="LBI76" s="70">
        <v>0</v>
      </c>
      <c r="LBJ76" s="70">
        <v>0</v>
      </c>
      <c r="LBK76" s="70">
        <v>0</v>
      </c>
      <c r="LBL76" s="70">
        <v>0</v>
      </c>
      <c r="LBM76" s="70">
        <v>0</v>
      </c>
      <c r="LBN76" s="70">
        <v>0</v>
      </c>
      <c r="LBO76" s="70">
        <v>0</v>
      </c>
      <c r="LBP76" s="70">
        <v>0</v>
      </c>
      <c r="LBQ76" s="70">
        <v>0</v>
      </c>
      <c r="LBR76" s="70">
        <v>0</v>
      </c>
      <c r="LBS76" s="70">
        <v>0</v>
      </c>
      <c r="LBT76" s="70">
        <v>0</v>
      </c>
      <c r="LBU76" s="70">
        <v>0</v>
      </c>
      <c r="LBV76" s="70">
        <v>0</v>
      </c>
      <c r="LBW76" s="70">
        <v>0</v>
      </c>
      <c r="LBX76" s="70">
        <v>0</v>
      </c>
      <c r="LBY76" s="70">
        <v>0</v>
      </c>
      <c r="LBZ76" s="70">
        <v>0</v>
      </c>
      <c r="LCA76" s="70">
        <v>0</v>
      </c>
      <c r="LCB76" s="70">
        <v>0</v>
      </c>
      <c r="LCC76" s="70">
        <v>0</v>
      </c>
      <c r="LCD76" s="70">
        <v>0</v>
      </c>
      <c r="LCE76" s="70">
        <v>0</v>
      </c>
      <c r="LCF76" s="70">
        <v>0</v>
      </c>
      <c r="LCG76" s="70">
        <v>0</v>
      </c>
      <c r="LCH76" s="70">
        <v>0</v>
      </c>
      <c r="LCI76" s="70">
        <v>0</v>
      </c>
      <c r="LCJ76" s="70">
        <v>0</v>
      </c>
      <c r="LCK76" s="70">
        <v>0</v>
      </c>
      <c r="LCL76" s="70">
        <v>0</v>
      </c>
      <c r="LCM76" s="70">
        <v>0</v>
      </c>
      <c r="LCN76" s="70">
        <v>0</v>
      </c>
      <c r="LCO76" s="70">
        <v>0</v>
      </c>
      <c r="LCP76" s="70">
        <v>0</v>
      </c>
      <c r="LCQ76" s="70">
        <v>0</v>
      </c>
      <c r="LCR76" s="70">
        <v>0</v>
      </c>
      <c r="LCS76" s="70">
        <v>0</v>
      </c>
      <c r="LCT76" s="70">
        <v>0</v>
      </c>
      <c r="LCU76" s="70">
        <v>0</v>
      </c>
      <c r="LCV76" s="70">
        <v>0</v>
      </c>
      <c r="LCW76" s="70">
        <v>0</v>
      </c>
      <c r="LCX76" s="70">
        <v>0</v>
      </c>
      <c r="LCY76" s="70">
        <v>0</v>
      </c>
      <c r="LCZ76" s="70">
        <v>0</v>
      </c>
      <c r="LDA76" s="70">
        <v>0</v>
      </c>
      <c r="LDB76" s="70">
        <v>0</v>
      </c>
      <c r="LDC76" s="70">
        <v>0</v>
      </c>
      <c r="LDD76" s="70">
        <v>0</v>
      </c>
      <c r="LDE76" s="70">
        <v>0</v>
      </c>
      <c r="LDF76" s="70">
        <v>0</v>
      </c>
      <c r="LDG76" s="70">
        <v>0</v>
      </c>
      <c r="LDH76" s="70">
        <v>0</v>
      </c>
      <c r="LDI76" s="70">
        <v>0</v>
      </c>
      <c r="LDJ76" s="70">
        <v>0</v>
      </c>
      <c r="LDK76" s="70">
        <v>0</v>
      </c>
      <c r="LDL76" s="70">
        <v>0</v>
      </c>
      <c r="LDM76" s="70">
        <v>0</v>
      </c>
      <c r="LDN76" s="70">
        <v>0</v>
      </c>
      <c r="LDO76" s="70">
        <v>0</v>
      </c>
      <c r="LDP76" s="70">
        <v>0</v>
      </c>
      <c r="LDQ76" s="70">
        <v>0</v>
      </c>
      <c r="LDR76" s="70">
        <v>0</v>
      </c>
      <c r="LDS76" s="70">
        <v>0</v>
      </c>
      <c r="LDT76" s="70">
        <v>0</v>
      </c>
      <c r="LDU76" s="70">
        <v>0</v>
      </c>
      <c r="LDV76" s="70">
        <v>0</v>
      </c>
      <c r="LDW76" s="70">
        <v>0</v>
      </c>
      <c r="LDX76" s="70">
        <v>0</v>
      </c>
      <c r="LDY76" s="70">
        <v>0</v>
      </c>
      <c r="LDZ76" s="70">
        <v>0</v>
      </c>
      <c r="LEA76" s="70">
        <v>0</v>
      </c>
      <c r="LEB76" s="70">
        <v>0</v>
      </c>
      <c r="LEC76" s="70">
        <v>0</v>
      </c>
      <c r="LED76" s="70">
        <v>0</v>
      </c>
      <c r="LEE76" s="70">
        <v>0</v>
      </c>
      <c r="LEF76" s="70">
        <v>0</v>
      </c>
      <c r="LEG76" s="70">
        <v>0</v>
      </c>
      <c r="LEH76" s="70">
        <v>0</v>
      </c>
      <c r="LEI76" s="70">
        <v>0</v>
      </c>
      <c r="LEJ76" s="70">
        <v>0</v>
      </c>
      <c r="LEK76" s="70">
        <v>0</v>
      </c>
      <c r="LEL76" s="70">
        <v>0</v>
      </c>
      <c r="LEM76" s="70">
        <v>0</v>
      </c>
      <c r="LEN76" s="70">
        <v>0</v>
      </c>
      <c r="LEO76" s="70">
        <v>0</v>
      </c>
      <c r="LEP76" s="70">
        <v>0</v>
      </c>
      <c r="LEQ76" s="70">
        <v>0</v>
      </c>
      <c r="LER76" s="70">
        <v>0</v>
      </c>
      <c r="LES76" s="70">
        <v>0</v>
      </c>
      <c r="LET76" s="70">
        <v>0</v>
      </c>
      <c r="LEU76" s="70">
        <v>0</v>
      </c>
      <c r="LEV76" s="70">
        <v>0</v>
      </c>
      <c r="LEW76" s="70">
        <v>0</v>
      </c>
      <c r="LEX76" s="70">
        <v>0</v>
      </c>
      <c r="LEY76" s="70">
        <v>0</v>
      </c>
      <c r="LEZ76" s="70">
        <v>0</v>
      </c>
      <c r="LFA76" s="70">
        <v>0</v>
      </c>
      <c r="LFB76" s="70">
        <v>0</v>
      </c>
      <c r="LFC76" s="70">
        <v>0</v>
      </c>
      <c r="LFD76" s="70">
        <v>0</v>
      </c>
      <c r="LFE76" s="70">
        <v>0</v>
      </c>
      <c r="LFF76" s="70">
        <v>0</v>
      </c>
      <c r="LFG76" s="70">
        <v>0</v>
      </c>
      <c r="LFH76" s="70">
        <v>0</v>
      </c>
      <c r="LFI76" s="70">
        <v>0</v>
      </c>
      <c r="LFJ76" s="70">
        <v>0</v>
      </c>
      <c r="LFK76" s="70">
        <v>0</v>
      </c>
      <c r="LFL76" s="70">
        <v>0</v>
      </c>
      <c r="LFM76" s="70">
        <v>0</v>
      </c>
      <c r="LFN76" s="70">
        <v>0</v>
      </c>
      <c r="LFO76" s="70">
        <v>0</v>
      </c>
      <c r="LFP76" s="70">
        <v>0</v>
      </c>
      <c r="LFQ76" s="70">
        <v>0</v>
      </c>
      <c r="LFR76" s="70">
        <v>0</v>
      </c>
      <c r="LFS76" s="70">
        <v>0</v>
      </c>
      <c r="LFT76" s="70">
        <v>0</v>
      </c>
      <c r="LFU76" s="70">
        <v>0</v>
      </c>
      <c r="LFV76" s="70">
        <v>0</v>
      </c>
      <c r="LFW76" s="70">
        <v>0</v>
      </c>
      <c r="LFX76" s="70">
        <v>0</v>
      </c>
      <c r="LFY76" s="70">
        <v>0</v>
      </c>
      <c r="LFZ76" s="70">
        <v>0</v>
      </c>
      <c r="LGA76" s="70">
        <v>0</v>
      </c>
      <c r="LGB76" s="70">
        <v>0</v>
      </c>
      <c r="LGC76" s="70">
        <v>0</v>
      </c>
      <c r="LGD76" s="70">
        <v>0</v>
      </c>
      <c r="LGE76" s="70">
        <v>0</v>
      </c>
      <c r="LGF76" s="70">
        <v>0</v>
      </c>
      <c r="LGG76" s="70">
        <v>0</v>
      </c>
      <c r="LGH76" s="70">
        <v>0</v>
      </c>
      <c r="LGI76" s="70">
        <v>0</v>
      </c>
      <c r="LGJ76" s="70">
        <v>0</v>
      </c>
      <c r="LGK76" s="70">
        <v>0</v>
      </c>
      <c r="LGL76" s="70">
        <v>0</v>
      </c>
      <c r="LGM76" s="70">
        <v>0</v>
      </c>
      <c r="LGN76" s="70">
        <v>0</v>
      </c>
      <c r="LGO76" s="70">
        <v>0</v>
      </c>
      <c r="LGP76" s="70">
        <v>0</v>
      </c>
      <c r="LGQ76" s="70">
        <v>0</v>
      </c>
      <c r="LGR76" s="70">
        <v>0</v>
      </c>
      <c r="LGS76" s="70">
        <v>0</v>
      </c>
      <c r="LGT76" s="70">
        <v>0</v>
      </c>
      <c r="LGU76" s="70">
        <v>0</v>
      </c>
      <c r="LGV76" s="70">
        <v>0</v>
      </c>
      <c r="LGW76" s="70">
        <v>0</v>
      </c>
      <c r="LGX76" s="70">
        <v>0</v>
      </c>
      <c r="LGY76" s="70">
        <v>0</v>
      </c>
      <c r="LGZ76" s="70">
        <v>0</v>
      </c>
      <c r="LHA76" s="70">
        <v>0</v>
      </c>
      <c r="LHB76" s="70">
        <v>0</v>
      </c>
      <c r="LHC76" s="70">
        <v>0</v>
      </c>
      <c r="LHD76" s="70">
        <v>0</v>
      </c>
      <c r="LHE76" s="70">
        <v>0</v>
      </c>
      <c r="LHF76" s="70">
        <v>0</v>
      </c>
      <c r="LHG76" s="70">
        <v>0</v>
      </c>
      <c r="LHH76" s="70">
        <v>0</v>
      </c>
      <c r="LHI76" s="70">
        <v>0</v>
      </c>
      <c r="LHJ76" s="70">
        <v>0</v>
      </c>
      <c r="LHK76" s="70">
        <v>0</v>
      </c>
      <c r="LHL76" s="70">
        <v>0</v>
      </c>
      <c r="LHM76" s="70">
        <v>0</v>
      </c>
      <c r="LHN76" s="70">
        <v>0</v>
      </c>
      <c r="LHO76" s="70">
        <v>0</v>
      </c>
      <c r="LHP76" s="70">
        <v>0</v>
      </c>
      <c r="LHQ76" s="70">
        <v>0</v>
      </c>
      <c r="LHR76" s="70">
        <v>0</v>
      </c>
      <c r="LHS76" s="70">
        <v>0</v>
      </c>
      <c r="LHT76" s="70">
        <v>0</v>
      </c>
      <c r="LHU76" s="70">
        <v>0</v>
      </c>
      <c r="LHV76" s="70">
        <v>0</v>
      </c>
      <c r="LHW76" s="70">
        <v>0</v>
      </c>
      <c r="LHX76" s="70">
        <v>0</v>
      </c>
      <c r="LHY76" s="70">
        <v>0</v>
      </c>
      <c r="LHZ76" s="70">
        <v>0</v>
      </c>
      <c r="LIA76" s="70">
        <v>0</v>
      </c>
      <c r="LIB76" s="70">
        <v>0</v>
      </c>
      <c r="LIC76" s="70">
        <v>0</v>
      </c>
      <c r="LID76" s="70">
        <v>0</v>
      </c>
      <c r="LIE76" s="70">
        <v>0</v>
      </c>
      <c r="LIF76" s="70">
        <v>0</v>
      </c>
      <c r="LIG76" s="70">
        <v>0</v>
      </c>
      <c r="LIH76" s="70">
        <v>0</v>
      </c>
      <c r="LII76" s="70">
        <v>0</v>
      </c>
      <c r="LIJ76" s="70">
        <v>0</v>
      </c>
      <c r="LIK76" s="70">
        <v>0</v>
      </c>
      <c r="LIL76" s="70">
        <v>0</v>
      </c>
      <c r="LIM76" s="70">
        <v>0</v>
      </c>
      <c r="LIN76" s="70">
        <v>0</v>
      </c>
      <c r="LIO76" s="70">
        <v>0</v>
      </c>
      <c r="LIP76" s="70">
        <v>0</v>
      </c>
      <c r="LIQ76" s="70">
        <v>0</v>
      </c>
      <c r="LIR76" s="70">
        <v>0</v>
      </c>
      <c r="LIS76" s="70">
        <v>0</v>
      </c>
      <c r="LIT76" s="70">
        <v>0</v>
      </c>
      <c r="LIU76" s="70">
        <v>0</v>
      </c>
      <c r="LIV76" s="70">
        <v>0</v>
      </c>
      <c r="LIW76" s="70">
        <v>0</v>
      </c>
      <c r="LIX76" s="70">
        <v>0</v>
      </c>
      <c r="LIY76" s="70">
        <v>0</v>
      </c>
      <c r="LIZ76" s="70">
        <v>0</v>
      </c>
      <c r="LJA76" s="70">
        <v>0</v>
      </c>
      <c r="LJB76" s="70">
        <v>0</v>
      </c>
      <c r="LJC76" s="70">
        <v>0</v>
      </c>
      <c r="LJD76" s="70">
        <v>0</v>
      </c>
      <c r="LJE76" s="70">
        <v>0</v>
      </c>
      <c r="LJF76" s="70">
        <v>0</v>
      </c>
      <c r="LJG76" s="70">
        <v>0</v>
      </c>
      <c r="LJH76" s="70">
        <v>0</v>
      </c>
      <c r="LJI76" s="70">
        <v>0</v>
      </c>
      <c r="LJJ76" s="70">
        <v>0</v>
      </c>
      <c r="LJK76" s="70">
        <v>0</v>
      </c>
      <c r="LJL76" s="70">
        <v>0</v>
      </c>
      <c r="LJM76" s="70">
        <v>0</v>
      </c>
      <c r="LJN76" s="70">
        <v>0</v>
      </c>
      <c r="LJO76" s="70">
        <v>0</v>
      </c>
      <c r="LJP76" s="70">
        <v>0</v>
      </c>
      <c r="LJQ76" s="70">
        <v>0</v>
      </c>
      <c r="LJR76" s="70">
        <v>0</v>
      </c>
      <c r="LJS76" s="70">
        <v>0</v>
      </c>
      <c r="LJT76" s="70">
        <v>0</v>
      </c>
      <c r="LJU76" s="70">
        <v>0</v>
      </c>
      <c r="LJV76" s="70">
        <v>0</v>
      </c>
      <c r="LJW76" s="70">
        <v>0</v>
      </c>
      <c r="LJX76" s="70">
        <v>0</v>
      </c>
      <c r="LJY76" s="70">
        <v>0</v>
      </c>
      <c r="LJZ76" s="70">
        <v>0</v>
      </c>
      <c r="LKA76" s="70">
        <v>0</v>
      </c>
      <c r="LKB76" s="70">
        <v>0</v>
      </c>
      <c r="LKC76" s="70">
        <v>0</v>
      </c>
      <c r="LKD76" s="70">
        <v>0</v>
      </c>
      <c r="LKE76" s="70">
        <v>0</v>
      </c>
      <c r="LKF76" s="70">
        <v>0</v>
      </c>
      <c r="LKG76" s="70">
        <v>0</v>
      </c>
      <c r="LKH76" s="70">
        <v>0</v>
      </c>
      <c r="LKI76" s="70">
        <v>0</v>
      </c>
      <c r="LKJ76" s="70">
        <v>0</v>
      </c>
      <c r="LKK76" s="70">
        <v>0</v>
      </c>
      <c r="LKL76" s="70">
        <v>0</v>
      </c>
      <c r="LKM76" s="70">
        <v>0</v>
      </c>
      <c r="LKN76" s="70">
        <v>0</v>
      </c>
      <c r="LKO76" s="70">
        <v>0</v>
      </c>
      <c r="LKP76" s="70">
        <v>0</v>
      </c>
      <c r="LKQ76" s="70">
        <v>0</v>
      </c>
      <c r="LKR76" s="70">
        <v>0</v>
      </c>
      <c r="LKS76" s="70">
        <v>0</v>
      </c>
      <c r="LKT76" s="70">
        <v>0</v>
      </c>
      <c r="LKU76" s="70">
        <v>0</v>
      </c>
      <c r="LKV76" s="70">
        <v>0</v>
      </c>
      <c r="LKW76" s="70">
        <v>0</v>
      </c>
      <c r="LKX76" s="70">
        <v>0</v>
      </c>
      <c r="LKY76" s="70">
        <v>0</v>
      </c>
      <c r="LKZ76" s="70">
        <v>0</v>
      </c>
      <c r="LLA76" s="70">
        <v>0</v>
      </c>
      <c r="LLB76" s="70">
        <v>0</v>
      </c>
      <c r="LLC76" s="70">
        <v>0</v>
      </c>
      <c r="LLD76" s="70">
        <v>0</v>
      </c>
      <c r="LLE76" s="70">
        <v>0</v>
      </c>
      <c r="LLF76" s="70">
        <v>0</v>
      </c>
      <c r="LLG76" s="70">
        <v>0</v>
      </c>
      <c r="LLH76" s="70">
        <v>0</v>
      </c>
      <c r="LLI76" s="70">
        <v>0</v>
      </c>
      <c r="LLJ76" s="70">
        <v>0</v>
      </c>
      <c r="LLK76" s="70">
        <v>0</v>
      </c>
      <c r="LLL76" s="70">
        <v>0</v>
      </c>
      <c r="LLM76" s="70">
        <v>0</v>
      </c>
      <c r="LLN76" s="70">
        <v>0</v>
      </c>
      <c r="LLO76" s="70">
        <v>0</v>
      </c>
      <c r="LLP76" s="70">
        <v>0</v>
      </c>
      <c r="LLQ76" s="70">
        <v>0</v>
      </c>
      <c r="LLR76" s="70">
        <v>0</v>
      </c>
      <c r="LLS76" s="70">
        <v>0</v>
      </c>
      <c r="LLT76" s="70">
        <v>0</v>
      </c>
      <c r="LLU76" s="70">
        <v>0</v>
      </c>
      <c r="LLV76" s="70">
        <v>0</v>
      </c>
      <c r="LLW76" s="70">
        <v>0</v>
      </c>
      <c r="LLX76" s="70">
        <v>0</v>
      </c>
      <c r="LLY76" s="70">
        <v>0</v>
      </c>
      <c r="LLZ76" s="70">
        <v>0</v>
      </c>
      <c r="LMA76" s="70">
        <v>0</v>
      </c>
      <c r="LMB76" s="70">
        <v>0</v>
      </c>
      <c r="LMC76" s="70">
        <v>0</v>
      </c>
      <c r="LMD76" s="70">
        <v>0</v>
      </c>
      <c r="LME76" s="70">
        <v>0</v>
      </c>
      <c r="LMF76" s="70">
        <v>0</v>
      </c>
      <c r="LMG76" s="70">
        <v>0</v>
      </c>
      <c r="LMH76" s="70">
        <v>0</v>
      </c>
      <c r="LMI76" s="70">
        <v>0</v>
      </c>
      <c r="LMJ76" s="70">
        <v>0</v>
      </c>
      <c r="LMK76" s="70">
        <v>0</v>
      </c>
      <c r="LML76" s="70">
        <v>0</v>
      </c>
      <c r="LMM76" s="70">
        <v>0</v>
      </c>
      <c r="LMN76" s="70">
        <v>0</v>
      </c>
      <c r="LMO76" s="70">
        <v>0</v>
      </c>
      <c r="LMP76" s="70">
        <v>0</v>
      </c>
      <c r="LMQ76" s="70">
        <v>0</v>
      </c>
      <c r="LMR76" s="70">
        <v>0</v>
      </c>
      <c r="LMS76" s="70">
        <v>0</v>
      </c>
      <c r="LMT76" s="70">
        <v>0</v>
      </c>
      <c r="LMU76" s="70">
        <v>0</v>
      </c>
      <c r="LMV76" s="70">
        <v>0</v>
      </c>
      <c r="LMW76" s="70">
        <v>0</v>
      </c>
      <c r="LMX76" s="70">
        <v>0</v>
      </c>
      <c r="LMY76" s="70">
        <v>0</v>
      </c>
      <c r="LMZ76" s="70">
        <v>0</v>
      </c>
      <c r="LNA76" s="70">
        <v>0</v>
      </c>
      <c r="LNB76" s="70">
        <v>0</v>
      </c>
      <c r="LNC76" s="70">
        <v>0</v>
      </c>
      <c r="LND76" s="70">
        <v>0</v>
      </c>
      <c r="LNE76" s="70">
        <v>0</v>
      </c>
      <c r="LNF76" s="70">
        <v>0</v>
      </c>
      <c r="LNG76" s="70">
        <v>0</v>
      </c>
      <c r="LNH76" s="70">
        <v>0</v>
      </c>
      <c r="LNI76" s="70">
        <v>0</v>
      </c>
      <c r="LNJ76" s="70">
        <v>0</v>
      </c>
      <c r="LNK76" s="70">
        <v>0</v>
      </c>
      <c r="LNL76" s="70">
        <v>0</v>
      </c>
      <c r="LNM76" s="70">
        <v>0</v>
      </c>
      <c r="LNN76" s="70">
        <v>0</v>
      </c>
      <c r="LNO76" s="70">
        <v>0</v>
      </c>
      <c r="LNP76" s="70">
        <v>0</v>
      </c>
      <c r="LNQ76" s="70">
        <v>0</v>
      </c>
      <c r="LNR76" s="70">
        <v>0</v>
      </c>
      <c r="LNS76" s="70">
        <v>0</v>
      </c>
      <c r="LNT76" s="70">
        <v>0</v>
      </c>
      <c r="LNU76" s="70">
        <v>0</v>
      </c>
      <c r="LNV76" s="70">
        <v>0</v>
      </c>
      <c r="LNW76" s="70">
        <v>0</v>
      </c>
      <c r="LNX76" s="70">
        <v>0</v>
      </c>
      <c r="LNY76" s="70">
        <v>0</v>
      </c>
      <c r="LNZ76" s="70">
        <v>0</v>
      </c>
      <c r="LOA76" s="70">
        <v>0</v>
      </c>
      <c r="LOB76" s="70">
        <v>0</v>
      </c>
      <c r="LOC76" s="70">
        <v>0</v>
      </c>
      <c r="LOD76" s="70">
        <v>0</v>
      </c>
      <c r="LOE76" s="70">
        <v>0</v>
      </c>
      <c r="LOF76" s="70">
        <v>0</v>
      </c>
      <c r="LOG76" s="70">
        <v>0</v>
      </c>
      <c r="LOH76" s="70">
        <v>0</v>
      </c>
      <c r="LOI76" s="70">
        <v>0</v>
      </c>
      <c r="LOJ76" s="70">
        <v>0</v>
      </c>
      <c r="LOK76" s="70">
        <v>0</v>
      </c>
      <c r="LOL76" s="70">
        <v>0</v>
      </c>
      <c r="LOM76" s="70">
        <v>0</v>
      </c>
      <c r="LON76" s="70">
        <v>0</v>
      </c>
      <c r="LOO76" s="70">
        <v>0</v>
      </c>
      <c r="LOP76" s="70">
        <v>0</v>
      </c>
      <c r="LOQ76" s="70">
        <v>0</v>
      </c>
      <c r="LOR76" s="70">
        <v>0</v>
      </c>
      <c r="LOS76" s="70">
        <v>0</v>
      </c>
      <c r="LOT76" s="70">
        <v>0</v>
      </c>
      <c r="LOU76" s="70">
        <v>0</v>
      </c>
      <c r="LOV76" s="70">
        <v>0</v>
      </c>
      <c r="LOW76" s="70">
        <v>0</v>
      </c>
      <c r="LOX76" s="70">
        <v>0</v>
      </c>
      <c r="LOY76" s="70">
        <v>0</v>
      </c>
      <c r="LOZ76" s="70">
        <v>0</v>
      </c>
      <c r="LPA76" s="70">
        <v>0</v>
      </c>
      <c r="LPB76" s="70">
        <v>0</v>
      </c>
      <c r="LPC76" s="70">
        <v>0</v>
      </c>
      <c r="LPD76" s="70">
        <v>0</v>
      </c>
      <c r="LPE76" s="70">
        <v>0</v>
      </c>
      <c r="LPF76" s="70">
        <v>0</v>
      </c>
      <c r="LPG76" s="70">
        <v>0</v>
      </c>
      <c r="LPH76" s="70">
        <v>0</v>
      </c>
      <c r="LPI76" s="70">
        <v>0</v>
      </c>
      <c r="LPJ76" s="70">
        <v>0</v>
      </c>
      <c r="LPK76" s="70">
        <v>0</v>
      </c>
      <c r="LPL76" s="70">
        <v>0</v>
      </c>
      <c r="LPM76" s="70">
        <v>0</v>
      </c>
      <c r="LPN76" s="70">
        <v>0</v>
      </c>
      <c r="LPO76" s="70">
        <v>0</v>
      </c>
      <c r="LPP76" s="70">
        <v>0</v>
      </c>
      <c r="LPQ76" s="70">
        <v>0</v>
      </c>
      <c r="LPR76" s="70">
        <v>0</v>
      </c>
      <c r="LPS76" s="70">
        <v>0</v>
      </c>
      <c r="LPT76" s="70">
        <v>0</v>
      </c>
      <c r="LPU76" s="70">
        <v>0</v>
      </c>
      <c r="LPV76" s="70">
        <v>0</v>
      </c>
      <c r="LPW76" s="70">
        <v>0</v>
      </c>
      <c r="LPX76" s="70">
        <v>0</v>
      </c>
      <c r="LPY76" s="70">
        <v>0</v>
      </c>
      <c r="LPZ76" s="70">
        <v>0</v>
      </c>
      <c r="LQA76" s="70">
        <v>0</v>
      </c>
      <c r="LQB76" s="70">
        <v>0</v>
      </c>
      <c r="LQC76" s="70">
        <v>0</v>
      </c>
      <c r="LQD76" s="70">
        <v>0</v>
      </c>
      <c r="LQE76" s="70">
        <v>0</v>
      </c>
      <c r="LQF76" s="70">
        <v>0</v>
      </c>
      <c r="LQG76" s="70">
        <v>0</v>
      </c>
      <c r="LQH76" s="70">
        <v>0</v>
      </c>
      <c r="LQI76" s="70">
        <v>0</v>
      </c>
      <c r="LQJ76" s="70">
        <v>0</v>
      </c>
      <c r="LQK76" s="70">
        <v>0</v>
      </c>
      <c r="LQL76" s="70">
        <v>0</v>
      </c>
      <c r="LQM76" s="70">
        <v>0</v>
      </c>
      <c r="LQN76" s="70">
        <v>0</v>
      </c>
      <c r="LQO76" s="70">
        <v>0</v>
      </c>
      <c r="LQP76" s="70">
        <v>0</v>
      </c>
      <c r="LQQ76" s="70">
        <v>0</v>
      </c>
      <c r="LQR76" s="70">
        <v>0</v>
      </c>
      <c r="LQS76" s="70">
        <v>0</v>
      </c>
      <c r="LQT76" s="70">
        <v>0</v>
      </c>
      <c r="LQU76" s="70">
        <v>0</v>
      </c>
      <c r="LQV76" s="70">
        <v>0</v>
      </c>
      <c r="LQW76" s="70">
        <v>0</v>
      </c>
      <c r="LQX76" s="70">
        <v>0</v>
      </c>
      <c r="LQY76" s="70">
        <v>0</v>
      </c>
      <c r="LQZ76" s="70">
        <v>0</v>
      </c>
      <c r="LRA76" s="70">
        <v>0</v>
      </c>
      <c r="LRB76" s="70">
        <v>0</v>
      </c>
      <c r="LRC76" s="70">
        <v>0</v>
      </c>
      <c r="LRD76" s="70">
        <v>0</v>
      </c>
      <c r="LRE76" s="70">
        <v>0</v>
      </c>
      <c r="LRF76" s="70">
        <v>0</v>
      </c>
      <c r="LRG76" s="70">
        <v>0</v>
      </c>
      <c r="LRH76" s="70">
        <v>0</v>
      </c>
      <c r="LRI76" s="70">
        <v>0</v>
      </c>
      <c r="LRJ76" s="70">
        <v>0</v>
      </c>
      <c r="LRK76" s="70">
        <v>0</v>
      </c>
      <c r="LRL76" s="70">
        <v>0</v>
      </c>
      <c r="LRM76" s="70">
        <v>0</v>
      </c>
      <c r="LRN76" s="70">
        <v>0</v>
      </c>
      <c r="LRO76" s="70">
        <v>0</v>
      </c>
      <c r="LRP76" s="70">
        <v>0</v>
      </c>
      <c r="LRQ76" s="70">
        <v>0</v>
      </c>
      <c r="LRR76" s="70">
        <v>0</v>
      </c>
      <c r="LRS76" s="70">
        <v>0</v>
      </c>
      <c r="LRT76" s="70">
        <v>0</v>
      </c>
      <c r="LRU76" s="70">
        <v>0</v>
      </c>
      <c r="LRV76" s="70">
        <v>0</v>
      </c>
      <c r="LRW76" s="70">
        <v>0</v>
      </c>
      <c r="LRX76" s="70">
        <v>0</v>
      </c>
      <c r="LRY76" s="70">
        <v>0</v>
      </c>
      <c r="LRZ76" s="70">
        <v>0</v>
      </c>
      <c r="LSA76" s="70">
        <v>0</v>
      </c>
      <c r="LSB76" s="70">
        <v>0</v>
      </c>
      <c r="LSC76" s="70">
        <v>0</v>
      </c>
      <c r="LSD76" s="70">
        <v>0</v>
      </c>
      <c r="LSE76" s="70">
        <v>0</v>
      </c>
      <c r="LSF76" s="70">
        <v>0</v>
      </c>
      <c r="LSG76" s="70">
        <v>0</v>
      </c>
      <c r="LSH76" s="70">
        <v>0</v>
      </c>
      <c r="LSI76" s="70">
        <v>0</v>
      </c>
      <c r="LSJ76" s="70">
        <v>0</v>
      </c>
      <c r="LSK76" s="70">
        <v>0</v>
      </c>
      <c r="LSL76" s="70">
        <v>0</v>
      </c>
      <c r="LSM76" s="70">
        <v>0</v>
      </c>
      <c r="LSN76" s="70">
        <v>0</v>
      </c>
      <c r="LSO76" s="70">
        <v>0</v>
      </c>
      <c r="LSP76" s="70">
        <v>0</v>
      </c>
      <c r="LSQ76" s="70">
        <v>0</v>
      </c>
      <c r="LSR76" s="70">
        <v>0</v>
      </c>
      <c r="LSS76" s="70">
        <v>0</v>
      </c>
      <c r="LST76" s="70">
        <v>0</v>
      </c>
      <c r="LSU76" s="70">
        <v>0</v>
      </c>
      <c r="LSV76" s="70">
        <v>0</v>
      </c>
      <c r="LSW76" s="70">
        <v>0</v>
      </c>
      <c r="LSX76" s="70">
        <v>0</v>
      </c>
      <c r="LSY76" s="70">
        <v>0</v>
      </c>
      <c r="LSZ76" s="70">
        <v>0</v>
      </c>
      <c r="LTA76" s="70">
        <v>0</v>
      </c>
      <c r="LTB76" s="70">
        <v>0</v>
      </c>
      <c r="LTC76" s="70">
        <v>0</v>
      </c>
      <c r="LTD76" s="70">
        <v>0</v>
      </c>
      <c r="LTE76" s="70">
        <v>0</v>
      </c>
      <c r="LTF76" s="70">
        <v>0</v>
      </c>
      <c r="LTG76" s="70">
        <v>0</v>
      </c>
      <c r="LTH76" s="70">
        <v>0</v>
      </c>
      <c r="LTI76" s="70">
        <v>0</v>
      </c>
      <c r="LTJ76" s="70">
        <v>0</v>
      </c>
      <c r="LTK76" s="70">
        <v>0</v>
      </c>
      <c r="LTL76" s="70">
        <v>0</v>
      </c>
      <c r="LTM76" s="70">
        <v>0</v>
      </c>
      <c r="LTN76" s="70">
        <v>0</v>
      </c>
      <c r="LTO76" s="70">
        <v>0</v>
      </c>
      <c r="LTP76" s="70">
        <v>0</v>
      </c>
      <c r="LTQ76" s="70">
        <v>0</v>
      </c>
      <c r="LTR76" s="70">
        <v>0</v>
      </c>
      <c r="LTS76" s="70">
        <v>0</v>
      </c>
      <c r="LTT76" s="70">
        <v>0</v>
      </c>
      <c r="LTU76" s="70">
        <v>0</v>
      </c>
      <c r="LTV76" s="70">
        <v>0</v>
      </c>
      <c r="LTW76" s="70">
        <v>0</v>
      </c>
      <c r="LTX76" s="70">
        <v>0</v>
      </c>
      <c r="LTY76" s="70">
        <v>0</v>
      </c>
      <c r="LTZ76" s="70">
        <v>0</v>
      </c>
      <c r="LUA76" s="70">
        <v>0</v>
      </c>
      <c r="LUB76" s="70">
        <v>0</v>
      </c>
      <c r="LUC76" s="70">
        <v>0</v>
      </c>
      <c r="LUD76" s="70">
        <v>0</v>
      </c>
      <c r="LUE76" s="70">
        <v>0</v>
      </c>
      <c r="LUF76" s="70">
        <v>0</v>
      </c>
      <c r="LUG76" s="70">
        <v>0</v>
      </c>
      <c r="LUH76" s="70">
        <v>0</v>
      </c>
      <c r="LUI76" s="70">
        <v>0</v>
      </c>
      <c r="LUJ76" s="70">
        <v>0</v>
      </c>
      <c r="LUK76" s="70">
        <v>0</v>
      </c>
      <c r="LUL76" s="70">
        <v>0</v>
      </c>
      <c r="LUM76" s="70">
        <v>0</v>
      </c>
      <c r="LUN76" s="70">
        <v>0</v>
      </c>
      <c r="LUO76" s="70">
        <v>0</v>
      </c>
      <c r="LUP76" s="70">
        <v>0</v>
      </c>
      <c r="LUQ76" s="70">
        <v>0</v>
      </c>
      <c r="LUR76" s="70">
        <v>0</v>
      </c>
      <c r="LUS76" s="70">
        <v>0</v>
      </c>
      <c r="LUT76" s="70">
        <v>0</v>
      </c>
      <c r="LUU76" s="70">
        <v>0</v>
      </c>
      <c r="LUV76" s="70">
        <v>0</v>
      </c>
      <c r="LUW76" s="70">
        <v>0</v>
      </c>
      <c r="LUX76" s="70">
        <v>0</v>
      </c>
      <c r="LUY76" s="70">
        <v>0</v>
      </c>
      <c r="LUZ76" s="70">
        <v>0</v>
      </c>
      <c r="LVA76" s="70">
        <v>0</v>
      </c>
      <c r="LVB76" s="70">
        <v>0</v>
      </c>
      <c r="LVC76" s="70">
        <v>0</v>
      </c>
      <c r="LVD76" s="70">
        <v>0</v>
      </c>
      <c r="LVE76" s="70">
        <v>0</v>
      </c>
      <c r="LVF76" s="70">
        <v>0</v>
      </c>
      <c r="LVG76" s="70">
        <v>0</v>
      </c>
      <c r="LVH76" s="70">
        <v>0</v>
      </c>
      <c r="LVI76" s="70">
        <v>0</v>
      </c>
      <c r="LVJ76" s="70">
        <v>0</v>
      </c>
      <c r="LVK76" s="70">
        <v>0</v>
      </c>
      <c r="LVL76" s="70">
        <v>0</v>
      </c>
      <c r="LVM76" s="70">
        <v>0</v>
      </c>
      <c r="LVN76" s="70">
        <v>0</v>
      </c>
      <c r="LVO76" s="70">
        <v>0</v>
      </c>
      <c r="LVP76" s="70">
        <v>0</v>
      </c>
      <c r="LVQ76" s="70">
        <v>0</v>
      </c>
      <c r="LVR76" s="70">
        <v>0</v>
      </c>
      <c r="LVS76" s="70">
        <v>0</v>
      </c>
      <c r="LVT76" s="70">
        <v>0</v>
      </c>
      <c r="LVU76" s="70">
        <v>0</v>
      </c>
      <c r="LVV76" s="70">
        <v>0</v>
      </c>
      <c r="LVW76" s="70">
        <v>0</v>
      </c>
      <c r="LVX76" s="70">
        <v>0</v>
      </c>
      <c r="LVY76" s="70">
        <v>0</v>
      </c>
      <c r="LVZ76" s="70">
        <v>0</v>
      </c>
      <c r="LWA76" s="70">
        <v>0</v>
      </c>
      <c r="LWB76" s="70">
        <v>0</v>
      </c>
      <c r="LWC76" s="70">
        <v>0</v>
      </c>
      <c r="LWD76" s="70">
        <v>0</v>
      </c>
      <c r="LWE76" s="70">
        <v>0</v>
      </c>
      <c r="LWF76" s="70">
        <v>0</v>
      </c>
      <c r="LWG76" s="70">
        <v>0</v>
      </c>
      <c r="LWH76" s="70">
        <v>0</v>
      </c>
      <c r="LWI76" s="70">
        <v>0</v>
      </c>
      <c r="LWJ76" s="70">
        <v>0</v>
      </c>
      <c r="LWK76" s="70">
        <v>0</v>
      </c>
      <c r="LWL76" s="70">
        <v>0</v>
      </c>
      <c r="LWM76" s="70">
        <v>0</v>
      </c>
      <c r="LWN76" s="70">
        <v>0</v>
      </c>
      <c r="LWO76" s="70">
        <v>0</v>
      </c>
      <c r="LWP76" s="70">
        <v>0</v>
      </c>
      <c r="LWQ76" s="70">
        <v>0</v>
      </c>
      <c r="LWR76" s="70">
        <v>0</v>
      </c>
      <c r="LWS76" s="70">
        <v>0</v>
      </c>
      <c r="LWT76" s="70">
        <v>0</v>
      </c>
      <c r="LWU76" s="70">
        <v>0</v>
      </c>
      <c r="LWV76" s="70">
        <v>0</v>
      </c>
      <c r="LWW76" s="70">
        <v>0</v>
      </c>
      <c r="LWX76" s="70">
        <v>0</v>
      </c>
      <c r="LWY76" s="70">
        <v>0</v>
      </c>
      <c r="LWZ76" s="70">
        <v>0</v>
      </c>
      <c r="LXA76" s="70">
        <v>0</v>
      </c>
      <c r="LXB76" s="70">
        <v>0</v>
      </c>
      <c r="LXC76" s="70">
        <v>0</v>
      </c>
      <c r="LXD76" s="70">
        <v>0</v>
      </c>
      <c r="LXE76" s="70">
        <v>0</v>
      </c>
      <c r="LXF76" s="70">
        <v>0</v>
      </c>
      <c r="LXG76" s="70">
        <v>0</v>
      </c>
      <c r="LXH76" s="70">
        <v>0</v>
      </c>
      <c r="LXI76" s="70">
        <v>0</v>
      </c>
      <c r="LXJ76" s="70">
        <v>0</v>
      </c>
      <c r="LXK76" s="70">
        <v>0</v>
      </c>
      <c r="LXL76" s="70">
        <v>0</v>
      </c>
      <c r="LXM76" s="70">
        <v>0</v>
      </c>
      <c r="LXN76" s="70">
        <v>0</v>
      </c>
      <c r="LXO76" s="70">
        <v>0</v>
      </c>
      <c r="LXP76" s="70">
        <v>0</v>
      </c>
      <c r="LXQ76" s="70">
        <v>0</v>
      </c>
      <c r="LXR76" s="70">
        <v>0</v>
      </c>
      <c r="LXS76" s="70">
        <v>0</v>
      </c>
      <c r="LXT76" s="70">
        <v>0</v>
      </c>
      <c r="LXU76" s="70">
        <v>0</v>
      </c>
      <c r="LXV76" s="70">
        <v>0</v>
      </c>
      <c r="LXW76" s="70">
        <v>0</v>
      </c>
      <c r="LXX76" s="70">
        <v>0</v>
      </c>
      <c r="LXY76" s="70">
        <v>0</v>
      </c>
      <c r="LXZ76" s="70">
        <v>0</v>
      </c>
      <c r="LYA76" s="70">
        <v>0</v>
      </c>
      <c r="LYB76" s="70">
        <v>0</v>
      </c>
      <c r="LYC76" s="70">
        <v>0</v>
      </c>
      <c r="LYD76" s="70">
        <v>0</v>
      </c>
      <c r="LYE76" s="70">
        <v>0</v>
      </c>
      <c r="LYF76" s="70">
        <v>0</v>
      </c>
      <c r="LYG76" s="70">
        <v>0</v>
      </c>
      <c r="LYH76" s="70">
        <v>0</v>
      </c>
      <c r="LYI76" s="70">
        <v>0</v>
      </c>
      <c r="LYJ76" s="70">
        <v>0</v>
      </c>
      <c r="LYK76" s="70">
        <v>0</v>
      </c>
      <c r="LYL76" s="70">
        <v>0</v>
      </c>
      <c r="LYM76" s="70">
        <v>0</v>
      </c>
      <c r="LYN76" s="70">
        <v>0</v>
      </c>
      <c r="LYO76" s="70">
        <v>0</v>
      </c>
      <c r="LYP76" s="70">
        <v>0</v>
      </c>
      <c r="LYQ76" s="70">
        <v>0</v>
      </c>
      <c r="LYR76" s="70">
        <v>0</v>
      </c>
      <c r="LYS76" s="70">
        <v>0</v>
      </c>
      <c r="LYT76" s="70">
        <v>0</v>
      </c>
      <c r="LYU76" s="70">
        <v>0</v>
      </c>
      <c r="LYV76" s="70">
        <v>0</v>
      </c>
      <c r="LYW76" s="70">
        <v>0</v>
      </c>
      <c r="LYX76" s="70">
        <v>0</v>
      </c>
      <c r="LYY76" s="70">
        <v>0</v>
      </c>
      <c r="LYZ76" s="70">
        <v>0</v>
      </c>
      <c r="LZA76" s="70">
        <v>0</v>
      </c>
      <c r="LZB76" s="70">
        <v>0</v>
      </c>
      <c r="LZC76" s="70">
        <v>0</v>
      </c>
      <c r="LZD76" s="70">
        <v>0</v>
      </c>
      <c r="LZE76" s="70">
        <v>0</v>
      </c>
      <c r="LZF76" s="70">
        <v>0</v>
      </c>
      <c r="LZG76" s="70">
        <v>0</v>
      </c>
      <c r="LZH76" s="70">
        <v>0</v>
      </c>
      <c r="LZI76" s="70">
        <v>0</v>
      </c>
      <c r="LZJ76" s="70">
        <v>0</v>
      </c>
      <c r="LZK76" s="70">
        <v>0</v>
      </c>
      <c r="LZL76" s="70">
        <v>0</v>
      </c>
      <c r="LZM76" s="70">
        <v>0</v>
      </c>
      <c r="LZN76" s="70">
        <v>0</v>
      </c>
      <c r="LZO76" s="70">
        <v>0</v>
      </c>
      <c r="LZP76" s="70">
        <v>0</v>
      </c>
      <c r="LZQ76" s="70">
        <v>0</v>
      </c>
      <c r="LZR76" s="70">
        <v>0</v>
      </c>
      <c r="LZS76" s="70">
        <v>0</v>
      </c>
      <c r="LZT76" s="70">
        <v>0</v>
      </c>
      <c r="LZU76" s="70">
        <v>0</v>
      </c>
      <c r="LZV76" s="70">
        <v>0</v>
      </c>
      <c r="LZW76" s="70">
        <v>0</v>
      </c>
      <c r="LZX76" s="70">
        <v>0</v>
      </c>
      <c r="LZY76" s="70">
        <v>0</v>
      </c>
      <c r="LZZ76" s="70">
        <v>0</v>
      </c>
      <c r="MAA76" s="70">
        <v>0</v>
      </c>
      <c r="MAB76" s="70">
        <v>0</v>
      </c>
      <c r="MAC76" s="70">
        <v>0</v>
      </c>
      <c r="MAD76" s="70">
        <v>0</v>
      </c>
      <c r="MAE76" s="70">
        <v>0</v>
      </c>
      <c r="MAF76" s="70">
        <v>0</v>
      </c>
      <c r="MAG76" s="70">
        <v>0</v>
      </c>
      <c r="MAH76" s="70">
        <v>0</v>
      </c>
      <c r="MAI76" s="70">
        <v>0</v>
      </c>
      <c r="MAJ76" s="70">
        <v>0</v>
      </c>
      <c r="MAK76" s="70">
        <v>0</v>
      </c>
      <c r="MAL76" s="70">
        <v>0</v>
      </c>
      <c r="MAM76" s="70">
        <v>0</v>
      </c>
      <c r="MAN76" s="70">
        <v>0</v>
      </c>
      <c r="MAO76" s="70">
        <v>0</v>
      </c>
      <c r="MAP76" s="70">
        <v>0</v>
      </c>
      <c r="MAQ76" s="70">
        <v>0</v>
      </c>
      <c r="MAR76" s="70">
        <v>0</v>
      </c>
      <c r="MAS76" s="70">
        <v>0</v>
      </c>
      <c r="MAT76" s="70">
        <v>0</v>
      </c>
      <c r="MAU76" s="70">
        <v>0</v>
      </c>
      <c r="MAV76" s="70">
        <v>0</v>
      </c>
      <c r="MAW76" s="70">
        <v>0</v>
      </c>
      <c r="MAX76" s="70">
        <v>0</v>
      </c>
      <c r="MAY76" s="70">
        <v>0</v>
      </c>
      <c r="MAZ76" s="70">
        <v>0</v>
      </c>
      <c r="MBA76" s="70">
        <v>0</v>
      </c>
      <c r="MBB76" s="70">
        <v>0</v>
      </c>
      <c r="MBC76" s="70">
        <v>0</v>
      </c>
      <c r="MBD76" s="70">
        <v>0</v>
      </c>
      <c r="MBE76" s="70">
        <v>0</v>
      </c>
      <c r="MBF76" s="70">
        <v>0</v>
      </c>
      <c r="MBG76" s="70">
        <v>0</v>
      </c>
      <c r="MBH76" s="70">
        <v>0</v>
      </c>
      <c r="MBI76" s="70">
        <v>0</v>
      </c>
      <c r="MBJ76" s="70">
        <v>0</v>
      </c>
      <c r="MBK76" s="70">
        <v>0</v>
      </c>
      <c r="MBL76" s="70">
        <v>0</v>
      </c>
      <c r="MBM76" s="70">
        <v>0</v>
      </c>
      <c r="MBN76" s="70">
        <v>0</v>
      </c>
      <c r="MBO76" s="70">
        <v>0</v>
      </c>
      <c r="MBP76" s="70">
        <v>0</v>
      </c>
      <c r="MBQ76" s="70">
        <v>0</v>
      </c>
      <c r="MBR76" s="70">
        <v>0</v>
      </c>
      <c r="MBS76" s="70">
        <v>0</v>
      </c>
      <c r="MBT76" s="70">
        <v>0</v>
      </c>
      <c r="MBU76" s="70">
        <v>0</v>
      </c>
      <c r="MBV76" s="70">
        <v>0</v>
      </c>
      <c r="MBW76" s="70">
        <v>0</v>
      </c>
      <c r="MBX76" s="70">
        <v>0</v>
      </c>
      <c r="MBY76" s="70">
        <v>0</v>
      </c>
      <c r="MBZ76" s="70">
        <v>0</v>
      </c>
      <c r="MCA76" s="70">
        <v>0</v>
      </c>
      <c r="MCB76" s="70">
        <v>0</v>
      </c>
      <c r="MCC76" s="70">
        <v>0</v>
      </c>
      <c r="MCD76" s="70">
        <v>0</v>
      </c>
      <c r="MCE76" s="70">
        <v>0</v>
      </c>
      <c r="MCF76" s="70">
        <v>0</v>
      </c>
      <c r="MCG76" s="70">
        <v>0</v>
      </c>
      <c r="MCH76" s="70">
        <v>0</v>
      </c>
      <c r="MCI76" s="70">
        <v>0</v>
      </c>
      <c r="MCJ76" s="70">
        <v>0</v>
      </c>
      <c r="MCK76" s="70">
        <v>0</v>
      </c>
      <c r="MCL76" s="70">
        <v>0</v>
      </c>
      <c r="MCM76" s="70">
        <v>0</v>
      </c>
      <c r="MCN76" s="70">
        <v>0</v>
      </c>
      <c r="MCO76" s="70">
        <v>0</v>
      </c>
      <c r="MCP76" s="70">
        <v>0</v>
      </c>
      <c r="MCQ76" s="70">
        <v>0</v>
      </c>
      <c r="MCR76" s="70">
        <v>0</v>
      </c>
      <c r="MCS76" s="70">
        <v>0</v>
      </c>
      <c r="MCT76" s="70">
        <v>0</v>
      </c>
      <c r="MCU76" s="70">
        <v>0</v>
      </c>
      <c r="MCV76" s="70">
        <v>0</v>
      </c>
      <c r="MCW76" s="70">
        <v>0</v>
      </c>
      <c r="MCX76" s="70">
        <v>0</v>
      </c>
      <c r="MCY76" s="70">
        <v>0</v>
      </c>
      <c r="MCZ76" s="70">
        <v>0</v>
      </c>
      <c r="MDA76" s="70">
        <v>0</v>
      </c>
      <c r="MDB76" s="70">
        <v>0</v>
      </c>
      <c r="MDC76" s="70">
        <v>0</v>
      </c>
      <c r="MDD76" s="70">
        <v>0</v>
      </c>
      <c r="MDE76" s="70">
        <v>0</v>
      </c>
      <c r="MDF76" s="70">
        <v>0</v>
      </c>
      <c r="MDG76" s="70">
        <v>0</v>
      </c>
      <c r="MDH76" s="70">
        <v>0</v>
      </c>
      <c r="MDI76" s="70">
        <v>0</v>
      </c>
      <c r="MDJ76" s="70">
        <v>0</v>
      </c>
      <c r="MDK76" s="70">
        <v>0</v>
      </c>
      <c r="MDL76" s="70">
        <v>0</v>
      </c>
      <c r="MDM76" s="70">
        <v>0</v>
      </c>
      <c r="MDN76" s="70">
        <v>0</v>
      </c>
      <c r="MDO76" s="70">
        <v>0</v>
      </c>
      <c r="MDP76" s="70">
        <v>0</v>
      </c>
      <c r="MDQ76" s="70">
        <v>0</v>
      </c>
      <c r="MDR76" s="70">
        <v>0</v>
      </c>
      <c r="MDS76" s="70">
        <v>0</v>
      </c>
      <c r="MDT76" s="70">
        <v>0</v>
      </c>
      <c r="MDU76" s="70">
        <v>0</v>
      </c>
      <c r="MDV76" s="70">
        <v>0</v>
      </c>
      <c r="MDW76" s="70">
        <v>0</v>
      </c>
      <c r="MDX76" s="70">
        <v>0</v>
      </c>
      <c r="MDY76" s="70">
        <v>0</v>
      </c>
      <c r="MDZ76" s="70">
        <v>0</v>
      </c>
      <c r="MEA76" s="70">
        <v>0</v>
      </c>
      <c r="MEB76" s="70">
        <v>0</v>
      </c>
      <c r="MEC76" s="70">
        <v>0</v>
      </c>
      <c r="MED76" s="70">
        <v>0</v>
      </c>
      <c r="MEE76" s="70">
        <v>0</v>
      </c>
      <c r="MEF76" s="70">
        <v>0</v>
      </c>
      <c r="MEG76" s="70">
        <v>0</v>
      </c>
      <c r="MEH76" s="70">
        <v>0</v>
      </c>
      <c r="MEI76" s="70">
        <v>0</v>
      </c>
      <c r="MEJ76" s="70">
        <v>0</v>
      </c>
      <c r="MEK76" s="70">
        <v>0</v>
      </c>
      <c r="MEL76" s="70">
        <v>0</v>
      </c>
      <c r="MEM76" s="70">
        <v>0</v>
      </c>
      <c r="MEN76" s="70">
        <v>0</v>
      </c>
      <c r="MEO76" s="70">
        <v>0</v>
      </c>
      <c r="MEP76" s="70">
        <v>0</v>
      </c>
      <c r="MEQ76" s="70">
        <v>0</v>
      </c>
      <c r="MER76" s="70">
        <v>0</v>
      </c>
      <c r="MES76" s="70">
        <v>0</v>
      </c>
      <c r="MET76" s="70">
        <v>0</v>
      </c>
      <c r="MEU76" s="70">
        <v>0</v>
      </c>
      <c r="MEV76" s="70">
        <v>0</v>
      </c>
      <c r="MEW76" s="70">
        <v>0</v>
      </c>
      <c r="MEX76" s="70">
        <v>0</v>
      </c>
      <c r="MEY76" s="70">
        <v>0</v>
      </c>
      <c r="MEZ76" s="70">
        <v>0</v>
      </c>
      <c r="MFA76" s="70">
        <v>0</v>
      </c>
      <c r="MFB76" s="70">
        <v>0</v>
      </c>
      <c r="MFC76" s="70">
        <v>0</v>
      </c>
      <c r="MFD76" s="70">
        <v>0</v>
      </c>
      <c r="MFE76" s="70">
        <v>0</v>
      </c>
      <c r="MFF76" s="70">
        <v>0</v>
      </c>
      <c r="MFG76" s="70">
        <v>0</v>
      </c>
      <c r="MFH76" s="70">
        <v>0</v>
      </c>
      <c r="MFI76" s="70">
        <v>0</v>
      </c>
      <c r="MFJ76" s="70">
        <v>0</v>
      </c>
      <c r="MFK76" s="70">
        <v>0</v>
      </c>
      <c r="MFL76" s="70">
        <v>0</v>
      </c>
      <c r="MFM76" s="70">
        <v>0</v>
      </c>
      <c r="MFN76" s="70">
        <v>0</v>
      </c>
      <c r="MFO76" s="70">
        <v>0</v>
      </c>
      <c r="MFP76" s="70">
        <v>0</v>
      </c>
      <c r="MFQ76" s="70">
        <v>0</v>
      </c>
      <c r="MFR76" s="70">
        <v>0</v>
      </c>
      <c r="MFS76" s="70">
        <v>0</v>
      </c>
      <c r="MFT76" s="70">
        <v>0</v>
      </c>
      <c r="MFU76" s="70">
        <v>0</v>
      </c>
      <c r="MFV76" s="70">
        <v>0</v>
      </c>
      <c r="MFW76" s="70">
        <v>0</v>
      </c>
      <c r="MFX76" s="70">
        <v>0</v>
      </c>
      <c r="MFY76" s="70">
        <v>0</v>
      </c>
      <c r="MFZ76" s="70">
        <v>0</v>
      </c>
      <c r="MGA76" s="70">
        <v>0</v>
      </c>
      <c r="MGB76" s="70">
        <v>0</v>
      </c>
      <c r="MGC76" s="70">
        <v>0</v>
      </c>
      <c r="MGD76" s="70">
        <v>0</v>
      </c>
      <c r="MGE76" s="70">
        <v>0</v>
      </c>
      <c r="MGF76" s="70">
        <v>0</v>
      </c>
      <c r="MGG76" s="70">
        <v>0</v>
      </c>
      <c r="MGH76" s="70">
        <v>0</v>
      </c>
      <c r="MGI76" s="70">
        <v>0</v>
      </c>
      <c r="MGJ76" s="70">
        <v>0</v>
      </c>
      <c r="MGK76" s="70">
        <v>0</v>
      </c>
      <c r="MGL76" s="70">
        <v>0</v>
      </c>
      <c r="MGM76" s="70">
        <v>0</v>
      </c>
      <c r="MGN76" s="70">
        <v>0</v>
      </c>
      <c r="MGO76" s="70">
        <v>0</v>
      </c>
      <c r="MGP76" s="70">
        <v>0</v>
      </c>
      <c r="MGQ76" s="70">
        <v>0</v>
      </c>
      <c r="MGR76" s="70">
        <v>0</v>
      </c>
      <c r="MGS76" s="70">
        <v>0</v>
      </c>
      <c r="MGT76" s="70">
        <v>0</v>
      </c>
      <c r="MGU76" s="70">
        <v>0</v>
      </c>
      <c r="MGV76" s="70">
        <v>0</v>
      </c>
      <c r="MGW76" s="70">
        <v>0</v>
      </c>
      <c r="MGX76" s="70">
        <v>0</v>
      </c>
      <c r="MGY76" s="70">
        <v>0</v>
      </c>
      <c r="MGZ76" s="70">
        <v>0</v>
      </c>
      <c r="MHA76" s="70">
        <v>0</v>
      </c>
      <c r="MHB76" s="70">
        <v>0</v>
      </c>
      <c r="MHC76" s="70">
        <v>0</v>
      </c>
      <c r="MHD76" s="70">
        <v>0</v>
      </c>
      <c r="MHE76" s="70">
        <v>0</v>
      </c>
      <c r="MHF76" s="70">
        <v>0</v>
      </c>
      <c r="MHG76" s="70">
        <v>0</v>
      </c>
      <c r="MHH76" s="70">
        <v>0</v>
      </c>
      <c r="MHI76" s="70">
        <v>0</v>
      </c>
      <c r="MHJ76" s="70">
        <v>0</v>
      </c>
      <c r="MHK76" s="70">
        <v>0</v>
      </c>
      <c r="MHL76" s="70">
        <v>0</v>
      </c>
      <c r="MHM76" s="70">
        <v>0</v>
      </c>
      <c r="MHN76" s="70">
        <v>0</v>
      </c>
      <c r="MHO76" s="70">
        <v>0</v>
      </c>
      <c r="MHP76" s="70">
        <v>0</v>
      </c>
      <c r="MHQ76" s="70">
        <v>0</v>
      </c>
      <c r="MHR76" s="70">
        <v>0</v>
      </c>
      <c r="MHS76" s="70">
        <v>0</v>
      </c>
      <c r="MHT76" s="70">
        <v>0</v>
      </c>
      <c r="MHU76" s="70">
        <v>0</v>
      </c>
      <c r="MHV76" s="70">
        <v>0</v>
      </c>
      <c r="MHW76" s="70">
        <v>0</v>
      </c>
      <c r="MHX76" s="70">
        <v>0</v>
      </c>
      <c r="MHY76" s="70">
        <v>0</v>
      </c>
      <c r="MHZ76" s="70">
        <v>0</v>
      </c>
      <c r="MIA76" s="70">
        <v>0</v>
      </c>
      <c r="MIB76" s="70">
        <v>0</v>
      </c>
      <c r="MIC76" s="70">
        <v>0</v>
      </c>
      <c r="MID76" s="70">
        <v>0</v>
      </c>
      <c r="MIE76" s="70">
        <v>0</v>
      </c>
      <c r="MIF76" s="70">
        <v>0</v>
      </c>
      <c r="MIG76" s="70">
        <v>0</v>
      </c>
      <c r="MIH76" s="70">
        <v>0</v>
      </c>
      <c r="MII76" s="70">
        <v>0</v>
      </c>
      <c r="MIJ76" s="70">
        <v>0</v>
      </c>
      <c r="MIK76" s="70">
        <v>0</v>
      </c>
      <c r="MIL76" s="70">
        <v>0</v>
      </c>
      <c r="MIM76" s="70">
        <v>0</v>
      </c>
      <c r="MIN76" s="70">
        <v>0</v>
      </c>
      <c r="MIO76" s="70">
        <v>0</v>
      </c>
      <c r="MIP76" s="70">
        <v>0</v>
      </c>
      <c r="MIQ76" s="70">
        <v>0</v>
      </c>
      <c r="MIR76" s="70">
        <v>0</v>
      </c>
      <c r="MIS76" s="70">
        <v>0</v>
      </c>
      <c r="MIT76" s="70">
        <v>0</v>
      </c>
      <c r="MIU76" s="70">
        <v>0</v>
      </c>
      <c r="MIV76" s="70">
        <v>0</v>
      </c>
      <c r="MIW76" s="70">
        <v>0</v>
      </c>
      <c r="MIX76" s="70">
        <v>0</v>
      </c>
      <c r="MIY76" s="70">
        <v>0</v>
      </c>
      <c r="MIZ76" s="70">
        <v>0</v>
      </c>
      <c r="MJA76" s="70">
        <v>0</v>
      </c>
      <c r="MJB76" s="70">
        <v>0</v>
      </c>
      <c r="MJC76" s="70">
        <v>0</v>
      </c>
      <c r="MJD76" s="70">
        <v>0</v>
      </c>
      <c r="MJE76" s="70">
        <v>0</v>
      </c>
      <c r="MJF76" s="70">
        <v>0</v>
      </c>
      <c r="MJG76" s="70">
        <v>0</v>
      </c>
      <c r="MJH76" s="70">
        <v>0</v>
      </c>
      <c r="MJI76" s="70">
        <v>0</v>
      </c>
      <c r="MJJ76" s="70">
        <v>0</v>
      </c>
      <c r="MJK76" s="70">
        <v>0</v>
      </c>
      <c r="MJL76" s="70">
        <v>0</v>
      </c>
      <c r="MJM76" s="70">
        <v>0</v>
      </c>
      <c r="MJN76" s="70">
        <v>0</v>
      </c>
      <c r="MJO76" s="70">
        <v>0</v>
      </c>
      <c r="MJP76" s="70">
        <v>0</v>
      </c>
      <c r="MJQ76" s="70">
        <v>0</v>
      </c>
      <c r="MJR76" s="70">
        <v>0</v>
      </c>
      <c r="MJS76" s="70">
        <v>0</v>
      </c>
      <c r="MJT76" s="70">
        <v>0</v>
      </c>
      <c r="MJU76" s="70">
        <v>0</v>
      </c>
      <c r="MJV76" s="70">
        <v>0</v>
      </c>
      <c r="MJW76" s="70">
        <v>0</v>
      </c>
      <c r="MJX76" s="70">
        <v>0</v>
      </c>
      <c r="MJY76" s="70">
        <v>0</v>
      </c>
      <c r="MJZ76" s="70">
        <v>0</v>
      </c>
      <c r="MKA76" s="70">
        <v>0</v>
      </c>
      <c r="MKB76" s="70">
        <v>0</v>
      </c>
      <c r="MKC76" s="70">
        <v>0</v>
      </c>
      <c r="MKD76" s="70">
        <v>0</v>
      </c>
      <c r="MKE76" s="70">
        <v>0</v>
      </c>
      <c r="MKF76" s="70">
        <v>0</v>
      </c>
      <c r="MKG76" s="70">
        <v>0</v>
      </c>
      <c r="MKH76" s="70">
        <v>0</v>
      </c>
      <c r="MKI76" s="70">
        <v>0</v>
      </c>
      <c r="MKJ76" s="70">
        <v>0</v>
      </c>
      <c r="MKK76" s="70">
        <v>0</v>
      </c>
      <c r="MKL76" s="70">
        <v>0</v>
      </c>
      <c r="MKM76" s="70">
        <v>0</v>
      </c>
      <c r="MKN76" s="70">
        <v>0</v>
      </c>
      <c r="MKO76" s="70">
        <v>0</v>
      </c>
      <c r="MKP76" s="70">
        <v>0</v>
      </c>
      <c r="MKQ76" s="70">
        <v>0</v>
      </c>
      <c r="MKR76" s="70">
        <v>0</v>
      </c>
      <c r="MKS76" s="70">
        <v>0</v>
      </c>
      <c r="MKT76" s="70">
        <v>0</v>
      </c>
      <c r="MKU76" s="70">
        <v>0</v>
      </c>
      <c r="MKV76" s="70">
        <v>0</v>
      </c>
      <c r="MKW76" s="70">
        <v>0</v>
      </c>
      <c r="MKX76" s="70">
        <v>0</v>
      </c>
      <c r="MKY76" s="70">
        <v>0</v>
      </c>
      <c r="MKZ76" s="70">
        <v>0</v>
      </c>
      <c r="MLA76" s="70">
        <v>0</v>
      </c>
      <c r="MLB76" s="70">
        <v>0</v>
      </c>
      <c r="MLC76" s="70">
        <v>0</v>
      </c>
      <c r="MLD76" s="70">
        <v>0</v>
      </c>
      <c r="MLE76" s="70">
        <v>0</v>
      </c>
      <c r="MLF76" s="70">
        <v>0</v>
      </c>
      <c r="MLG76" s="70">
        <v>0</v>
      </c>
      <c r="MLH76" s="70">
        <v>0</v>
      </c>
      <c r="MLI76" s="70">
        <v>0</v>
      </c>
      <c r="MLJ76" s="70">
        <v>0</v>
      </c>
      <c r="MLK76" s="70">
        <v>0</v>
      </c>
      <c r="MLL76" s="70">
        <v>0</v>
      </c>
      <c r="MLM76" s="70">
        <v>0</v>
      </c>
      <c r="MLN76" s="70">
        <v>0</v>
      </c>
      <c r="MLO76" s="70">
        <v>0</v>
      </c>
      <c r="MLP76" s="70">
        <v>0</v>
      </c>
      <c r="MLQ76" s="70">
        <v>0</v>
      </c>
      <c r="MLR76" s="70">
        <v>0</v>
      </c>
      <c r="MLS76" s="70">
        <v>0</v>
      </c>
      <c r="MLT76" s="70">
        <v>0</v>
      </c>
      <c r="MLU76" s="70">
        <v>0</v>
      </c>
      <c r="MLV76" s="70">
        <v>0</v>
      </c>
      <c r="MLW76" s="70">
        <v>0</v>
      </c>
      <c r="MLX76" s="70">
        <v>0</v>
      </c>
      <c r="MLY76" s="70">
        <v>0</v>
      </c>
      <c r="MLZ76" s="70">
        <v>0</v>
      </c>
      <c r="MMA76" s="70">
        <v>0</v>
      </c>
      <c r="MMB76" s="70">
        <v>0</v>
      </c>
      <c r="MMC76" s="70">
        <v>0</v>
      </c>
      <c r="MMD76" s="70">
        <v>0</v>
      </c>
      <c r="MME76" s="70">
        <v>0</v>
      </c>
      <c r="MMF76" s="70">
        <v>0</v>
      </c>
      <c r="MMG76" s="70">
        <v>0</v>
      </c>
      <c r="MMH76" s="70">
        <v>0</v>
      </c>
      <c r="MMI76" s="70">
        <v>0</v>
      </c>
      <c r="MMJ76" s="70">
        <v>0</v>
      </c>
      <c r="MMK76" s="70">
        <v>0</v>
      </c>
      <c r="MML76" s="70">
        <v>0</v>
      </c>
      <c r="MMM76" s="70">
        <v>0</v>
      </c>
      <c r="MMN76" s="70">
        <v>0</v>
      </c>
      <c r="MMO76" s="70">
        <v>0</v>
      </c>
      <c r="MMP76" s="70">
        <v>0</v>
      </c>
      <c r="MMQ76" s="70">
        <v>0</v>
      </c>
      <c r="MMR76" s="70">
        <v>0</v>
      </c>
      <c r="MMS76" s="70">
        <v>0</v>
      </c>
      <c r="MMT76" s="70">
        <v>0</v>
      </c>
      <c r="MMU76" s="70">
        <v>0</v>
      </c>
      <c r="MMV76" s="70">
        <v>0</v>
      </c>
      <c r="MMW76" s="70">
        <v>0</v>
      </c>
      <c r="MMX76" s="70">
        <v>0</v>
      </c>
      <c r="MMY76" s="70">
        <v>0</v>
      </c>
      <c r="MMZ76" s="70">
        <v>0</v>
      </c>
      <c r="MNA76" s="70">
        <v>0</v>
      </c>
      <c r="MNB76" s="70">
        <v>0</v>
      </c>
      <c r="MNC76" s="70">
        <v>0</v>
      </c>
      <c r="MND76" s="70">
        <v>0</v>
      </c>
      <c r="MNE76" s="70">
        <v>0</v>
      </c>
      <c r="MNF76" s="70">
        <v>0</v>
      </c>
      <c r="MNG76" s="70">
        <v>0</v>
      </c>
      <c r="MNH76" s="70">
        <v>0</v>
      </c>
      <c r="MNI76" s="70">
        <v>0</v>
      </c>
      <c r="MNJ76" s="70">
        <v>0</v>
      </c>
      <c r="MNK76" s="70">
        <v>0</v>
      </c>
      <c r="MNL76" s="70">
        <v>0</v>
      </c>
      <c r="MNM76" s="70">
        <v>0</v>
      </c>
      <c r="MNN76" s="70">
        <v>0</v>
      </c>
      <c r="MNO76" s="70">
        <v>0</v>
      </c>
      <c r="MNP76" s="70">
        <v>0</v>
      </c>
      <c r="MNQ76" s="70">
        <v>0</v>
      </c>
      <c r="MNR76" s="70">
        <v>0</v>
      </c>
      <c r="MNS76" s="70">
        <v>0</v>
      </c>
      <c r="MNT76" s="70">
        <v>0</v>
      </c>
      <c r="MNU76" s="70">
        <v>0</v>
      </c>
      <c r="MNV76" s="70">
        <v>0</v>
      </c>
      <c r="MNW76" s="70">
        <v>0</v>
      </c>
      <c r="MNX76" s="70">
        <v>0</v>
      </c>
      <c r="MNY76" s="70">
        <v>0</v>
      </c>
      <c r="MNZ76" s="70">
        <v>0</v>
      </c>
      <c r="MOA76" s="70">
        <v>0</v>
      </c>
      <c r="MOB76" s="70">
        <v>0</v>
      </c>
      <c r="MOC76" s="70">
        <v>0</v>
      </c>
      <c r="MOD76" s="70">
        <v>0</v>
      </c>
      <c r="MOE76" s="70">
        <v>0</v>
      </c>
      <c r="MOF76" s="70">
        <v>0</v>
      </c>
      <c r="MOG76" s="70">
        <v>0</v>
      </c>
      <c r="MOH76" s="70">
        <v>0</v>
      </c>
      <c r="MOI76" s="70">
        <v>0</v>
      </c>
      <c r="MOJ76" s="70">
        <v>0</v>
      </c>
      <c r="MOK76" s="70">
        <v>0</v>
      </c>
      <c r="MOL76" s="70">
        <v>0</v>
      </c>
      <c r="MOM76" s="70">
        <v>0</v>
      </c>
      <c r="MON76" s="70">
        <v>0</v>
      </c>
      <c r="MOO76" s="70">
        <v>0</v>
      </c>
      <c r="MOP76" s="70">
        <v>0</v>
      </c>
      <c r="MOQ76" s="70">
        <v>0</v>
      </c>
      <c r="MOR76" s="70">
        <v>0</v>
      </c>
      <c r="MOS76" s="70">
        <v>0</v>
      </c>
      <c r="MOT76" s="70">
        <v>0</v>
      </c>
      <c r="MOU76" s="70">
        <v>0</v>
      </c>
      <c r="MOV76" s="70">
        <v>0</v>
      </c>
      <c r="MOW76" s="70">
        <v>0</v>
      </c>
      <c r="MOX76" s="70">
        <v>0</v>
      </c>
      <c r="MOY76" s="70">
        <v>0</v>
      </c>
      <c r="MOZ76" s="70">
        <v>0</v>
      </c>
      <c r="MPA76" s="70">
        <v>0</v>
      </c>
      <c r="MPB76" s="70">
        <v>0</v>
      </c>
      <c r="MPC76" s="70">
        <v>0</v>
      </c>
      <c r="MPD76" s="70">
        <v>0</v>
      </c>
      <c r="MPE76" s="70">
        <v>0</v>
      </c>
      <c r="MPF76" s="70">
        <v>0</v>
      </c>
      <c r="MPG76" s="70">
        <v>0</v>
      </c>
      <c r="MPH76" s="70">
        <v>0</v>
      </c>
      <c r="MPI76" s="70">
        <v>0</v>
      </c>
      <c r="MPJ76" s="70">
        <v>0</v>
      </c>
      <c r="MPK76" s="70">
        <v>0</v>
      </c>
      <c r="MPL76" s="70">
        <v>0</v>
      </c>
      <c r="MPM76" s="70">
        <v>0</v>
      </c>
      <c r="MPN76" s="70">
        <v>0</v>
      </c>
      <c r="MPO76" s="70">
        <v>0</v>
      </c>
      <c r="MPP76" s="70">
        <v>0</v>
      </c>
      <c r="MPQ76" s="70">
        <v>0</v>
      </c>
      <c r="MPR76" s="70">
        <v>0</v>
      </c>
      <c r="MPS76" s="70">
        <v>0</v>
      </c>
      <c r="MPT76" s="70">
        <v>0</v>
      </c>
      <c r="MPU76" s="70">
        <v>0</v>
      </c>
      <c r="MPV76" s="70">
        <v>0</v>
      </c>
      <c r="MPW76" s="70">
        <v>0</v>
      </c>
      <c r="MPX76" s="70">
        <v>0</v>
      </c>
      <c r="MPY76" s="70">
        <v>0</v>
      </c>
      <c r="MPZ76" s="70">
        <v>0</v>
      </c>
      <c r="MQA76" s="70">
        <v>0</v>
      </c>
      <c r="MQB76" s="70">
        <v>0</v>
      </c>
      <c r="MQC76" s="70">
        <v>0</v>
      </c>
      <c r="MQD76" s="70">
        <v>0</v>
      </c>
      <c r="MQE76" s="70">
        <v>0</v>
      </c>
      <c r="MQF76" s="70">
        <v>0</v>
      </c>
      <c r="MQG76" s="70">
        <v>0</v>
      </c>
      <c r="MQH76" s="70">
        <v>0</v>
      </c>
      <c r="MQI76" s="70">
        <v>0</v>
      </c>
      <c r="MQJ76" s="70">
        <v>0</v>
      </c>
      <c r="MQK76" s="70">
        <v>0</v>
      </c>
      <c r="MQL76" s="70">
        <v>0</v>
      </c>
      <c r="MQM76" s="70">
        <v>0</v>
      </c>
      <c r="MQN76" s="70">
        <v>0</v>
      </c>
      <c r="MQO76" s="70">
        <v>0</v>
      </c>
      <c r="MQP76" s="70">
        <v>0</v>
      </c>
      <c r="MQQ76" s="70">
        <v>0</v>
      </c>
      <c r="MQR76" s="70">
        <v>0</v>
      </c>
      <c r="MQS76" s="70">
        <v>0</v>
      </c>
      <c r="MQT76" s="70">
        <v>0</v>
      </c>
      <c r="MQU76" s="70">
        <v>0</v>
      </c>
      <c r="MQV76" s="70">
        <v>0</v>
      </c>
      <c r="MQW76" s="70">
        <v>0</v>
      </c>
      <c r="MQX76" s="70">
        <v>0</v>
      </c>
      <c r="MQY76" s="70">
        <v>0</v>
      </c>
      <c r="MQZ76" s="70">
        <v>0</v>
      </c>
      <c r="MRA76" s="70">
        <v>0</v>
      </c>
      <c r="MRB76" s="70">
        <v>0</v>
      </c>
      <c r="MRC76" s="70">
        <v>0</v>
      </c>
      <c r="MRD76" s="70">
        <v>0</v>
      </c>
      <c r="MRE76" s="70">
        <v>0</v>
      </c>
      <c r="MRF76" s="70">
        <v>0</v>
      </c>
      <c r="MRG76" s="70">
        <v>0</v>
      </c>
      <c r="MRH76" s="70">
        <v>0</v>
      </c>
      <c r="MRI76" s="70">
        <v>0</v>
      </c>
      <c r="MRJ76" s="70">
        <v>0</v>
      </c>
      <c r="MRK76" s="70">
        <v>0</v>
      </c>
      <c r="MRL76" s="70">
        <v>0</v>
      </c>
      <c r="MRM76" s="70">
        <v>0</v>
      </c>
      <c r="MRN76" s="70">
        <v>0</v>
      </c>
      <c r="MRO76" s="70">
        <v>0</v>
      </c>
      <c r="MRP76" s="70">
        <v>0</v>
      </c>
      <c r="MRQ76" s="70">
        <v>0</v>
      </c>
      <c r="MRR76" s="70">
        <v>0</v>
      </c>
      <c r="MRS76" s="70">
        <v>0</v>
      </c>
      <c r="MRT76" s="70">
        <v>0</v>
      </c>
      <c r="MRU76" s="70">
        <v>0</v>
      </c>
      <c r="MRV76" s="70">
        <v>0</v>
      </c>
      <c r="MRW76" s="70">
        <v>0</v>
      </c>
      <c r="MRX76" s="70">
        <v>0</v>
      </c>
      <c r="MRY76" s="70">
        <v>0</v>
      </c>
      <c r="MRZ76" s="70">
        <v>0</v>
      </c>
      <c r="MSA76" s="70">
        <v>0</v>
      </c>
      <c r="MSB76" s="70">
        <v>0</v>
      </c>
      <c r="MSC76" s="70">
        <v>0</v>
      </c>
      <c r="MSD76" s="70">
        <v>0</v>
      </c>
      <c r="MSE76" s="70">
        <v>0</v>
      </c>
      <c r="MSF76" s="70">
        <v>0</v>
      </c>
      <c r="MSG76" s="70">
        <v>0</v>
      </c>
      <c r="MSH76" s="70">
        <v>0</v>
      </c>
      <c r="MSI76" s="70">
        <v>0</v>
      </c>
      <c r="MSJ76" s="70">
        <v>0</v>
      </c>
      <c r="MSK76" s="70">
        <v>0</v>
      </c>
      <c r="MSL76" s="70">
        <v>0</v>
      </c>
      <c r="MSM76" s="70">
        <v>0</v>
      </c>
      <c r="MSN76" s="70">
        <v>0</v>
      </c>
      <c r="MSO76" s="70">
        <v>0</v>
      </c>
      <c r="MSP76" s="70">
        <v>0</v>
      </c>
      <c r="MSQ76" s="70">
        <v>0</v>
      </c>
      <c r="MSR76" s="70">
        <v>0</v>
      </c>
      <c r="MSS76" s="70">
        <v>0</v>
      </c>
      <c r="MST76" s="70">
        <v>0</v>
      </c>
      <c r="MSU76" s="70">
        <v>0</v>
      </c>
      <c r="MSV76" s="70">
        <v>0</v>
      </c>
      <c r="MSW76" s="70">
        <v>0</v>
      </c>
      <c r="MSX76" s="70">
        <v>0</v>
      </c>
      <c r="MSY76" s="70">
        <v>0</v>
      </c>
      <c r="MSZ76" s="70">
        <v>0</v>
      </c>
      <c r="MTA76" s="70">
        <v>0</v>
      </c>
      <c r="MTB76" s="70">
        <v>0</v>
      </c>
      <c r="MTC76" s="70">
        <v>0</v>
      </c>
      <c r="MTD76" s="70">
        <v>0</v>
      </c>
      <c r="MTE76" s="70">
        <v>0</v>
      </c>
      <c r="MTF76" s="70">
        <v>0</v>
      </c>
      <c r="MTG76" s="70">
        <v>0</v>
      </c>
      <c r="MTH76" s="70">
        <v>0</v>
      </c>
      <c r="MTI76" s="70">
        <v>0</v>
      </c>
      <c r="MTJ76" s="70">
        <v>0</v>
      </c>
      <c r="MTK76" s="70">
        <v>0</v>
      </c>
      <c r="MTL76" s="70">
        <v>0</v>
      </c>
      <c r="MTM76" s="70">
        <v>0</v>
      </c>
      <c r="MTN76" s="70">
        <v>0</v>
      </c>
      <c r="MTO76" s="70">
        <v>0</v>
      </c>
      <c r="MTP76" s="70">
        <v>0</v>
      </c>
      <c r="MTQ76" s="70">
        <v>0</v>
      </c>
      <c r="MTR76" s="70">
        <v>0</v>
      </c>
      <c r="MTS76" s="70">
        <v>0</v>
      </c>
      <c r="MTT76" s="70">
        <v>0</v>
      </c>
      <c r="MTU76" s="70">
        <v>0</v>
      </c>
      <c r="MTV76" s="70">
        <v>0</v>
      </c>
      <c r="MTW76" s="70">
        <v>0</v>
      </c>
      <c r="MTX76" s="70">
        <v>0</v>
      </c>
      <c r="MTY76" s="70">
        <v>0</v>
      </c>
      <c r="MTZ76" s="70">
        <v>0</v>
      </c>
      <c r="MUA76" s="70">
        <v>0</v>
      </c>
      <c r="MUB76" s="70">
        <v>0</v>
      </c>
      <c r="MUC76" s="70">
        <v>0</v>
      </c>
      <c r="MUD76" s="70">
        <v>0</v>
      </c>
      <c r="MUE76" s="70">
        <v>0</v>
      </c>
      <c r="MUF76" s="70">
        <v>0</v>
      </c>
      <c r="MUG76" s="70">
        <v>0</v>
      </c>
      <c r="MUH76" s="70">
        <v>0</v>
      </c>
      <c r="MUI76" s="70">
        <v>0</v>
      </c>
      <c r="MUJ76" s="70">
        <v>0</v>
      </c>
      <c r="MUK76" s="70">
        <v>0</v>
      </c>
      <c r="MUL76" s="70">
        <v>0</v>
      </c>
      <c r="MUM76" s="70">
        <v>0</v>
      </c>
      <c r="MUN76" s="70">
        <v>0</v>
      </c>
      <c r="MUO76" s="70">
        <v>0</v>
      </c>
      <c r="MUP76" s="70">
        <v>0</v>
      </c>
      <c r="MUQ76" s="70">
        <v>0</v>
      </c>
      <c r="MUR76" s="70">
        <v>0</v>
      </c>
      <c r="MUS76" s="70">
        <v>0</v>
      </c>
      <c r="MUT76" s="70">
        <v>0</v>
      </c>
      <c r="MUU76" s="70">
        <v>0</v>
      </c>
      <c r="MUV76" s="70">
        <v>0</v>
      </c>
      <c r="MUW76" s="70">
        <v>0</v>
      </c>
      <c r="MUX76" s="70">
        <v>0</v>
      </c>
      <c r="MUY76" s="70">
        <v>0</v>
      </c>
      <c r="MUZ76" s="70">
        <v>0</v>
      </c>
      <c r="MVA76" s="70">
        <v>0</v>
      </c>
      <c r="MVB76" s="70">
        <v>0</v>
      </c>
      <c r="MVC76" s="70">
        <v>0</v>
      </c>
      <c r="MVD76" s="70">
        <v>0</v>
      </c>
      <c r="MVE76" s="70">
        <v>0</v>
      </c>
      <c r="MVF76" s="70">
        <v>0</v>
      </c>
      <c r="MVG76" s="70">
        <v>0</v>
      </c>
      <c r="MVH76" s="70">
        <v>0</v>
      </c>
      <c r="MVI76" s="70">
        <v>0</v>
      </c>
      <c r="MVJ76" s="70">
        <v>0</v>
      </c>
      <c r="MVK76" s="70">
        <v>0</v>
      </c>
      <c r="MVL76" s="70">
        <v>0</v>
      </c>
      <c r="MVM76" s="70">
        <v>0</v>
      </c>
      <c r="MVN76" s="70">
        <v>0</v>
      </c>
      <c r="MVO76" s="70">
        <v>0</v>
      </c>
      <c r="MVP76" s="70">
        <v>0</v>
      </c>
      <c r="MVQ76" s="70">
        <v>0</v>
      </c>
      <c r="MVR76" s="70">
        <v>0</v>
      </c>
      <c r="MVS76" s="70">
        <v>0</v>
      </c>
      <c r="MVT76" s="70">
        <v>0</v>
      </c>
      <c r="MVU76" s="70">
        <v>0</v>
      </c>
      <c r="MVV76" s="70">
        <v>0</v>
      </c>
      <c r="MVW76" s="70">
        <v>0</v>
      </c>
      <c r="MVX76" s="70">
        <v>0</v>
      </c>
      <c r="MVY76" s="70">
        <v>0</v>
      </c>
      <c r="MVZ76" s="70">
        <v>0</v>
      </c>
      <c r="MWA76" s="70">
        <v>0</v>
      </c>
      <c r="MWB76" s="70">
        <v>0</v>
      </c>
      <c r="MWC76" s="70">
        <v>0</v>
      </c>
      <c r="MWD76" s="70">
        <v>0</v>
      </c>
      <c r="MWE76" s="70">
        <v>0</v>
      </c>
      <c r="MWF76" s="70">
        <v>0</v>
      </c>
      <c r="MWG76" s="70">
        <v>0</v>
      </c>
      <c r="MWH76" s="70">
        <v>0</v>
      </c>
      <c r="MWI76" s="70">
        <v>0</v>
      </c>
      <c r="MWJ76" s="70">
        <v>0</v>
      </c>
      <c r="MWK76" s="70">
        <v>0</v>
      </c>
      <c r="MWL76" s="70">
        <v>0</v>
      </c>
      <c r="MWM76" s="70">
        <v>0</v>
      </c>
      <c r="MWN76" s="70">
        <v>0</v>
      </c>
      <c r="MWO76" s="70">
        <v>0</v>
      </c>
      <c r="MWP76" s="70">
        <v>0</v>
      </c>
      <c r="MWQ76" s="70">
        <v>0</v>
      </c>
      <c r="MWR76" s="70">
        <v>0</v>
      </c>
      <c r="MWS76" s="70">
        <v>0</v>
      </c>
      <c r="MWT76" s="70">
        <v>0</v>
      </c>
      <c r="MWU76" s="70">
        <v>0</v>
      </c>
      <c r="MWV76" s="70">
        <v>0</v>
      </c>
      <c r="MWW76" s="70">
        <v>0</v>
      </c>
      <c r="MWX76" s="70">
        <v>0</v>
      </c>
      <c r="MWY76" s="70">
        <v>0</v>
      </c>
      <c r="MWZ76" s="70">
        <v>0</v>
      </c>
      <c r="MXA76" s="70">
        <v>0</v>
      </c>
      <c r="MXB76" s="70">
        <v>0</v>
      </c>
      <c r="MXC76" s="70">
        <v>0</v>
      </c>
      <c r="MXD76" s="70">
        <v>0</v>
      </c>
      <c r="MXE76" s="70">
        <v>0</v>
      </c>
      <c r="MXF76" s="70">
        <v>0</v>
      </c>
      <c r="MXG76" s="70">
        <v>0</v>
      </c>
      <c r="MXH76" s="70">
        <v>0</v>
      </c>
      <c r="MXI76" s="70">
        <v>0</v>
      </c>
      <c r="MXJ76" s="70">
        <v>0</v>
      </c>
      <c r="MXK76" s="70">
        <v>0</v>
      </c>
      <c r="MXL76" s="70">
        <v>0</v>
      </c>
      <c r="MXM76" s="70">
        <v>0</v>
      </c>
      <c r="MXN76" s="70">
        <v>0</v>
      </c>
      <c r="MXO76" s="70">
        <v>0</v>
      </c>
      <c r="MXP76" s="70">
        <v>0</v>
      </c>
      <c r="MXQ76" s="70">
        <v>0</v>
      </c>
      <c r="MXR76" s="70">
        <v>0</v>
      </c>
      <c r="MXS76" s="70">
        <v>0</v>
      </c>
      <c r="MXT76" s="70">
        <v>0</v>
      </c>
      <c r="MXU76" s="70">
        <v>0</v>
      </c>
      <c r="MXV76" s="70">
        <v>0</v>
      </c>
      <c r="MXW76" s="70">
        <v>0</v>
      </c>
      <c r="MXX76" s="70">
        <v>0</v>
      </c>
      <c r="MXY76" s="70">
        <v>0</v>
      </c>
      <c r="MXZ76" s="70">
        <v>0</v>
      </c>
      <c r="MYA76" s="70">
        <v>0</v>
      </c>
      <c r="MYB76" s="70">
        <v>0</v>
      </c>
      <c r="MYC76" s="70">
        <v>0</v>
      </c>
      <c r="MYD76" s="70">
        <v>0</v>
      </c>
      <c r="MYE76" s="70">
        <v>0</v>
      </c>
      <c r="MYF76" s="70">
        <v>0</v>
      </c>
      <c r="MYG76" s="70">
        <v>0</v>
      </c>
      <c r="MYH76" s="70">
        <v>0</v>
      </c>
      <c r="MYI76" s="70">
        <v>0</v>
      </c>
      <c r="MYJ76" s="70">
        <v>0</v>
      </c>
      <c r="MYK76" s="70">
        <v>0</v>
      </c>
      <c r="MYL76" s="70">
        <v>0</v>
      </c>
      <c r="MYM76" s="70">
        <v>0</v>
      </c>
      <c r="MYN76" s="70">
        <v>0</v>
      </c>
      <c r="MYO76" s="70">
        <v>0</v>
      </c>
      <c r="MYP76" s="70">
        <v>0</v>
      </c>
      <c r="MYQ76" s="70">
        <v>0</v>
      </c>
      <c r="MYR76" s="70">
        <v>0</v>
      </c>
      <c r="MYS76" s="70">
        <v>0</v>
      </c>
      <c r="MYT76" s="70">
        <v>0</v>
      </c>
      <c r="MYU76" s="70">
        <v>0</v>
      </c>
      <c r="MYV76" s="70">
        <v>0</v>
      </c>
      <c r="MYW76" s="70">
        <v>0</v>
      </c>
      <c r="MYX76" s="70">
        <v>0</v>
      </c>
      <c r="MYY76" s="70">
        <v>0</v>
      </c>
      <c r="MYZ76" s="70">
        <v>0</v>
      </c>
      <c r="MZA76" s="70">
        <v>0</v>
      </c>
      <c r="MZB76" s="70">
        <v>0</v>
      </c>
      <c r="MZC76" s="70">
        <v>0</v>
      </c>
      <c r="MZD76" s="70">
        <v>0</v>
      </c>
      <c r="MZE76" s="70">
        <v>0</v>
      </c>
      <c r="MZF76" s="70">
        <v>0</v>
      </c>
      <c r="MZG76" s="70">
        <v>0</v>
      </c>
      <c r="MZH76" s="70">
        <v>0</v>
      </c>
      <c r="MZI76" s="70">
        <v>0</v>
      </c>
      <c r="MZJ76" s="70">
        <v>0</v>
      </c>
      <c r="MZK76" s="70">
        <v>0</v>
      </c>
      <c r="MZL76" s="70">
        <v>0</v>
      </c>
      <c r="MZM76" s="70">
        <v>0</v>
      </c>
      <c r="MZN76" s="70">
        <v>0</v>
      </c>
      <c r="MZO76" s="70">
        <v>0</v>
      </c>
      <c r="MZP76" s="70">
        <v>0</v>
      </c>
      <c r="MZQ76" s="70">
        <v>0</v>
      </c>
      <c r="MZR76" s="70">
        <v>0</v>
      </c>
      <c r="MZS76" s="70">
        <v>0</v>
      </c>
      <c r="MZT76" s="70">
        <v>0</v>
      </c>
      <c r="MZU76" s="70">
        <v>0</v>
      </c>
      <c r="MZV76" s="70">
        <v>0</v>
      </c>
      <c r="MZW76" s="70">
        <v>0</v>
      </c>
      <c r="MZX76" s="70">
        <v>0</v>
      </c>
      <c r="MZY76" s="70">
        <v>0</v>
      </c>
      <c r="MZZ76" s="70">
        <v>0</v>
      </c>
      <c r="NAA76" s="70">
        <v>0</v>
      </c>
      <c r="NAB76" s="70">
        <v>0</v>
      </c>
      <c r="NAC76" s="70">
        <v>0</v>
      </c>
      <c r="NAD76" s="70">
        <v>0</v>
      </c>
      <c r="NAE76" s="70">
        <v>0</v>
      </c>
      <c r="NAF76" s="70">
        <v>0</v>
      </c>
      <c r="NAG76" s="70">
        <v>0</v>
      </c>
      <c r="NAH76" s="70">
        <v>0</v>
      </c>
      <c r="NAI76" s="70">
        <v>0</v>
      </c>
      <c r="NAJ76" s="70">
        <v>0</v>
      </c>
      <c r="NAK76" s="70">
        <v>0</v>
      </c>
      <c r="NAL76" s="70">
        <v>0</v>
      </c>
      <c r="NAM76" s="70">
        <v>0</v>
      </c>
      <c r="NAN76" s="70">
        <v>0</v>
      </c>
      <c r="NAO76" s="70">
        <v>0</v>
      </c>
      <c r="NAP76" s="70">
        <v>0</v>
      </c>
      <c r="NAQ76" s="70">
        <v>0</v>
      </c>
      <c r="NAR76" s="70">
        <v>0</v>
      </c>
      <c r="NAS76" s="70">
        <v>0</v>
      </c>
      <c r="NAT76" s="70">
        <v>0</v>
      </c>
      <c r="NAU76" s="70">
        <v>0</v>
      </c>
      <c r="NAV76" s="70">
        <v>0</v>
      </c>
      <c r="NAW76" s="70">
        <v>0</v>
      </c>
      <c r="NAX76" s="70">
        <v>0</v>
      </c>
      <c r="NAY76" s="70">
        <v>0</v>
      </c>
      <c r="NAZ76" s="70">
        <v>0</v>
      </c>
      <c r="NBA76" s="70">
        <v>0</v>
      </c>
      <c r="NBB76" s="70">
        <v>0</v>
      </c>
      <c r="NBC76" s="70">
        <v>0</v>
      </c>
      <c r="NBD76" s="70">
        <v>0</v>
      </c>
      <c r="NBE76" s="70">
        <v>0</v>
      </c>
      <c r="NBF76" s="70">
        <v>0</v>
      </c>
      <c r="NBG76" s="70">
        <v>0</v>
      </c>
      <c r="NBH76" s="70">
        <v>0</v>
      </c>
      <c r="NBI76" s="70">
        <v>0</v>
      </c>
      <c r="NBJ76" s="70">
        <v>0</v>
      </c>
      <c r="NBK76" s="70">
        <v>0</v>
      </c>
      <c r="NBL76" s="70">
        <v>0</v>
      </c>
      <c r="NBM76" s="70">
        <v>0</v>
      </c>
      <c r="NBN76" s="70">
        <v>0</v>
      </c>
      <c r="NBO76" s="70">
        <v>0</v>
      </c>
      <c r="NBP76" s="70">
        <v>0</v>
      </c>
      <c r="NBQ76" s="70">
        <v>0</v>
      </c>
      <c r="NBR76" s="70">
        <v>0</v>
      </c>
      <c r="NBS76" s="70">
        <v>0</v>
      </c>
      <c r="NBT76" s="70">
        <v>0</v>
      </c>
      <c r="NBU76" s="70">
        <v>0</v>
      </c>
      <c r="NBV76" s="70">
        <v>0</v>
      </c>
      <c r="NBW76" s="70">
        <v>0</v>
      </c>
      <c r="NBX76" s="70">
        <v>0</v>
      </c>
      <c r="NBY76" s="70">
        <v>0</v>
      </c>
      <c r="NBZ76" s="70">
        <v>0</v>
      </c>
      <c r="NCA76" s="70">
        <v>0</v>
      </c>
      <c r="NCB76" s="70">
        <v>0</v>
      </c>
      <c r="NCC76" s="70">
        <v>0</v>
      </c>
      <c r="NCD76" s="70">
        <v>0</v>
      </c>
      <c r="NCE76" s="70">
        <v>0</v>
      </c>
      <c r="NCF76" s="70">
        <v>0</v>
      </c>
      <c r="NCG76" s="70">
        <v>0</v>
      </c>
      <c r="NCH76" s="70">
        <v>0</v>
      </c>
      <c r="NCI76" s="70">
        <v>0</v>
      </c>
      <c r="NCJ76" s="70">
        <v>0</v>
      </c>
      <c r="NCK76" s="70">
        <v>0</v>
      </c>
      <c r="NCL76" s="70">
        <v>0</v>
      </c>
      <c r="NCM76" s="70">
        <v>0</v>
      </c>
      <c r="NCN76" s="70">
        <v>0</v>
      </c>
      <c r="NCO76" s="70">
        <v>0</v>
      </c>
      <c r="NCP76" s="70">
        <v>0</v>
      </c>
      <c r="NCQ76" s="70">
        <v>0</v>
      </c>
      <c r="NCR76" s="70">
        <v>0</v>
      </c>
      <c r="NCS76" s="70">
        <v>0</v>
      </c>
      <c r="NCT76" s="70">
        <v>0</v>
      </c>
      <c r="NCU76" s="70">
        <v>0</v>
      </c>
      <c r="NCV76" s="70">
        <v>0</v>
      </c>
      <c r="NCW76" s="70">
        <v>0</v>
      </c>
      <c r="NCX76" s="70">
        <v>0</v>
      </c>
      <c r="NCY76" s="70">
        <v>0</v>
      </c>
      <c r="NCZ76" s="70">
        <v>0</v>
      </c>
      <c r="NDA76" s="70">
        <v>0</v>
      </c>
      <c r="NDB76" s="70">
        <v>0</v>
      </c>
      <c r="NDC76" s="70">
        <v>0</v>
      </c>
      <c r="NDD76" s="70">
        <v>0</v>
      </c>
      <c r="NDE76" s="70">
        <v>0</v>
      </c>
      <c r="NDF76" s="70">
        <v>0</v>
      </c>
      <c r="NDG76" s="70">
        <v>0</v>
      </c>
      <c r="NDH76" s="70">
        <v>0</v>
      </c>
      <c r="NDI76" s="70">
        <v>0</v>
      </c>
      <c r="NDJ76" s="70">
        <v>0</v>
      </c>
      <c r="NDK76" s="70">
        <v>0</v>
      </c>
      <c r="NDL76" s="70">
        <v>0</v>
      </c>
      <c r="NDM76" s="70">
        <v>0</v>
      </c>
      <c r="NDN76" s="70">
        <v>0</v>
      </c>
      <c r="NDO76" s="70">
        <v>0</v>
      </c>
      <c r="NDP76" s="70">
        <v>0</v>
      </c>
      <c r="NDQ76" s="70">
        <v>0</v>
      </c>
      <c r="NDR76" s="70">
        <v>0</v>
      </c>
      <c r="NDS76" s="70">
        <v>0</v>
      </c>
      <c r="NDT76" s="70">
        <v>0</v>
      </c>
      <c r="NDU76" s="70">
        <v>0</v>
      </c>
      <c r="NDV76" s="70">
        <v>0</v>
      </c>
      <c r="NDW76" s="70">
        <v>0</v>
      </c>
      <c r="NDX76" s="70">
        <v>0</v>
      </c>
      <c r="NDY76" s="70">
        <v>0</v>
      </c>
      <c r="NDZ76" s="70">
        <v>0</v>
      </c>
      <c r="NEA76" s="70">
        <v>0</v>
      </c>
      <c r="NEB76" s="70">
        <v>0</v>
      </c>
      <c r="NEC76" s="70">
        <v>0</v>
      </c>
      <c r="NED76" s="70">
        <v>0</v>
      </c>
      <c r="NEE76" s="70">
        <v>0</v>
      </c>
      <c r="NEF76" s="70">
        <v>0</v>
      </c>
      <c r="NEG76" s="70">
        <v>0</v>
      </c>
      <c r="NEH76" s="70">
        <v>0</v>
      </c>
      <c r="NEI76" s="70">
        <v>0</v>
      </c>
      <c r="NEJ76" s="70">
        <v>0</v>
      </c>
      <c r="NEK76" s="70">
        <v>0</v>
      </c>
      <c r="NEL76" s="70">
        <v>0</v>
      </c>
      <c r="NEM76" s="70">
        <v>0</v>
      </c>
      <c r="NEN76" s="70">
        <v>0</v>
      </c>
      <c r="NEO76" s="70">
        <v>0</v>
      </c>
      <c r="NEP76" s="70">
        <v>0</v>
      </c>
      <c r="NEQ76" s="70">
        <v>0</v>
      </c>
      <c r="NER76" s="70">
        <v>0</v>
      </c>
      <c r="NES76" s="70">
        <v>0</v>
      </c>
      <c r="NET76" s="70">
        <v>0</v>
      </c>
      <c r="NEU76" s="70">
        <v>0</v>
      </c>
      <c r="NEV76" s="70">
        <v>0</v>
      </c>
      <c r="NEW76" s="70">
        <v>0</v>
      </c>
      <c r="NEX76" s="70">
        <v>0</v>
      </c>
      <c r="NEY76" s="70">
        <v>0</v>
      </c>
      <c r="NEZ76" s="70">
        <v>0</v>
      </c>
      <c r="NFA76" s="70">
        <v>0</v>
      </c>
      <c r="NFB76" s="70">
        <v>0</v>
      </c>
      <c r="NFC76" s="70">
        <v>0</v>
      </c>
      <c r="NFD76" s="70">
        <v>0</v>
      </c>
      <c r="NFE76" s="70">
        <v>0</v>
      </c>
      <c r="NFF76" s="70">
        <v>0</v>
      </c>
      <c r="NFG76" s="70">
        <v>0</v>
      </c>
      <c r="NFH76" s="70">
        <v>0</v>
      </c>
      <c r="NFI76" s="70">
        <v>0</v>
      </c>
      <c r="NFJ76" s="70">
        <v>0</v>
      </c>
      <c r="NFK76" s="70">
        <v>0</v>
      </c>
      <c r="NFL76" s="70">
        <v>0</v>
      </c>
      <c r="NFM76" s="70">
        <v>0</v>
      </c>
      <c r="NFN76" s="70">
        <v>0</v>
      </c>
      <c r="NFO76" s="70">
        <v>0</v>
      </c>
      <c r="NFP76" s="70">
        <v>0</v>
      </c>
      <c r="NFQ76" s="70">
        <v>0</v>
      </c>
      <c r="NFR76" s="70">
        <v>0</v>
      </c>
      <c r="NFS76" s="70">
        <v>0</v>
      </c>
      <c r="NFT76" s="70">
        <v>0</v>
      </c>
      <c r="NFU76" s="70">
        <v>0</v>
      </c>
      <c r="NFV76" s="70">
        <v>0</v>
      </c>
      <c r="NFW76" s="70">
        <v>0</v>
      </c>
      <c r="NFX76" s="70">
        <v>0</v>
      </c>
      <c r="NFY76" s="70">
        <v>0</v>
      </c>
      <c r="NFZ76" s="70">
        <v>0</v>
      </c>
      <c r="NGA76" s="70">
        <v>0</v>
      </c>
      <c r="NGB76" s="70">
        <v>0</v>
      </c>
      <c r="NGC76" s="70">
        <v>0</v>
      </c>
      <c r="NGD76" s="70">
        <v>0</v>
      </c>
      <c r="NGE76" s="70">
        <v>0</v>
      </c>
      <c r="NGF76" s="70">
        <v>0</v>
      </c>
      <c r="NGG76" s="70">
        <v>0</v>
      </c>
      <c r="NGH76" s="70">
        <v>0</v>
      </c>
      <c r="NGI76" s="70">
        <v>0</v>
      </c>
      <c r="NGJ76" s="70">
        <v>0</v>
      </c>
      <c r="NGK76" s="70">
        <v>0</v>
      </c>
      <c r="NGL76" s="70">
        <v>0</v>
      </c>
      <c r="NGM76" s="70">
        <v>0</v>
      </c>
      <c r="NGN76" s="70">
        <v>0</v>
      </c>
      <c r="NGO76" s="70">
        <v>0</v>
      </c>
      <c r="NGP76" s="70">
        <v>0</v>
      </c>
      <c r="NGQ76" s="70">
        <v>0</v>
      </c>
      <c r="NGR76" s="70">
        <v>0</v>
      </c>
      <c r="NGS76" s="70">
        <v>0</v>
      </c>
      <c r="NGT76" s="70">
        <v>0</v>
      </c>
      <c r="NGU76" s="70">
        <v>0</v>
      </c>
      <c r="NGV76" s="70">
        <v>0</v>
      </c>
      <c r="NGW76" s="70">
        <v>0</v>
      </c>
      <c r="NGX76" s="70">
        <v>0</v>
      </c>
      <c r="NGY76" s="70">
        <v>0</v>
      </c>
      <c r="NGZ76" s="70">
        <v>0</v>
      </c>
      <c r="NHA76" s="70">
        <v>0</v>
      </c>
      <c r="NHB76" s="70">
        <v>0</v>
      </c>
      <c r="NHC76" s="70">
        <v>0</v>
      </c>
      <c r="NHD76" s="70">
        <v>0</v>
      </c>
      <c r="NHE76" s="70">
        <v>0</v>
      </c>
      <c r="NHF76" s="70">
        <v>0</v>
      </c>
      <c r="NHG76" s="70">
        <v>0</v>
      </c>
      <c r="NHH76" s="70">
        <v>0</v>
      </c>
      <c r="NHI76" s="70">
        <v>0</v>
      </c>
      <c r="NHJ76" s="70">
        <v>0</v>
      </c>
      <c r="NHK76" s="70">
        <v>0</v>
      </c>
      <c r="NHL76" s="70">
        <v>0</v>
      </c>
      <c r="NHM76" s="70">
        <v>0</v>
      </c>
      <c r="NHN76" s="70">
        <v>0</v>
      </c>
      <c r="NHO76" s="70">
        <v>0</v>
      </c>
      <c r="NHP76" s="70">
        <v>0</v>
      </c>
      <c r="NHQ76" s="70">
        <v>0</v>
      </c>
      <c r="NHR76" s="70">
        <v>0</v>
      </c>
      <c r="NHS76" s="70">
        <v>0</v>
      </c>
      <c r="NHT76" s="70">
        <v>0</v>
      </c>
      <c r="NHU76" s="70">
        <v>0</v>
      </c>
      <c r="NHV76" s="70">
        <v>0</v>
      </c>
      <c r="NHW76" s="70">
        <v>0</v>
      </c>
      <c r="NHX76" s="70">
        <v>0</v>
      </c>
      <c r="NHY76" s="70">
        <v>0</v>
      </c>
      <c r="NHZ76" s="70">
        <v>0</v>
      </c>
      <c r="NIA76" s="70">
        <v>0</v>
      </c>
      <c r="NIB76" s="70">
        <v>0</v>
      </c>
      <c r="NIC76" s="70">
        <v>0</v>
      </c>
      <c r="NID76" s="70">
        <v>0</v>
      </c>
      <c r="NIE76" s="70">
        <v>0</v>
      </c>
      <c r="NIF76" s="70">
        <v>0</v>
      </c>
      <c r="NIG76" s="70">
        <v>0</v>
      </c>
      <c r="NIH76" s="70">
        <v>0</v>
      </c>
      <c r="NII76" s="70">
        <v>0</v>
      </c>
      <c r="NIJ76" s="70">
        <v>0</v>
      </c>
      <c r="NIK76" s="70">
        <v>0</v>
      </c>
      <c r="NIL76" s="70">
        <v>0</v>
      </c>
      <c r="NIM76" s="70">
        <v>0</v>
      </c>
      <c r="NIN76" s="70">
        <v>0</v>
      </c>
      <c r="NIO76" s="70">
        <v>0</v>
      </c>
      <c r="NIP76" s="70">
        <v>0</v>
      </c>
      <c r="NIQ76" s="70">
        <v>0</v>
      </c>
      <c r="NIR76" s="70">
        <v>0</v>
      </c>
      <c r="NIS76" s="70">
        <v>0</v>
      </c>
      <c r="NIT76" s="70">
        <v>0</v>
      </c>
      <c r="NIU76" s="70">
        <v>0</v>
      </c>
      <c r="NIV76" s="70">
        <v>0</v>
      </c>
      <c r="NIW76" s="70">
        <v>0</v>
      </c>
      <c r="NIX76" s="70">
        <v>0</v>
      </c>
      <c r="NIY76" s="70">
        <v>0</v>
      </c>
      <c r="NIZ76" s="70">
        <v>0</v>
      </c>
      <c r="NJA76" s="70">
        <v>0</v>
      </c>
      <c r="NJB76" s="70">
        <v>0</v>
      </c>
      <c r="NJC76" s="70">
        <v>0</v>
      </c>
      <c r="NJD76" s="70">
        <v>0</v>
      </c>
      <c r="NJE76" s="70">
        <v>0</v>
      </c>
      <c r="NJF76" s="70">
        <v>0</v>
      </c>
      <c r="NJG76" s="70">
        <v>0</v>
      </c>
      <c r="NJH76" s="70">
        <v>0</v>
      </c>
      <c r="NJI76" s="70">
        <v>0</v>
      </c>
      <c r="NJJ76" s="70">
        <v>0</v>
      </c>
      <c r="NJK76" s="70">
        <v>0</v>
      </c>
      <c r="NJL76" s="70">
        <v>0</v>
      </c>
      <c r="NJM76" s="70">
        <v>0</v>
      </c>
      <c r="NJN76" s="70">
        <v>0</v>
      </c>
      <c r="NJO76" s="70">
        <v>0</v>
      </c>
      <c r="NJP76" s="70">
        <v>0</v>
      </c>
      <c r="NJQ76" s="70">
        <v>0</v>
      </c>
      <c r="NJR76" s="70">
        <v>0</v>
      </c>
      <c r="NJS76" s="70">
        <v>0</v>
      </c>
      <c r="NJT76" s="70">
        <v>0</v>
      </c>
      <c r="NJU76" s="70">
        <v>0</v>
      </c>
      <c r="NJV76" s="70">
        <v>0</v>
      </c>
      <c r="NJW76" s="70">
        <v>0</v>
      </c>
      <c r="NJX76" s="70">
        <v>0</v>
      </c>
      <c r="NJY76" s="70">
        <v>0</v>
      </c>
      <c r="NJZ76" s="70">
        <v>0</v>
      </c>
      <c r="NKA76" s="70">
        <v>0</v>
      </c>
      <c r="NKB76" s="70">
        <v>0</v>
      </c>
      <c r="NKC76" s="70">
        <v>0</v>
      </c>
      <c r="NKD76" s="70">
        <v>0</v>
      </c>
      <c r="NKE76" s="70">
        <v>0</v>
      </c>
      <c r="NKF76" s="70">
        <v>0</v>
      </c>
      <c r="NKG76" s="70">
        <v>0</v>
      </c>
      <c r="NKH76" s="70">
        <v>0</v>
      </c>
      <c r="NKI76" s="70">
        <v>0</v>
      </c>
      <c r="NKJ76" s="70">
        <v>0</v>
      </c>
      <c r="NKK76" s="70">
        <v>0</v>
      </c>
      <c r="NKL76" s="70">
        <v>0</v>
      </c>
      <c r="NKM76" s="70">
        <v>0</v>
      </c>
      <c r="NKN76" s="70">
        <v>0</v>
      </c>
      <c r="NKO76" s="70">
        <v>0</v>
      </c>
      <c r="NKP76" s="70">
        <v>0</v>
      </c>
      <c r="NKQ76" s="70">
        <v>0</v>
      </c>
      <c r="NKR76" s="70">
        <v>0</v>
      </c>
      <c r="NKS76" s="70">
        <v>0</v>
      </c>
      <c r="NKT76" s="70">
        <v>0</v>
      </c>
      <c r="NKU76" s="70">
        <v>0</v>
      </c>
      <c r="NKV76" s="70">
        <v>0</v>
      </c>
      <c r="NKW76" s="70">
        <v>0</v>
      </c>
      <c r="NKX76" s="70">
        <v>0</v>
      </c>
      <c r="NKY76" s="70">
        <v>0</v>
      </c>
      <c r="NKZ76" s="70">
        <v>0</v>
      </c>
      <c r="NLA76" s="70">
        <v>0</v>
      </c>
      <c r="NLB76" s="70">
        <v>0</v>
      </c>
      <c r="NLC76" s="70">
        <v>0</v>
      </c>
      <c r="NLD76" s="70">
        <v>0</v>
      </c>
      <c r="NLE76" s="70">
        <v>0</v>
      </c>
      <c r="NLF76" s="70">
        <v>0</v>
      </c>
      <c r="NLG76" s="70">
        <v>0</v>
      </c>
      <c r="NLH76" s="70">
        <v>0</v>
      </c>
      <c r="NLI76" s="70">
        <v>0</v>
      </c>
      <c r="NLJ76" s="70">
        <v>0</v>
      </c>
      <c r="NLK76" s="70">
        <v>0</v>
      </c>
      <c r="NLL76" s="70">
        <v>0</v>
      </c>
      <c r="NLM76" s="70">
        <v>0</v>
      </c>
      <c r="NLN76" s="70">
        <v>0</v>
      </c>
      <c r="NLO76" s="70">
        <v>0</v>
      </c>
      <c r="NLP76" s="70">
        <v>0</v>
      </c>
      <c r="NLQ76" s="70">
        <v>0</v>
      </c>
      <c r="NLR76" s="70">
        <v>0</v>
      </c>
      <c r="NLS76" s="70">
        <v>0</v>
      </c>
      <c r="NLT76" s="70">
        <v>0</v>
      </c>
      <c r="NLU76" s="70">
        <v>0</v>
      </c>
      <c r="NLV76" s="70">
        <v>0</v>
      </c>
      <c r="NLW76" s="70">
        <v>0</v>
      </c>
      <c r="NLX76" s="70">
        <v>0</v>
      </c>
      <c r="NLY76" s="70">
        <v>0</v>
      </c>
      <c r="NLZ76" s="70">
        <v>0</v>
      </c>
      <c r="NMA76" s="70">
        <v>0</v>
      </c>
      <c r="NMB76" s="70">
        <v>0</v>
      </c>
      <c r="NMC76" s="70">
        <v>0</v>
      </c>
      <c r="NMD76" s="70">
        <v>0</v>
      </c>
      <c r="NME76" s="70">
        <v>0</v>
      </c>
      <c r="NMF76" s="70">
        <v>0</v>
      </c>
      <c r="NMG76" s="70">
        <v>0</v>
      </c>
      <c r="NMH76" s="70">
        <v>0</v>
      </c>
      <c r="NMI76" s="70">
        <v>0</v>
      </c>
      <c r="NMJ76" s="70">
        <v>0</v>
      </c>
      <c r="NMK76" s="70">
        <v>0</v>
      </c>
      <c r="NML76" s="70">
        <v>0</v>
      </c>
      <c r="NMM76" s="70">
        <v>0</v>
      </c>
      <c r="NMN76" s="70">
        <v>0</v>
      </c>
      <c r="NMO76" s="70">
        <v>0</v>
      </c>
      <c r="NMP76" s="70">
        <v>0</v>
      </c>
      <c r="NMQ76" s="70">
        <v>0</v>
      </c>
      <c r="NMR76" s="70">
        <v>0</v>
      </c>
      <c r="NMS76" s="70">
        <v>0</v>
      </c>
      <c r="NMT76" s="70">
        <v>0</v>
      </c>
      <c r="NMU76" s="70">
        <v>0</v>
      </c>
      <c r="NMV76" s="70">
        <v>0</v>
      </c>
      <c r="NMW76" s="70">
        <v>0</v>
      </c>
      <c r="NMX76" s="70">
        <v>0</v>
      </c>
      <c r="NMY76" s="70">
        <v>0</v>
      </c>
      <c r="NMZ76" s="70">
        <v>0</v>
      </c>
      <c r="NNA76" s="70">
        <v>0</v>
      </c>
      <c r="NNB76" s="70">
        <v>0</v>
      </c>
      <c r="NNC76" s="70">
        <v>0</v>
      </c>
      <c r="NND76" s="70">
        <v>0</v>
      </c>
      <c r="NNE76" s="70">
        <v>0</v>
      </c>
      <c r="NNF76" s="70">
        <v>0</v>
      </c>
      <c r="NNG76" s="70">
        <v>0</v>
      </c>
      <c r="NNH76" s="70">
        <v>0</v>
      </c>
      <c r="NNI76" s="70">
        <v>0</v>
      </c>
      <c r="NNJ76" s="70">
        <v>0</v>
      </c>
      <c r="NNK76" s="70">
        <v>0</v>
      </c>
      <c r="NNL76" s="70">
        <v>0</v>
      </c>
      <c r="NNM76" s="70">
        <v>0</v>
      </c>
      <c r="NNN76" s="70">
        <v>0</v>
      </c>
      <c r="NNO76" s="70">
        <v>0</v>
      </c>
      <c r="NNP76" s="70">
        <v>0</v>
      </c>
      <c r="NNQ76" s="70">
        <v>0</v>
      </c>
      <c r="NNR76" s="70">
        <v>0</v>
      </c>
      <c r="NNS76" s="70">
        <v>0</v>
      </c>
      <c r="NNT76" s="70">
        <v>0</v>
      </c>
      <c r="NNU76" s="70">
        <v>0</v>
      </c>
      <c r="NNV76" s="70">
        <v>0</v>
      </c>
      <c r="NNW76" s="70">
        <v>0</v>
      </c>
      <c r="NNX76" s="70">
        <v>0</v>
      </c>
      <c r="NNY76" s="70">
        <v>0</v>
      </c>
      <c r="NNZ76" s="70">
        <v>0</v>
      </c>
      <c r="NOA76" s="70">
        <v>0</v>
      </c>
      <c r="NOB76" s="70">
        <v>0</v>
      </c>
      <c r="NOC76" s="70">
        <v>0</v>
      </c>
      <c r="NOD76" s="70">
        <v>0</v>
      </c>
      <c r="NOE76" s="70">
        <v>0</v>
      </c>
      <c r="NOF76" s="70">
        <v>0</v>
      </c>
      <c r="NOG76" s="70">
        <v>0</v>
      </c>
      <c r="NOH76" s="70">
        <v>0</v>
      </c>
      <c r="NOI76" s="70">
        <v>0</v>
      </c>
      <c r="NOJ76" s="70">
        <v>0</v>
      </c>
      <c r="NOK76" s="70">
        <v>0</v>
      </c>
      <c r="NOL76" s="70">
        <v>0</v>
      </c>
      <c r="NOM76" s="70">
        <v>0</v>
      </c>
      <c r="NON76" s="70">
        <v>0</v>
      </c>
      <c r="NOO76" s="70">
        <v>0</v>
      </c>
      <c r="NOP76" s="70">
        <v>0</v>
      </c>
      <c r="NOQ76" s="70">
        <v>0</v>
      </c>
      <c r="NOR76" s="70">
        <v>0</v>
      </c>
      <c r="NOS76" s="70">
        <v>0</v>
      </c>
      <c r="NOT76" s="70">
        <v>0</v>
      </c>
      <c r="NOU76" s="70">
        <v>0</v>
      </c>
      <c r="NOV76" s="70">
        <v>0</v>
      </c>
      <c r="NOW76" s="70">
        <v>0</v>
      </c>
      <c r="NOX76" s="70">
        <v>0</v>
      </c>
      <c r="NOY76" s="70">
        <v>0</v>
      </c>
      <c r="NOZ76" s="70">
        <v>0</v>
      </c>
      <c r="NPA76" s="70">
        <v>0</v>
      </c>
      <c r="NPB76" s="70">
        <v>0</v>
      </c>
      <c r="NPC76" s="70">
        <v>0</v>
      </c>
      <c r="NPD76" s="70">
        <v>0</v>
      </c>
      <c r="NPE76" s="70">
        <v>0</v>
      </c>
      <c r="NPF76" s="70">
        <v>0</v>
      </c>
      <c r="NPG76" s="70">
        <v>0</v>
      </c>
      <c r="NPH76" s="70">
        <v>0</v>
      </c>
      <c r="NPI76" s="70">
        <v>0</v>
      </c>
      <c r="NPJ76" s="70">
        <v>0</v>
      </c>
      <c r="NPK76" s="70">
        <v>0</v>
      </c>
      <c r="NPL76" s="70">
        <v>0</v>
      </c>
      <c r="NPM76" s="70">
        <v>0</v>
      </c>
      <c r="NPN76" s="70">
        <v>0</v>
      </c>
      <c r="NPO76" s="70">
        <v>0</v>
      </c>
      <c r="NPP76" s="70">
        <v>0</v>
      </c>
      <c r="NPQ76" s="70">
        <v>0</v>
      </c>
      <c r="NPR76" s="70">
        <v>0</v>
      </c>
      <c r="NPS76" s="70">
        <v>0</v>
      </c>
      <c r="NPT76" s="70">
        <v>0</v>
      </c>
      <c r="NPU76" s="70">
        <v>0</v>
      </c>
      <c r="NPV76" s="70">
        <v>0</v>
      </c>
      <c r="NPW76" s="70">
        <v>0</v>
      </c>
      <c r="NPX76" s="70">
        <v>0</v>
      </c>
      <c r="NPY76" s="70">
        <v>0</v>
      </c>
      <c r="NPZ76" s="70">
        <v>0</v>
      </c>
      <c r="NQA76" s="70">
        <v>0</v>
      </c>
      <c r="NQB76" s="70">
        <v>0</v>
      </c>
      <c r="NQC76" s="70">
        <v>0</v>
      </c>
      <c r="NQD76" s="70">
        <v>0</v>
      </c>
      <c r="NQE76" s="70">
        <v>0</v>
      </c>
      <c r="NQF76" s="70">
        <v>0</v>
      </c>
      <c r="NQG76" s="70">
        <v>0</v>
      </c>
      <c r="NQH76" s="70">
        <v>0</v>
      </c>
      <c r="NQI76" s="70">
        <v>0</v>
      </c>
      <c r="NQJ76" s="70">
        <v>0</v>
      </c>
      <c r="NQK76" s="70">
        <v>0</v>
      </c>
      <c r="NQL76" s="70">
        <v>0</v>
      </c>
      <c r="NQM76" s="70">
        <v>0</v>
      </c>
      <c r="NQN76" s="70">
        <v>0</v>
      </c>
      <c r="NQO76" s="70">
        <v>0</v>
      </c>
      <c r="NQP76" s="70">
        <v>0</v>
      </c>
      <c r="NQQ76" s="70">
        <v>0</v>
      </c>
      <c r="NQR76" s="70">
        <v>0</v>
      </c>
      <c r="NQS76" s="70">
        <v>0</v>
      </c>
      <c r="NQT76" s="70">
        <v>0</v>
      </c>
      <c r="NQU76" s="70">
        <v>0</v>
      </c>
      <c r="NQV76" s="70">
        <v>0</v>
      </c>
      <c r="NQW76" s="70">
        <v>0</v>
      </c>
      <c r="NQX76" s="70">
        <v>0</v>
      </c>
      <c r="NQY76" s="70">
        <v>0</v>
      </c>
      <c r="NQZ76" s="70">
        <v>0</v>
      </c>
      <c r="NRA76" s="70">
        <v>0</v>
      </c>
      <c r="NRB76" s="70">
        <v>0</v>
      </c>
      <c r="NRC76" s="70">
        <v>0</v>
      </c>
      <c r="NRD76" s="70">
        <v>0</v>
      </c>
      <c r="NRE76" s="70">
        <v>0</v>
      </c>
      <c r="NRF76" s="70">
        <v>0</v>
      </c>
      <c r="NRG76" s="70">
        <v>0</v>
      </c>
      <c r="NRH76" s="70">
        <v>0</v>
      </c>
      <c r="NRI76" s="70">
        <v>0</v>
      </c>
      <c r="NRJ76" s="70">
        <v>0</v>
      </c>
      <c r="NRK76" s="70">
        <v>0</v>
      </c>
      <c r="NRL76" s="70">
        <v>0</v>
      </c>
      <c r="NRM76" s="70">
        <v>0</v>
      </c>
      <c r="NRN76" s="70">
        <v>0</v>
      </c>
      <c r="NRO76" s="70">
        <v>0</v>
      </c>
      <c r="NRP76" s="70">
        <v>0</v>
      </c>
      <c r="NRQ76" s="70">
        <v>0</v>
      </c>
      <c r="NRR76" s="70">
        <v>0</v>
      </c>
      <c r="NRS76" s="70">
        <v>0</v>
      </c>
      <c r="NRT76" s="70">
        <v>0</v>
      </c>
      <c r="NRU76" s="70">
        <v>0</v>
      </c>
      <c r="NRV76" s="70">
        <v>0</v>
      </c>
      <c r="NRW76" s="70">
        <v>0</v>
      </c>
      <c r="NRX76" s="70">
        <v>0</v>
      </c>
      <c r="NRY76" s="70">
        <v>0</v>
      </c>
      <c r="NRZ76" s="70">
        <v>0</v>
      </c>
      <c r="NSA76" s="70">
        <v>0</v>
      </c>
      <c r="NSB76" s="70">
        <v>0</v>
      </c>
      <c r="NSC76" s="70">
        <v>0</v>
      </c>
      <c r="NSD76" s="70">
        <v>0</v>
      </c>
      <c r="NSE76" s="70">
        <v>0</v>
      </c>
      <c r="NSF76" s="70">
        <v>0</v>
      </c>
      <c r="NSG76" s="70">
        <v>0</v>
      </c>
      <c r="NSH76" s="70">
        <v>0</v>
      </c>
      <c r="NSI76" s="70">
        <v>0</v>
      </c>
      <c r="NSJ76" s="70">
        <v>0</v>
      </c>
      <c r="NSK76" s="70">
        <v>0</v>
      </c>
      <c r="NSL76" s="70">
        <v>0</v>
      </c>
      <c r="NSM76" s="70">
        <v>0</v>
      </c>
      <c r="NSN76" s="70">
        <v>0</v>
      </c>
      <c r="NSO76" s="70">
        <v>0</v>
      </c>
      <c r="NSP76" s="70">
        <v>0</v>
      </c>
      <c r="NSQ76" s="70">
        <v>0</v>
      </c>
      <c r="NSR76" s="70">
        <v>0</v>
      </c>
      <c r="NSS76" s="70">
        <v>0</v>
      </c>
      <c r="NST76" s="70">
        <v>0</v>
      </c>
      <c r="NSU76" s="70">
        <v>0</v>
      </c>
      <c r="NSV76" s="70">
        <v>0</v>
      </c>
      <c r="NSW76" s="70">
        <v>0</v>
      </c>
      <c r="NSX76" s="70">
        <v>0</v>
      </c>
      <c r="NSY76" s="70">
        <v>0</v>
      </c>
      <c r="NSZ76" s="70">
        <v>0</v>
      </c>
      <c r="NTA76" s="70">
        <v>0</v>
      </c>
      <c r="NTB76" s="70">
        <v>0</v>
      </c>
      <c r="NTC76" s="70">
        <v>0</v>
      </c>
      <c r="NTD76" s="70">
        <v>0</v>
      </c>
      <c r="NTE76" s="70">
        <v>0</v>
      </c>
      <c r="NTF76" s="70">
        <v>0</v>
      </c>
      <c r="NTG76" s="70">
        <v>0</v>
      </c>
      <c r="NTH76" s="70">
        <v>0</v>
      </c>
      <c r="NTI76" s="70">
        <v>0</v>
      </c>
      <c r="NTJ76" s="70">
        <v>0</v>
      </c>
      <c r="NTK76" s="70">
        <v>0</v>
      </c>
      <c r="NTL76" s="70">
        <v>0</v>
      </c>
      <c r="NTM76" s="70">
        <v>0</v>
      </c>
      <c r="NTN76" s="70">
        <v>0</v>
      </c>
      <c r="NTO76" s="70">
        <v>0</v>
      </c>
      <c r="NTP76" s="70">
        <v>0</v>
      </c>
      <c r="NTQ76" s="70">
        <v>0</v>
      </c>
      <c r="NTR76" s="70">
        <v>0</v>
      </c>
      <c r="NTS76" s="70">
        <v>0</v>
      </c>
      <c r="NTT76" s="70">
        <v>0</v>
      </c>
      <c r="NTU76" s="70">
        <v>0</v>
      </c>
      <c r="NTV76" s="70">
        <v>0</v>
      </c>
      <c r="NTW76" s="70">
        <v>0</v>
      </c>
      <c r="NTX76" s="70">
        <v>0</v>
      </c>
      <c r="NTY76" s="70">
        <v>0</v>
      </c>
      <c r="NTZ76" s="70">
        <v>0</v>
      </c>
      <c r="NUA76" s="70">
        <v>0</v>
      </c>
      <c r="NUB76" s="70">
        <v>0</v>
      </c>
      <c r="NUC76" s="70">
        <v>0</v>
      </c>
      <c r="NUD76" s="70">
        <v>0</v>
      </c>
      <c r="NUE76" s="70">
        <v>0</v>
      </c>
      <c r="NUF76" s="70">
        <v>0</v>
      </c>
      <c r="NUG76" s="70">
        <v>0</v>
      </c>
      <c r="NUH76" s="70">
        <v>0</v>
      </c>
      <c r="NUI76" s="70">
        <v>0</v>
      </c>
      <c r="NUJ76" s="70">
        <v>0</v>
      </c>
      <c r="NUK76" s="70">
        <v>0</v>
      </c>
      <c r="NUL76" s="70">
        <v>0</v>
      </c>
      <c r="NUM76" s="70">
        <v>0</v>
      </c>
      <c r="NUN76" s="70">
        <v>0</v>
      </c>
      <c r="NUO76" s="70">
        <v>0</v>
      </c>
      <c r="NUP76" s="70">
        <v>0</v>
      </c>
      <c r="NUQ76" s="70">
        <v>0</v>
      </c>
      <c r="NUR76" s="70">
        <v>0</v>
      </c>
      <c r="NUS76" s="70">
        <v>0</v>
      </c>
      <c r="NUT76" s="70">
        <v>0</v>
      </c>
      <c r="NUU76" s="70">
        <v>0</v>
      </c>
      <c r="NUV76" s="70">
        <v>0</v>
      </c>
      <c r="NUW76" s="70">
        <v>0</v>
      </c>
      <c r="NUX76" s="70">
        <v>0</v>
      </c>
      <c r="NUY76" s="70">
        <v>0</v>
      </c>
      <c r="NUZ76" s="70">
        <v>0</v>
      </c>
      <c r="NVA76" s="70">
        <v>0</v>
      </c>
      <c r="NVB76" s="70">
        <v>0</v>
      </c>
      <c r="NVC76" s="70">
        <v>0</v>
      </c>
      <c r="NVD76" s="70">
        <v>0</v>
      </c>
      <c r="NVE76" s="70">
        <v>0</v>
      </c>
      <c r="NVF76" s="70">
        <v>0</v>
      </c>
      <c r="NVG76" s="70">
        <v>0</v>
      </c>
      <c r="NVH76" s="70">
        <v>0</v>
      </c>
      <c r="NVI76" s="70">
        <v>0</v>
      </c>
      <c r="NVJ76" s="70">
        <v>0</v>
      </c>
      <c r="NVK76" s="70">
        <v>0</v>
      </c>
      <c r="NVL76" s="70">
        <v>0</v>
      </c>
      <c r="NVM76" s="70">
        <v>0</v>
      </c>
      <c r="NVN76" s="70">
        <v>0</v>
      </c>
      <c r="NVO76" s="70">
        <v>0</v>
      </c>
      <c r="NVP76" s="70">
        <v>0</v>
      </c>
      <c r="NVQ76" s="70">
        <v>0</v>
      </c>
      <c r="NVR76" s="70">
        <v>0</v>
      </c>
      <c r="NVS76" s="70">
        <v>0</v>
      </c>
      <c r="NVT76" s="70">
        <v>0</v>
      </c>
      <c r="NVU76" s="70">
        <v>0</v>
      </c>
      <c r="NVV76" s="70">
        <v>0</v>
      </c>
      <c r="NVW76" s="70">
        <v>0</v>
      </c>
      <c r="NVX76" s="70">
        <v>0</v>
      </c>
      <c r="NVY76" s="70">
        <v>0</v>
      </c>
      <c r="NVZ76" s="70">
        <v>0</v>
      </c>
      <c r="NWA76" s="70">
        <v>0</v>
      </c>
      <c r="NWB76" s="70">
        <v>0</v>
      </c>
      <c r="NWC76" s="70">
        <v>0</v>
      </c>
      <c r="NWD76" s="70">
        <v>0</v>
      </c>
      <c r="NWE76" s="70">
        <v>0</v>
      </c>
      <c r="NWF76" s="70">
        <v>0</v>
      </c>
      <c r="NWG76" s="70">
        <v>0</v>
      </c>
      <c r="NWH76" s="70">
        <v>0</v>
      </c>
      <c r="NWI76" s="70">
        <v>0</v>
      </c>
      <c r="NWJ76" s="70">
        <v>0</v>
      </c>
      <c r="NWK76" s="70">
        <v>0</v>
      </c>
      <c r="NWL76" s="70">
        <v>0</v>
      </c>
      <c r="NWM76" s="70">
        <v>0</v>
      </c>
      <c r="NWN76" s="70">
        <v>0</v>
      </c>
      <c r="NWO76" s="70">
        <v>0</v>
      </c>
      <c r="NWP76" s="70">
        <v>0</v>
      </c>
      <c r="NWQ76" s="70">
        <v>0</v>
      </c>
      <c r="NWR76" s="70">
        <v>0</v>
      </c>
      <c r="NWS76" s="70">
        <v>0</v>
      </c>
      <c r="NWT76" s="70">
        <v>0</v>
      </c>
      <c r="NWU76" s="70">
        <v>0</v>
      </c>
      <c r="NWV76" s="70">
        <v>0</v>
      </c>
      <c r="NWW76" s="70">
        <v>0</v>
      </c>
      <c r="NWX76" s="70">
        <v>0</v>
      </c>
      <c r="NWY76" s="70">
        <v>0</v>
      </c>
      <c r="NWZ76" s="70">
        <v>0</v>
      </c>
      <c r="NXA76" s="70">
        <v>0</v>
      </c>
      <c r="NXB76" s="70">
        <v>0</v>
      </c>
      <c r="NXC76" s="70">
        <v>0</v>
      </c>
      <c r="NXD76" s="70">
        <v>0</v>
      </c>
      <c r="NXE76" s="70">
        <v>0</v>
      </c>
      <c r="NXF76" s="70">
        <v>0</v>
      </c>
      <c r="NXG76" s="70">
        <v>0</v>
      </c>
      <c r="NXH76" s="70">
        <v>0</v>
      </c>
      <c r="NXI76" s="70">
        <v>0</v>
      </c>
      <c r="NXJ76" s="70">
        <v>0</v>
      </c>
      <c r="NXK76" s="70">
        <v>0</v>
      </c>
      <c r="NXL76" s="70">
        <v>0</v>
      </c>
      <c r="NXM76" s="70">
        <v>0</v>
      </c>
      <c r="NXN76" s="70">
        <v>0</v>
      </c>
      <c r="NXO76" s="70">
        <v>0</v>
      </c>
      <c r="NXP76" s="70">
        <v>0</v>
      </c>
      <c r="NXQ76" s="70">
        <v>0</v>
      </c>
      <c r="NXR76" s="70">
        <v>0</v>
      </c>
      <c r="NXS76" s="70">
        <v>0</v>
      </c>
      <c r="NXT76" s="70">
        <v>0</v>
      </c>
      <c r="NXU76" s="70">
        <v>0</v>
      </c>
      <c r="NXV76" s="70">
        <v>0</v>
      </c>
      <c r="NXW76" s="70">
        <v>0</v>
      </c>
      <c r="NXX76" s="70">
        <v>0</v>
      </c>
      <c r="NXY76" s="70">
        <v>0</v>
      </c>
      <c r="NXZ76" s="70">
        <v>0</v>
      </c>
      <c r="NYA76" s="70">
        <v>0</v>
      </c>
      <c r="NYB76" s="70">
        <v>0</v>
      </c>
      <c r="NYC76" s="70">
        <v>0</v>
      </c>
      <c r="NYD76" s="70">
        <v>0</v>
      </c>
      <c r="NYE76" s="70">
        <v>0</v>
      </c>
      <c r="NYF76" s="70">
        <v>0</v>
      </c>
      <c r="NYG76" s="70">
        <v>0</v>
      </c>
      <c r="NYH76" s="70">
        <v>0</v>
      </c>
      <c r="NYI76" s="70">
        <v>0</v>
      </c>
      <c r="NYJ76" s="70">
        <v>0</v>
      </c>
      <c r="NYK76" s="70">
        <v>0</v>
      </c>
      <c r="NYL76" s="70">
        <v>0</v>
      </c>
      <c r="NYM76" s="70">
        <v>0</v>
      </c>
      <c r="NYN76" s="70">
        <v>0</v>
      </c>
      <c r="NYO76" s="70">
        <v>0</v>
      </c>
      <c r="NYP76" s="70">
        <v>0</v>
      </c>
      <c r="NYQ76" s="70">
        <v>0</v>
      </c>
      <c r="NYR76" s="70">
        <v>0</v>
      </c>
      <c r="NYS76" s="70">
        <v>0</v>
      </c>
      <c r="NYT76" s="70">
        <v>0</v>
      </c>
      <c r="NYU76" s="70">
        <v>0</v>
      </c>
      <c r="NYV76" s="70">
        <v>0</v>
      </c>
      <c r="NYW76" s="70">
        <v>0</v>
      </c>
      <c r="NYX76" s="70">
        <v>0</v>
      </c>
      <c r="NYY76" s="70">
        <v>0</v>
      </c>
      <c r="NYZ76" s="70">
        <v>0</v>
      </c>
      <c r="NZA76" s="70">
        <v>0</v>
      </c>
      <c r="NZB76" s="70">
        <v>0</v>
      </c>
      <c r="NZC76" s="70">
        <v>0</v>
      </c>
      <c r="NZD76" s="70">
        <v>0</v>
      </c>
      <c r="NZE76" s="70">
        <v>0</v>
      </c>
      <c r="NZF76" s="70">
        <v>0</v>
      </c>
      <c r="NZG76" s="70">
        <v>0</v>
      </c>
      <c r="NZH76" s="70">
        <v>0</v>
      </c>
      <c r="NZI76" s="70">
        <v>0</v>
      </c>
      <c r="NZJ76" s="70">
        <v>0</v>
      </c>
      <c r="NZK76" s="70">
        <v>0</v>
      </c>
      <c r="NZL76" s="70">
        <v>0</v>
      </c>
      <c r="NZM76" s="70">
        <v>0</v>
      </c>
      <c r="NZN76" s="70">
        <v>0</v>
      </c>
      <c r="NZO76" s="70">
        <v>0</v>
      </c>
      <c r="NZP76" s="70">
        <v>0</v>
      </c>
      <c r="NZQ76" s="70">
        <v>0</v>
      </c>
      <c r="NZR76" s="70">
        <v>0</v>
      </c>
      <c r="NZS76" s="70">
        <v>0</v>
      </c>
      <c r="NZT76" s="70">
        <v>0</v>
      </c>
      <c r="NZU76" s="70">
        <v>0</v>
      </c>
      <c r="NZV76" s="70">
        <v>0</v>
      </c>
      <c r="NZW76" s="70">
        <v>0</v>
      </c>
      <c r="NZX76" s="70">
        <v>0</v>
      </c>
      <c r="NZY76" s="70">
        <v>0</v>
      </c>
      <c r="NZZ76" s="70">
        <v>0</v>
      </c>
      <c r="OAA76" s="70">
        <v>0</v>
      </c>
      <c r="OAB76" s="70">
        <v>0</v>
      </c>
      <c r="OAC76" s="70">
        <v>0</v>
      </c>
      <c r="OAD76" s="70">
        <v>0</v>
      </c>
      <c r="OAE76" s="70">
        <v>0</v>
      </c>
      <c r="OAF76" s="70">
        <v>0</v>
      </c>
      <c r="OAG76" s="70">
        <v>0</v>
      </c>
      <c r="OAH76" s="70">
        <v>0</v>
      </c>
      <c r="OAI76" s="70">
        <v>0</v>
      </c>
      <c r="OAJ76" s="70">
        <v>0</v>
      </c>
      <c r="OAK76" s="70">
        <v>0</v>
      </c>
      <c r="OAL76" s="70">
        <v>0</v>
      </c>
      <c r="OAM76" s="70">
        <v>0</v>
      </c>
      <c r="OAN76" s="70">
        <v>0</v>
      </c>
      <c r="OAO76" s="70">
        <v>0</v>
      </c>
      <c r="OAP76" s="70">
        <v>0</v>
      </c>
      <c r="OAQ76" s="70">
        <v>0</v>
      </c>
      <c r="OAR76" s="70">
        <v>0</v>
      </c>
      <c r="OAS76" s="70">
        <v>0</v>
      </c>
      <c r="OAT76" s="70">
        <v>0</v>
      </c>
      <c r="OAU76" s="70">
        <v>0</v>
      </c>
      <c r="OAV76" s="70">
        <v>0</v>
      </c>
      <c r="OAW76" s="70">
        <v>0</v>
      </c>
      <c r="OAX76" s="70">
        <v>0</v>
      </c>
      <c r="OAY76" s="70">
        <v>0</v>
      </c>
      <c r="OAZ76" s="70">
        <v>0</v>
      </c>
      <c r="OBA76" s="70">
        <v>0</v>
      </c>
      <c r="OBB76" s="70">
        <v>0</v>
      </c>
      <c r="OBC76" s="70">
        <v>0</v>
      </c>
      <c r="OBD76" s="70">
        <v>0</v>
      </c>
      <c r="OBE76" s="70">
        <v>0</v>
      </c>
      <c r="OBF76" s="70">
        <v>0</v>
      </c>
      <c r="OBG76" s="70">
        <v>0</v>
      </c>
      <c r="OBH76" s="70">
        <v>0</v>
      </c>
      <c r="OBI76" s="70">
        <v>0</v>
      </c>
      <c r="OBJ76" s="70">
        <v>0</v>
      </c>
      <c r="OBK76" s="70">
        <v>0</v>
      </c>
      <c r="OBL76" s="70">
        <v>0</v>
      </c>
      <c r="OBM76" s="70">
        <v>0</v>
      </c>
      <c r="OBN76" s="70">
        <v>0</v>
      </c>
      <c r="OBO76" s="70">
        <v>0</v>
      </c>
      <c r="OBP76" s="70">
        <v>0</v>
      </c>
      <c r="OBQ76" s="70">
        <v>0</v>
      </c>
      <c r="OBR76" s="70">
        <v>0</v>
      </c>
      <c r="OBS76" s="70">
        <v>0</v>
      </c>
      <c r="OBT76" s="70">
        <v>0</v>
      </c>
      <c r="OBU76" s="70">
        <v>0</v>
      </c>
      <c r="OBV76" s="70">
        <v>0</v>
      </c>
      <c r="OBW76" s="70">
        <v>0</v>
      </c>
      <c r="OBX76" s="70">
        <v>0</v>
      </c>
      <c r="OBY76" s="70">
        <v>0</v>
      </c>
      <c r="OBZ76" s="70">
        <v>0</v>
      </c>
      <c r="OCA76" s="70">
        <v>0</v>
      </c>
      <c r="OCB76" s="70">
        <v>0</v>
      </c>
      <c r="OCC76" s="70">
        <v>0</v>
      </c>
      <c r="OCD76" s="70">
        <v>0</v>
      </c>
      <c r="OCE76" s="70">
        <v>0</v>
      </c>
      <c r="OCF76" s="70">
        <v>0</v>
      </c>
      <c r="OCG76" s="70">
        <v>0</v>
      </c>
      <c r="OCH76" s="70">
        <v>0</v>
      </c>
      <c r="OCI76" s="70">
        <v>0</v>
      </c>
      <c r="OCJ76" s="70">
        <v>0</v>
      </c>
      <c r="OCK76" s="70">
        <v>0</v>
      </c>
      <c r="OCL76" s="70">
        <v>0</v>
      </c>
      <c r="OCM76" s="70">
        <v>0</v>
      </c>
      <c r="OCN76" s="70">
        <v>0</v>
      </c>
      <c r="OCO76" s="70">
        <v>0</v>
      </c>
      <c r="OCP76" s="70">
        <v>0</v>
      </c>
      <c r="OCQ76" s="70">
        <v>0</v>
      </c>
      <c r="OCR76" s="70">
        <v>0</v>
      </c>
      <c r="OCS76" s="70">
        <v>0</v>
      </c>
      <c r="OCT76" s="70">
        <v>0</v>
      </c>
      <c r="OCU76" s="70">
        <v>0</v>
      </c>
      <c r="OCV76" s="70">
        <v>0</v>
      </c>
      <c r="OCW76" s="70">
        <v>0</v>
      </c>
      <c r="OCX76" s="70">
        <v>0</v>
      </c>
      <c r="OCY76" s="70">
        <v>0</v>
      </c>
      <c r="OCZ76" s="70">
        <v>0</v>
      </c>
      <c r="ODA76" s="70">
        <v>0</v>
      </c>
      <c r="ODB76" s="70">
        <v>0</v>
      </c>
      <c r="ODC76" s="70">
        <v>0</v>
      </c>
      <c r="ODD76" s="70">
        <v>0</v>
      </c>
      <c r="ODE76" s="70">
        <v>0</v>
      </c>
      <c r="ODF76" s="70">
        <v>0</v>
      </c>
      <c r="ODG76" s="70">
        <v>0</v>
      </c>
      <c r="ODH76" s="70">
        <v>0</v>
      </c>
      <c r="ODI76" s="70">
        <v>0</v>
      </c>
      <c r="ODJ76" s="70">
        <v>0</v>
      </c>
      <c r="ODK76" s="70">
        <v>0</v>
      </c>
      <c r="ODL76" s="70">
        <v>0</v>
      </c>
      <c r="ODM76" s="70">
        <v>0</v>
      </c>
      <c r="ODN76" s="70">
        <v>0</v>
      </c>
      <c r="ODO76" s="70">
        <v>0</v>
      </c>
      <c r="ODP76" s="70">
        <v>0</v>
      </c>
      <c r="ODQ76" s="70">
        <v>0</v>
      </c>
      <c r="ODR76" s="70">
        <v>0</v>
      </c>
      <c r="ODS76" s="70">
        <v>0</v>
      </c>
      <c r="ODT76" s="70">
        <v>0</v>
      </c>
      <c r="ODU76" s="70">
        <v>0</v>
      </c>
      <c r="ODV76" s="70">
        <v>0</v>
      </c>
      <c r="ODW76" s="70">
        <v>0</v>
      </c>
      <c r="ODX76" s="70">
        <v>0</v>
      </c>
      <c r="ODY76" s="70">
        <v>0</v>
      </c>
      <c r="ODZ76" s="70">
        <v>0</v>
      </c>
      <c r="OEA76" s="70">
        <v>0</v>
      </c>
      <c r="OEB76" s="70">
        <v>0</v>
      </c>
      <c r="OEC76" s="70">
        <v>0</v>
      </c>
      <c r="OED76" s="70">
        <v>0</v>
      </c>
      <c r="OEE76" s="70">
        <v>0</v>
      </c>
      <c r="OEF76" s="70">
        <v>0</v>
      </c>
      <c r="OEG76" s="70">
        <v>0</v>
      </c>
      <c r="OEH76" s="70">
        <v>0</v>
      </c>
      <c r="OEI76" s="70">
        <v>0</v>
      </c>
      <c r="OEJ76" s="70">
        <v>0</v>
      </c>
      <c r="OEK76" s="70">
        <v>0</v>
      </c>
      <c r="OEL76" s="70">
        <v>0</v>
      </c>
      <c r="OEM76" s="70">
        <v>0</v>
      </c>
      <c r="OEN76" s="70">
        <v>0</v>
      </c>
      <c r="OEO76" s="70">
        <v>0</v>
      </c>
      <c r="OEP76" s="70">
        <v>0</v>
      </c>
      <c r="OEQ76" s="70">
        <v>0</v>
      </c>
      <c r="OER76" s="70">
        <v>0</v>
      </c>
      <c r="OES76" s="70">
        <v>0</v>
      </c>
      <c r="OET76" s="70">
        <v>0</v>
      </c>
      <c r="OEU76" s="70">
        <v>0</v>
      </c>
      <c r="OEV76" s="70">
        <v>0</v>
      </c>
      <c r="OEW76" s="70">
        <v>0</v>
      </c>
      <c r="OEX76" s="70">
        <v>0</v>
      </c>
      <c r="OEY76" s="70">
        <v>0</v>
      </c>
      <c r="OEZ76" s="70">
        <v>0</v>
      </c>
      <c r="OFA76" s="70">
        <v>0</v>
      </c>
      <c r="OFB76" s="70">
        <v>0</v>
      </c>
      <c r="OFC76" s="70">
        <v>0</v>
      </c>
      <c r="OFD76" s="70">
        <v>0</v>
      </c>
      <c r="OFE76" s="70">
        <v>0</v>
      </c>
      <c r="OFF76" s="70">
        <v>0</v>
      </c>
      <c r="OFG76" s="70">
        <v>0</v>
      </c>
      <c r="OFH76" s="70">
        <v>0</v>
      </c>
      <c r="OFI76" s="70">
        <v>0</v>
      </c>
      <c r="OFJ76" s="70">
        <v>0</v>
      </c>
      <c r="OFK76" s="70">
        <v>0</v>
      </c>
      <c r="OFL76" s="70">
        <v>0</v>
      </c>
      <c r="OFM76" s="70">
        <v>0</v>
      </c>
      <c r="OFN76" s="70">
        <v>0</v>
      </c>
      <c r="OFO76" s="70">
        <v>0</v>
      </c>
      <c r="OFP76" s="70">
        <v>0</v>
      </c>
      <c r="OFQ76" s="70">
        <v>0</v>
      </c>
      <c r="OFR76" s="70">
        <v>0</v>
      </c>
      <c r="OFS76" s="70">
        <v>0</v>
      </c>
      <c r="OFT76" s="70">
        <v>0</v>
      </c>
      <c r="OFU76" s="70">
        <v>0</v>
      </c>
      <c r="OFV76" s="70">
        <v>0</v>
      </c>
      <c r="OFW76" s="70">
        <v>0</v>
      </c>
      <c r="OFX76" s="70">
        <v>0</v>
      </c>
      <c r="OFY76" s="70">
        <v>0</v>
      </c>
      <c r="OFZ76" s="70">
        <v>0</v>
      </c>
      <c r="OGA76" s="70">
        <v>0</v>
      </c>
      <c r="OGB76" s="70">
        <v>0</v>
      </c>
      <c r="OGC76" s="70">
        <v>0</v>
      </c>
      <c r="OGD76" s="70">
        <v>0</v>
      </c>
      <c r="OGE76" s="70">
        <v>0</v>
      </c>
      <c r="OGF76" s="70">
        <v>0</v>
      </c>
      <c r="OGG76" s="70">
        <v>0</v>
      </c>
      <c r="OGH76" s="70">
        <v>0</v>
      </c>
      <c r="OGI76" s="70">
        <v>0</v>
      </c>
      <c r="OGJ76" s="70">
        <v>0</v>
      </c>
      <c r="OGK76" s="70">
        <v>0</v>
      </c>
      <c r="OGL76" s="70">
        <v>0</v>
      </c>
      <c r="OGM76" s="70">
        <v>0</v>
      </c>
      <c r="OGN76" s="70">
        <v>0</v>
      </c>
      <c r="OGO76" s="70">
        <v>0</v>
      </c>
      <c r="OGP76" s="70">
        <v>0</v>
      </c>
      <c r="OGQ76" s="70">
        <v>0</v>
      </c>
      <c r="OGR76" s="70">
        <v>0</v>
      </c>
      <c r="OGS76" s="70">
        <v>0</v>
      </c>
      <c r="OGT76" s="70">
        <v>0</v>
      </c>
      <c r="OGU76" s="70">
        <v>0</v>
      </c>
      <c r="OGV76" s="70">
        <v>0</v>
      </c>
      <c r="OGW76" s="70">
        <v>0</v>
      </c>
      <c r="OGX76" s="70">
        <v>0</v>
      </c>
      <c r="OGY76" s="70">
        <v>0</v>
      </c>
      <c r="OGZ76" s="70">
        <v>0</v>
      </c>
      <c r="OHA76" s="70">
        <v>0</v>
      </c>
      <c r="OHB76" s="70">
        <v>0</v>
      </c>
      <c r="OHC76" s="70">
        <v>0</v>
      </c>
      <c r="OHD76" s="70">
        <v>0</v>
      </c>
      <c r="OHE76" s="70">
        <v>0</v>
      </c>
      <c r="OHF76" s="70">
        <v>0</v>
      </c>
      <c r="OHG76" s="70">
        <v>0</v>
      </c>
      <c r="OHH76" s="70">
        <v>0</v>
      </c>
      <c r="OHI76" s="70">
        <v>0</v>
      </c>
      <c r="OHJ76" s="70">
        <v>0</v>
      </c>
      <c r="OHK76" s="70">
        <v>0</v>
      </c>
      <c r="OHL76" s="70">
        <v>0</v>
      </c>
      <c r="OHM76" s="70">
        <v>0</v>
      </c>
      <c r="OHN76" s="70">
        <v>0</v>
      </c>
      <c r="OHO76" s="70">
        <v>0</v>
      </c>
      <c r="OHP76" s="70">
        <v>0</v>
      </c>
      <c r="OHQ76" s="70">
        <v>0</v>
      </c>
      <c r="OHR76" s="70">
        <v>0</v>
      </c>
      <c r="OHS76" s="70">
        <v>0</v>
      </c>
      <c r="OHT76" s="70">
        <v>0</v>
      </c>
      <c r="OHU76" s="70">
        <v>0</v>
      </c>
      <c r="OHV76" s="70">
        <v>0</v>
      </c>
      <c r="OHW76" s="70">
        <v>0</v>
      </c>
      <c r="OHX76" s="70">
        <v>0</v>
      </c>
      <c r="OHY76" s="70">
        <v>0</v>
      </c>
      <c r="OHZ76" s="70">
        <v>0</v>
      </c>
      <c r="OIA76" s="70">
        <v>0</v>
      </c>
      <c r="OIB76" s="70">
        <v>0</v>
      </c>
      <c r="OIC76" s="70">
        <v>0</v>
      </c>
      <c r="OID76" s="70">
        <v>0</v>
      </c>
      <c r="OIE76" s="70">
        <v>0</v>
      </c>
      <c r="OIF76" s="70">
        <v>0</v>
      </c>
      <c r="OIG76" s="70">
        <v>0</v>
      </c>
      <c r="OIH76" s="70">
        <v>0</v>
      </c>
      <c r="OII76" s="70">
        <v>0</v>
      </c>
      <c r="OIJ76" s="70">
        <v>0</v>
      </c>
      <c r="OIK76" s="70">
        <v>0</v>
      </c>
      <c r="OIL76" s="70">
        <v>0</v>
      </c>
      <c r="OIM76" s="70">
        <v>0</v>
      </c>
      <c r="OIN76" s="70">
        <v>0</v>
      </c>
      <c r="OIO76" s="70">
        <v>0</v>
      </c>
      <c r="OIP76" s="70">
        <v>0</v>
      </c>
      <c r="OIQ76" s="70">
        <v>0</v>
      </c>
      <c r="OIR76" s="70">
        <v>0</v>
      </c>
      <c r="OIS76" s="70">
        <v>0</v>
      </c>
      <c r="OIT76" s="70">
        <v>0</v>
      </c>
      <c r="OIU76" s="70">
        <v>0</v>
      </c>
      <c r="OIV76" s="70">
        <v>0</v>
      </c>
      <c r="OIW76" s="70">
        <v>0</v>
      </c>
      <c r="OIX76" s="70">
        <v>0</v>
      </c>
      <c r="OIY76" s="70">
        <v>0</v>
      </c>
      <c r="OIZ76" s="70">
        <v>0</v>
      </c>
      <c r="OJA76" s="70">
        <v>0</v>
      </c>
      <c r="OJB76" s="70">
        <v>0</v>
      </c>
      <c r="OJC76" s="70">
        <v>0</v>
      </c>
      <c r="OJD76" s="70">
        <v>0</v>
      </c>
      <c r="OJE76" s="70">
        <v>0</v>
      </c>
      <c r="OJF76" s="70">
        <v>0</v>
      </c>
      <c r="OJG76" s="70">
        <v>0</v>
      </c>
      <c r="OJH76" s="70">
        <v>0</v>
      </c>
      <c r="OJI76" s="70">
        <v>0</v>
      </c>
      <c r="OJJ76" s="70">
        <v>0</v>
      </c>
      <c r="OJK76" s="70">
        <v>0</v>
      </c>
      <c r="OJL76" s="70">
        <v>0</v>
      </c>
      <c r="OJM76" s="70">
        <v>0</v>
      </c>
      <c r="OJN76" s="70">
        <v>0</v>
      </c>
      <c r="OJO76" s="70">
        <v>0</v>
      </c>
      <c r="OJP76" s="70">
        <v>0</v>
      </c>
      <c r="OJQ76" s="70">
        <v>0</v>
      </c>
      <c r="OJR76" s="70">
        <v>0</v>
      </c>
      <c r="OJS76" s="70">
        <v>0</v>
      </c>
      <c r="OJT76" s="70">
        <v>0</v>
      </c>
      <c r="OJU76" s="70">
        <v>0</v>
      </c>
      <c r="OJV76" s="70">
        <v>0</v>
      </c>
      <c r="OJW76" s="70">
        <v>0</v>
      </c>
      <c r="OJX76" s="70">
        <v>0</v>
      </c>
      <c r="OJY76" s="70">
        <v>0</v>
      </c>
      <c r="OJZ76" s="70">
        <v>0</v>
      </c>
      <c r="OKA76" s="70">
        <v>0</v>
      </c>
      <c r="OKB76" s="70">
        <v>0</v>
      </c>
      <c r="OKC76" s="70">
        <v>0</v>
      </c>
      <c r="OKD76" s="70">
        <v>0</v>
      </c>
      <c r="OKE76" s="70">
        <v>0</v>
      </c>
      <c r="OKF76" s="70">
        <v>0</v>
      </c>
      <c r="OKG76" s="70">
        <v>0</v>
      </c>
      <c r="OKH76" s="70">
        <v>0</v>
      </c>
      <c r="OKI76" s="70">
        <v>0</v>
      </c>
      <c r="OKJ76" s="70">
        <v>0</v>
      </c>
      <c r="OKK76" s="70">
        <v>0</v>
      </c>
      <c r="OKL76" s="70">
        <v>0</v>
      </c>
      <c r="OKM76" s="70">
        <v>0</v>
      </c>
      <c r="OKN76" s="70">
        <v>0</v>
      </c>
      <c r="OKO76" s="70">
        <v>0</v>
      </c>
      <c r="OKP76" s="70">
        <v>0</v>
      </c>
      <c r="OKQ76" s="70">
        <v>0</v>
      </c>
      <c r="OKR76" s="70">
        <v>0</v>
      </c>
      <c r="OKS76" s="70">
        <v>0</v>
      </c>
      <c r="OKT76" s="70">
        <v>0</v>
      </c>
      <c r="OKU76" s="70">
        <v>0</v>
      </c>
      <c r="OKV76" s="70">
        <v>0</v>
      </c>
      <c r="OKW76" s="70">
        <v>0</v>
      </c>
      <c r="OKX76" s="70">
        <v>0</v>
      </c>
      <c r="OKY76" s="70">
        <v>0</v>
      </c>
      <c r="OKZ76" s="70">
        <v>0</v>
      </c>
      <c r="OLA76" s="70">
        <v>0</v>
      </c>
      <c r="OLB76" s="70">
        <v>0</v>
      </c>
      <c r="OLC76" s="70">
        <v>0</v>
      </c>
      <c r="OLD76" s="70">
        <v>0</v>
      </c>
      <c r="OLE76" s="70">
        <v>0</v>
      </c>
      <c r="OLF76" s="70">
        <v>0</v>
      </c>
      <c r="OLG76" s="70">
        <v>0</v>
      </c>
      <c r="OLH76" s="70">
        <v>0</v>
      </c>
      <c r="OLI76" s="70">
        <v>0</v>
      </c>
      <c r="OLJ76" s="70">
        <v>0</v>
      </c>
      <c r="OLK76" s="70">
        <v>0</v>
      </c>
      <c r="OLL76" s="70">
        <v>0</v>
      </c>
      <c r="OLM76" s="70">
        <v>0</v>
      </c>
      <c r="OLN76" s="70">
        <v>0</v>
      </c>
      <c r="OLO76" s="70">
        <v>0</v>
      </c>
      <c r="OLP76" s="70">
        <v>0</v>
      </c>
      <c r="OLQ76" s="70">
        <v>0</v>
      </c>
      <c r="OLR76" s="70">
        <v>0</v>
      </c>
      <c r="OLS76" s="70">
        <v>0</v>
      </c>
      <c r="OLT76" s="70">
        <v>0</v>
      </c>
      <c r="OLU76" s="70">
        <v>0</v>
      </c>
      <c r="OLV76" s="70">
        <v>0</v>
      </c>
      <c r="OLW76" s="70">
        <v>0</v>
      </c>
      <c r="OLX76" s="70">
        <v>0</v>
      </c>
      <c r="OLY76" s="70">
        <v>0</v>
      </c>
      <c r="OLZ76" s="70">
        <v>0</v>
      </c>
      <c r="OMA76" s="70">
        <v>0</v>
      </c>
      <c r="OMB76" s="70">
        <v>0</v>
      </c>
      <c r="OMC76" s="70">
        <v>0</v>
      </c>
      <c r="OMD76" s="70">
        <v>0</v>
      </c>
      <c r="OME76" s="70">
        <v>0</v>
      </c>
      <c r="OMF76" s="70">
        <v>0</v>
      </c>
      <c r="OMG76" s="70">
        <v>0</v>
      </c>
      <c r="OMH76" s="70">
        <v>0</v>
      </c>
      <c r="OMI76" s="70">
        <v>0</v>
      </c>
      <c r="OMJ76" s="70">
        <v>0</v>
      </c>
      <c r="OMK76" s="70">
        <v>0</v>
      </c>
      <c r="OML76" s="70">
        <v>0</v>
      </c>
      <c r="OMM76" s="70">
        <v>0</v>
      </c>
      <c r="OMN76" s="70">
        <v>0</v>
      </c>
      <c r="OMO76" s="70">
        <v>0</v>
      </c>
      <c r="OMP76" s="70">
        <v>0</v>
      </c>
      <c r="OMQ76" s="70">
        <v>0</v>
      </c>
      <c r="OMR76" s="70">
        <v>0</v>
      </c>
      <c r="OMS76" s="70">
        <v>0</v>
      </c>
      <c r="OMT76" s="70">
        <v>0</v>
      </c>
      <c r="OMU76" s="70">
        <v>0</v>
      </c>
      <c r="OMV76" s="70">
        <v>0</v>
      </c>
      <c r="OMW76" s="70">
        <v>0</v>
      </c>
      <c r="OMX76" s="70">
        <v>0</v>
      </c>
      <c r="OMY76" s="70">
        <v>0</v>
      </c>
      <c r="OMZ76" s="70">
        <v>0</v>
      </c>
      <c r="ONA76" s="70">
        <v>0</v>
      </c>
      <c r="ONB76" s="70">
        <v>0</v>
      </c>
      <c r="ONC76" s="70">
        <v>0</v>
      </c>
      <c r="OND76" s="70">
        <v>0</v>
      </c>
      <c r="ONE76" s="70">
        <v>0</v>
      </c>
      <c r="ONF76" s="70">
        <v>0</v>
      </c>
      <c r="ONG76" s="70">
        <v>0</v>
      </c>
      <c r="ONH76" s="70">
        <v>0</v>
      </c>
      <c r="ONI76" s="70">
        <v>0</v>
      </c>
      <c r="ONJ76" s="70">
        <v>0</v>
      </c>
      <c r="ONK76" s="70">
        <v>0</v>
      </c>
      <c r="ONL76" s="70">
        <v>0</v>
      </c>
      <c r="ONM76" s="70">
        <v>0</v>
      </c>
      <c r="ONN76" s="70">
        <v>0</v>
      </c>
      <c r="ONO76" s="70">
        <v>0</v>
      </c>
      <c r="ONP76" s="70">
        <v>0</v>
      </c>
      <c r="ONQ76" s="70">
        <v>0</v>
      </c>
      <c r="ONR76" s="70">
        <v>0</v>
      </c>
      <c r="ONS76" s="70">
        <v>0</v>
      </c>
      <c r="ONT76" s="70">
        <v>0</v>
      </c>
      <c r="ONU76" s="70">
        <v>0</v>
      </c>
      <c r="ONV76" s="70">
        <v>0</v>
      </c>
      <c r="ONW76" s="70">
        <v>0</v>
      </c>
      <c r="ONX76" s="70">
        <v>0</v>
      </c>
      <c r="ONY76" s="70">
        <v>0</v>
      </c>
      <c r="ONZ76" s="70">
        <v>0</v>
      </c>
      <c r="OOA76" s="70">
        <v>0</v>
      </c>
      <c r="OOB76" s="70">
        <v>0</v>
      </c>
      <c r="OOC76" s="70">
        <v>0</v>
      </c>
      <c r="OOD76" s="70">
        <v>0</v>
      </c>
      <c r="OOE76" s="70">
        <v>0</v>
      </c>
      <c r="OOF76" s="70">
        <v>0</v>
      </c>
      <c r="OOG76" s="70">
        <v>0</v>
      </c>
      <c r="OOH76" s="70">
        <v>0</v>
      </c>
      <c r="OOI76" s="70">
        <v>0</v>
      </c>
      <c r="OOJ76" s="70">
        <v>0</v>
      </c>
      <c r="OOK76" s="70">
        <v>0</v>
      </c>
      <c r="OOL76" s="70">
        <v>0</v>
      </c>
      <c r="OOM76" s="70">
        <v>0</v>
      </c>
      <c r="OON76" s="70">
        <v>0</v>
      </c>
      <c r="OOO76" s="70">
        <v>0</v>
      </c>
      <c r="OOP76" s="70">
        <v>0</v>
      </c>
      <c r="OOQ76" s="70">
        <v>0</v>
      </c>
      <c r="OOR76" s="70">
        <v>0</v>
      </c>
      <c r="OOS76" s="70">
        <v>0</v>
      </c>
      <c r="OOT76" s="70">
        <v>0</v>
      </c>
      <c r="OOU76" s="70">
        <v>0</v>
      </c>
      <c r="OOV76" s="70">
        <v>0</v>
      </c>
      <c r="OOW76" s="70">
        <v>0</v>
      </c>
      <c r="OOX76" s="70">
        <v>0</v>
      </c>
      <c r="OOY76" s="70">
        <v>0</v>
      </c>
      <c r="OOZ76" s="70">
        <v>0</v>
      </c>
      <c r="OPA76" s="70">
        <v>0</v>
      </c>
      <c r="OPB76" s="70">
        <v>0</v>
      </c>
      <c r="OPC76" s="70">
        <v>0</v>
      </c>
      <c r="OPD76" s="70">
        <v>0</v>
      </c>
      <c r="OPE76" s="70">
        <v>0</v>
      </c>
      <c r="OPF76" s="70">
        <v>0</v>
      </c>
      <c r="OPG76" s="70">
        <v>0</v>
      </c>
      <c r="OPH76" s="70">
        <v>0</v>
      </c>
      <c r="OPI76" s="70">
        <v>0</v>
      </c>
      <c r="OPJ76" s="70">
        <v>0</v>
      </c>
      <c r="OPK76" s="70">
        <v>0</v>
      </c>
      <c r="OPL76" s="70">
        <v>0</v>
      </c>
      <c r="OPM76" s="70">
        <v>0</v>
      </c>
      <c r="OPN76" s="70">
        <v>0</v>
      </c>
      <c r="OPO76" s="70">
        <v>0</v>
      </c>
      <c r="OPP76" s="70">
        <v>0</v>
      </c>
      <c r="OPQ76" s="70">
        <v>0</v>
      </c>
      <c r="OPR76" s="70">
        <v>0</v>
      </c>
      <c r="OPS76" s="70">
        <v>0</v>
      </c>
      <c r="OPT76" s="70">
        <v>0</v>
      </c>
      <c r="OPU76" s="70">
        <v>0</v>
      </c>
      <c r="OPV76" s="70">
        <v>0</v>
      </c>
      <c r="OPW76" s="70">
        <v>0</v>
      </c>
      <c r="OPX76" s="70">
        <v>0</v>
      </c>
      <c r="OPY76" s="70">
        <v>0</v>
      </c>
      <c r="OPZ76" s="70">
        <v>0</v>
      </c>
      <c r="OQA76" s="70">
        <v>0</v>
      </c>
      <c r="OQB76" s="70">
        <v>0</v>
      </c>
      <c r="OQC76" s="70">
        <v>0</v>
      </c>
      <c r="OQD76" s="70">
        <v>0</v>
      </c>
      <c r="OQE76" s="70">
        <v>0</v>
      </c>
      <c r="OQF76" s="70">
        <v>0</v>
      </c>
      <c r="OQG76" s="70">
        <v>0</v>
      </c>
      <c r="OQH76" s="70">
        <v>0</v>
      </c>
      <c r="OQI76" s="70">
        <v>0</v>
      </c>
      <c r="OQJ76" s="70">
        <v>0</v>
      </c>
      <c r="OQK76" s="70">
        <v>0</v>
      </c>
      <c r="OQL76" s="70">
        <v>0</v>
      </c>
      <c r="OQM76" s="70">
        <v>0</v>
      </c>
      <c r="OQN76" s="70">
        <v>0</v>
      </c>
      <c r="OQO76" s="70">
        <v>0</v>
      </c>
      <c r="OQP76" s="70">
        <v>0</v>
      </c>
      <c r="OQQ76" s="70">
        <v>0</v>
      </c>
      <c r="OQR76" s="70">
        <v>0</v>
      </c>
      <c r="OQS76" s="70">
        <v>0</v>
      </c>
      <c r="OQT76" s="70">
        <v>0</v>
      </c>
      <c r="OQU76" s="70">
        <v>0</v>
      </c>
      <c r="OQV76" s="70">
        <v>0</v>
      </c>
      <c r="OQW76" s="70">
        <v>0</v>
      </c>
      <c r="OQX76" s="70">
        <v>0</v>
      </c>
      <c r="OQY76" s="70">
        <v>0</v>
      </c>
      <c r="OQZ76" s="70">
        <v>0</v>
      </c>
      <c r="ORA76" s="70">
        <v>0</v>
      </c>
      <c r="ORB76" s="70">
        <v>0</v>
      </c>
      <c r="ORC76" s="70">
        <v>0</v>
      </c>
      <c r="ORD76" s="70">
        <v>0</v>
      </c>
      <c r="ORE76" s="70">
        <v>0</v>
      </c>
      <c r="ORF76" s="70">
        <v>0</v>
      </c>
      <c r="ORG76" s="70">
        <v>0</v>
      </c>
      <c r="ORH76" s="70">
        <v>0</v>
      </c>
      <c r="ORI76" s="70">
        <v>0</v>
      </c>
      <c r="ORJ76" s="70">
        <v>0</v>
      </c>
      <c r="ORK76" s="70">
        <v>0</v>
      </c>
      <c r="ORL76" s="70">
        <v>0</v>
      </c>
      <c r="ORM76" s="70">
        <v>0</v>
      </c>
      <c r="ORN76" s="70">
        <v>0</v>
      </c>
      <c r="ORO76" s="70">
        <v>0</v>
      </c>
      <c r="ORP76" s="70">
        <v>0</v>
      </c>
      <c r="ORQ76" s="70">
        <v>0</v>
      </c>
      <c r="ORR76" s="70">
        <v>0</v>
      </c>
      <c r="ORS76" s="70">
        <v>0</v>
      </c>
      <c r="ORT76" s="70">
        <v>0</v>
      </c>
      <c r="ORU76" s="70">
        <v>0</v>
      </c>
      <c r="ORV76" s="70">
        <v>0</v>
      </c>
      <c r="ORW76" s="70">
        <v>0</v>
      </c>
      <c r="ORX76" s="70">
        <v>0</v>
      </c>
      <c r="ORY76" s="70">
        <v>0</v>
      </c>
      <c r="ORZ76" s="70">
        <v>0</v>
      </c>
      <c r="OSA76" s="70">
        <v>0</v>
      </c>
      <c r="OSB76" s="70">
        <v>0</v>
      </c>
      <c r="OSC76" s="70">
        <v>0</v>
      </c>
      <c r="OSD76" s="70">
        <v>0</v>
      </c>
      <c r="OSE76" s="70">
        <v>0</v>
      </c>
      <c r="OSF76" s="70">
        <v>0</v>
      </c>
      <c r="OSG76" s="70">
        <v>0</v>
      </c>
      <c r="OSH76" s="70">
        <v>0</v>
      </c>
      <c r="OSI76" s="70">
        <v>0</v>
      </c>
      <c r="OSJ76" s="70">
        <v>0</v>
      </c>
      <c r="OSK76" s="70">
        <v>0</v>
      </c>
      <c r="OSL76" s="70">
        <v>0</v>
      </c>
      <c r="OSM76" s="70">
        <v>0</v>
      </c>
      <c r="OSN76" s="70">
        <v>0</v>
      </c>
      <c r="OSO76" s="70">
        <v>0</v>
      </c>
      <c r="OSP76" s="70">
        <v>0</v>
      </c>
      <c r="OSQ76" s="70">
        <v>0</v>
      </c>
      <c r="OSR76" s="70">
        <v>0</v>
      </c>
      <c r="OSS76" s="70">
        <v>0</v>
      </c>
      <c r="OST76" s="70">
        <v>0</v>
      </c>
      <c r="OSU76" s="70">
        <v>0</v>
      </c>
      <c r="OSV76" s="70">
        <v>0</v>
      </c>
      <c r="OSW76" s="70">
        <v>0</v>
      </c>
      <c r="OSX76" s="70">
        <v>0</v>
      </c>
      <c r="OSY76" s="70">
        <v>0</v>
      </c>
      <c r="OSZ76" s="70">
        <v>0</v>
      </c>
      <c r="OTA76" s="70">
        <v>0</v>
      </c>
      <c r="OTB76" s="70">
        <v>0</v>
      </c>
      <c r="OTC76" s="70">
        <v>0</v>
      </c>
      <c r="OTD76" s="70">
        <v>0</v>
      </c>
      <c r="OTE76" s="70">
        <v>0</v>
      </c>
      <c r="OTF76" s="70">
        <v>0</v>
      </c>
      <c r="OTG76" s="70">
        <v>0</v>
      </c>
      <c r="OTH76" s="70">
        <v>0</v>
      </c>
      <c r="OTI76" s="70">
        <v>0</v>
      </c>
      <c r="OTJ76" s="70">
        <v>0</v>
      </c>
      <c r="OTK76" s="70">
        <v>0</v>
      </c>
      <c r="OTL76" s="70">
        <v>0</v>
      </c>
      <c r="OTM76" s="70">
        <v>0</v>
      </c>
      <c r="OTN76" s="70">
        <v>0</v>
      </c>
      <c r="OTO76" s="70">
        <v>0</v>
      </c>
      <c r="OTP76" s="70">
        <v>0</v>
      </c>
      <c r="OTQ76" s="70">
        <v>0</v>
      </c>
      <c r="OTR76" s="70">
        <v>0</v>
      </c>
      <c r="OTS76" s="70">
        <v>0</v>
      </c>
      <c r="OTT76" s="70">
        <v>0</v>
      </c>
      <c r="OTU76" s="70">
        <v>0</v>
      </c>
      <c r="OTV76" s="70">
        <v>0</v>
      </c>
      <c r="OTW76" s="70">
        <v>0</v>
      </c>
      <c r="OTX76" s="70">
        <v>0</v>
      </c>
      <c r="OTY76" s="70">
        <v>0</v>
      </c>
      <c r="OTZ76" s="70">
        <v>0</v>
      </c>
      <c r="OUA76" s="70">
        <v>0</v>
      </c>
      <c r="OUB76" s="70">
        <v>0</v>
      </c>
      <c r="OUC76" s="70">
        <v>0</v>
      </c>
      <c r="OUD76" s="70">
        <v>0</v>
      </c>
      <c r="OUE76" s="70">
        <v>0</v>
      </c>
      <c r="OUF76" s="70">
        <v>0</v>
      </c>
      <c r="OUG76" s="70">
        <v>0</v>
      </c>
      <c r="OUH76" s="70">
        <v>0</v>
      </c>
      <c r="OUI76" s="70">
        <v>0</v>
      </c>
      <c r="OUJ76" s="70">
        <v>0</v>
      </c>
      <c r="OUK76" s="70">
        <v>0</v>
      </c>
      <c r="OUL76" s="70">
        <v>0</v>
      </c>
      <c r="OUM76" s="70">
        <v>0</v>
      </c>
      <c r="OUN76" s="70">
        <v>0</v>
      </c>
      <c r="OUO76" s="70">
        <v>0</v>
      </c>
      <c r="OUP76" s="70">
        <v>0</v>
      </c>
      <c r="OUQ76" s="70">
        <v>0</v>
      </c>
      <c r="OUR76" s="70">
        <v>0</v>
      </c>
      <c r="OUS76" s="70">
        <v>0</v>
      </c>
      <c r="OUT76" s="70">
        <v>0</v>
      </c>
      <c r="OUU76" s="70">
        <v>0</v>
      </c>
      <c r="OUV76" s="70">
        <v>0</v>
      </c>
      <c r="OUW76" s="70">
        <v>0</v>
      </c>
      <c r="OUX76" s="70">
        <v>0</v>
      </c>
      <c r="OUY76" s="70">
        <v>0</v>
      </c>
      <c r="OUZ76" s="70">
        <v>0</v>
      </c>
      <c r="OVA76" s="70">
        <v>0</v>
      </c>
      <c r="OVB76" s="70">
        <v>0</v>
      </c>
      <c r="OVC76" s="70">
        <v>0</v>
      </c>
      <c r="OVD76" s="70">
        <v>0</v>
      </c>
      <c r="OVE76" s="70">
        <v>0</v>
      </c>
      <c r="OVF76" s="70">
        <v>0</v>
      </c>
      <c r="OVG76" s="70">
        <v>0</v>
      </c>
      <c r="OVH76" s="70">
        <v>0</v>
      </c>
      <c r="OVI76" s="70">
        <v>0</v>
      </c>
      <c r="OVJ76" s="70">
        <v>0</v>
      </c>
      <c r="OVK76" s="70">
        <v>0</v>
      </c>
      <c r="OVL76" s="70">
        <v>0</v>
      </c>
      <c r="OVM76" s="70">
        <v>0</v>
      </c>
      <c r="OVN76" s="70">
        <v>0</v>
      </c>
      <c r="OVO76" s="70">
        <v>0</v>
      </c>
      <c r="OVP76" s="70">
        <v>0</v>
      </c>
      <c r="OVQ76" s="70">
        <v>0</v>
      </c>
      <c r="OVR76" s="70">
        <v>0</v>
      </c>
      <c r="OVS76" s="70">
        <v>0</v>
      </c>
      <c r="OVT76" s="70">
        <v>0</v>
      </c>
      <c r="OVU76" s="70">
        <v>0</v>
      </c>
      <c r="OVV76" s="70">
        <v>0</v>
      </c>
      <c r="OVW76" s="70">
        <v>0</v>
      </c>
      <c r="OVX76" s="70">
        <v>0</v>
      </c>
      <c r="OVY76" s="70">
        <v>0</v>
      </c>
      <c r="OVZ76" s="70">
        <v>0</v>
      </c>
      <c r="OWA76" s="70">
        <v>0</v>
      </c>
      <c r="OWB76" s="70">
        <v>0</v>
      </c>
      <c r="OWC76" s="70">
        <v>0</v>
      </c>
      <c r="OWD76" s="70">
        <v>0</v>
      </c>
      <c r="OWE76" s="70">
        <v>0</v>
      </c>
      <c r="OWF76" s="70">
        <v>0</v>
      </c>
      <c r="OWG76" s="70">
        <v>0</v>
      </c>
      <c r="OWH76" s="70">
        <v>0</v>
      </c>
      <c r="OWI76" s="70">
        <v>0</v>
      </c>
      <c r="OWJ76" s="70">
        <v>0</v>
      </c>
      <c r="OWK76" s="70">
        <v>0</v>
      </c>
      <c r="OWL76" s="70">
        <v>0</v>
      </c>
      <c r="OWM76" s="70">
        <v>0</v>
      </c>
      <c r="OWN76" s="70">
        <v>0</v>
      </c>
      <c r="OWO76" s="70">
        <v>0</v>
      </c>
      <c r="OWP76" s="70">
        <v>0</v>
      </c>
      <c r="OWQ76" s="70">
        <v>0</v>
      </c>
      <c r="OWR76" s="70">
        <v>0</v>
      </c>
      <c r="OWS76" s="70">
        <v>0</v>
      </c>
      <c r="OWT76" s="70">
        <v>0</v>
      </c>
      <c r="OWU76" s="70">
        <v>0</v>
      </c>
      <c r="OWV76" s="70">
        <v>0</v>
      </c>
      <c r="OWW76" s="70">
        <v>0</v>
      </c>
      <c r="OWX76" s="70">
        <v>0</v>
      </c>
      <c r="OWY76" s="70">
        <v>0</v>
      </c>
      <c r="OWZ76" s="70">
        <v>0</v>
      </c>
      <c r="OXA76" s="70">
        <v>0</v>
      </c>
      <c r="OXB76" s="70">
        <v>0</v>
      </c>
      <c r="OXC76" s="70">
        <v>0</v>
      </c>
      <c r="OXD76" s="70">
        <v>0</v>
      </c>
      <c r="OXE76" s="70">
        <v>0</v>
      </c>
      <c r="OXF76" s="70">
        <v>0</v>
      </c>
      <c r="OXG76" s="70">
        <v>0</v>
      </c>
      <c r="OXH76" s="70">
        <v>0</v>
      </c>
      <c r="OXI76" s="70">
        <v>0</v>
      </c>
      <c r="OXJ76" s="70">
        <v>0</v>
      </c>
      <c r="OXK76" s="70">
        <v>0</v>
      </c>
      <c r="OXL76" s="70">
        <v>0</v>
      </c>
      <c r="OXM76" s="70">
        <v>0</v>
      </c>
      <c r="OXN76" s="70">
        <v>0</v>
      </c>
      <c r="OXO76" s="70">
        <v>0</v>
      </c>
      <c r="OXP76" s="70">
        <v>0</v>
      </c>
      <c r="OXQ76" s="70">
        <v>0</v>
      </c>
      <c r="OXR76" s="70">
        <v>0</v>
      </c>
      <c r="OXS76" s="70">
        <v>0</v>
      </c>
      <c r="OXT76" s="70">
        <v>0</v>
      </c>
      <c r="OXU76" s="70">
        <v>0</v>
      </c>
      <c r="OXV76" s="70">
        <v>0</v>
      </c>
      <c r="OXW76" s="70">
        <v>0</v>
      </c>
      <c r="OXX76" s="70">
        <v>0</v>
      </c>
      <c r="OXY76" s="70">
        <v>0</v>
      </c>
      <c r="OXZ76" s="70">
        <v>0</v>
      </c>
      <c r="OYA76" s="70">
        <v>0</v>
      </c>
      <c r="OYB76" s="70">
        <v>0</v>
      </c>
      <c r="OYC76" s="70">
        <v>0</v>
      </c>
      <c r="OYD76" s="70">
        <v>0</v>
      </c>
      <c r="OYE76" s="70">
        <v>0</v>
      </c>
      <c r="OYF76" s="70">
        <v>0</v>
      </c>
      <c r="OYG76" s="70">
        <v>0</v>
      </c>
      <c r="OYH76" s="70">
        <v>0</v>
      </c>
      <c r="OYI76" s="70">
        <v>0</v>
      </c>
      <c r="OYJ76" s="70">
        <v>0</v>
      </c>
      <c r="OYK76" s="70">
        <v>0</v>
      </c>
      <c r="OYL76" s="70">
        <v>0</v>
      </c>
      <c r="OYM76" s="70">
        <v>0</v>
      </c>
      <c r="OYN76" s="70">
        <v>0</v>
      </c>
      <c r="OYO76" s="70">
        <v>0</v>
      </c>
      <c r="OYP76" s="70">
        <v>0</v>
      </c>
      <c r="OYQ76" s="70">
        <v>0</v>
      </c>
      <c r="OYR76" s="70">
        <v>0</v>
      </c>
      <c r="OYS76" s="70">
        <v>0</v>
      </c>
      <c r="OYT76" s="70">
        <v>0</v>
      </c>
      <c r="OYU76" s="70">
        <v>0</v>
      </c>
      <c r="OYV76" s="70">
        <v>0</v>
      </c>
      <c r="OYW76" s="70">
        <v>0</v>
      </c>
      <c r="OYX76" s="70">
        <v>0</v>
      </c>
      <c r="OYY76" s="70">
        <v>0</v>
      </c>
      <c r="OYZ76" s="70">
        <v>0</v>
      </c>
      <c r="OZA76" s="70">
        <v>0</v>
      </c>
      <c r="OZB76" s="70">
        <v>0</v>
      </c>
      <c r="OZC76" s="70">
        <v>0</v>
      </c>
      <c r="OZD76" s="70">
        <v>0</v>
      </c>
      <c r="OZE76" s="70">
        <v>0</v>
      </c>
      <c r="OZF76" s="70">
        <v>0</v>
      </c>
      <c r="OZG76" s="70">
        <v>0</v>
      </c>
      <c r="OZH76" s="70">
        <v>0</v>
      </c>
      <c r="OZI76" s="70">
        <v>0</v>
      </c>
      <c r="OZJ76" s="70">
        <v>0</v>
      </c>
      <c r="OZK76" s="70">
        <v>0</v>
      </c>
      <c r="OZL76" s="70">
        <v>0</v>
      </c>
      <c r="OZM76" s="70">
        <v>0</v>
      </c>
      <c r="OZN76" s="70">
        <v>0</v>
      </c>
      <c r="OZO76" s="70">
        <v>0</v>
      </c>
      <c r="OZP76" s="70">
        <v>0</v>
      </c>
      <c r="OZQ76" s="70">
        <v>0</v>
      </c>
      <c r="OZR76" s="70">
        <v>0</v>
      </c>
      <c r="OZS76" s="70">
        <v>0</v>
      </c>
      <c r="OZT76" s="70">
        <v>0</v>
      </c>
      <c r="OZU76" s="70">
        <v>0</v>
      </c>
      <c r="OZV76" s="70">
        <v>0</v>
      </c>
      <c r="OZW76" s="70">
        <v>0</v>
      </c>
      <c r="OZX76" s="70">
        <v>0</v>
      </c>
      <c r="OZY76" s="70">
        <v>0</v>
      </c>
      <c r="OZZ76" s="70">
        <v>0</v>
      </c>
      <c r="PAA76" s="70">
        <v>0</v>
      </c>
      <c r="PAB76" s="70">
        <v>0</v>
      </c>
      <c r="PAC76" s="70">
        <v>0</v>
      </c>
      <c r="PAD76" s="70">
        <v>0</v>
      </c>
      <c r="PAE76" s="70">
        <v>0</v>
      </c>
      <c r="PAF76" s="70">
        <v>0</v>
      </c>
      <c r="PAG76" s="70">
        <v>0</v>
      </c>
      <c r="PAH76" s="70">
        <v>0</v>
      </c>
      <c r="PAI76" s="70">
        <v>0</v>
      </c>
      <c r="PAJ76" s="70">
        <v>0</v>
      </c>
      <c r="PAK76" s="70">
        <v>0</v>
      </c>
      <c r="PAL76" s="70">
        <v>0</v>
      </c>
      <c r="PAM76" s="70">
        <v>0</v>
      </c>
      <c r="PAN76" s="70">
        <v>0</v>
      </c>
      <c r="PAO76" s="70">
        <v>0</v>
      </c>
      <c r="PAP76" s="70">
        <v>0</v>
      </c>
      <c r="PAQ76" s="70">
        <v>0</v>
      </c>
      <c r="PAR76" s="70">
        <v>0</v>
      </c>
      <c r="PAS76" s="70">
        <v>0</v>
      </c>
      <c r="PAT76" s="70">
        <v>0</v>
      </c>
      <c r="PAU76" s="70">
        <v>0</v>
      </c>
      <c r="PAV76" s="70">
        <v>0</v>
      </c>
      <c r="PAW76" s="70">
        <v>0</v>
      </c>
      <c r="PAX76" s="70">
        <v>0</v>
      </c>
      <c r="PAY76" s="70">
        <v>0</v>
      </c>
      <c r="PAZ76" s="70">
        <v>0</v>
      </c>
      <c r="PBA76" s="70">
        <v>0</v>
      </c>
      <c r="PBB76" s="70">
        <v>0</v>
      </c>
      <c r="PBC76" s="70">
        <v>0</v>
      </c>
      <c r="PBD76" s="70">
        <v>0</v>
      </c>
      <c r="PBE76" s="70">
        <v>0</v>
      </c>
      <c r="PBF76" s="70">
        <v>0</v>
      </c>
      <c r="PBG76" s="70">
        <v>0</v>
      </c>
      <c r="PBH76" s="70">
        <v>0</v>
      </c>
      <c r="PBI76" s="70">
        <v>0</v>
      </c>
      <c r="PBJ76" s="70">
        <v>0</v>
      </c>
      <c r="PBK76" s="70">
        <v>0</v>
      </c>
      <c r="PBL76" s="70">
        <v>0</v>
      </c>
      <c r="PBM76" s="70">
        <v>0</v>
      </c>
      <c r="PBN76" s="70">
        <v>0</v>
      </c>
      <c r="PBO76" s="70">
        <v>0</v>
      </c>
      <c r="PBP76" s="70">
        <v>0</v>
      </c>
      <c r="PBQ76" s="70">
        <v>0</v>
      </c>
      <c r="PBR76" s="70">
        <v>0</v>
      </c>
      <c r="PBS76" s="70">
        <v>0</v>
      </c>
      <c r="PBT76" s="70">
        <v>0</v>
      </c>
      <c r="PBU76" s="70">
        <v>0</v>
      </c>
      <c r="PBV76" s="70">
        <v>0</v>
      </c>
      <c r="PBW76" s="70">
        <v>0</v>
      </c>
      <c r="PBX76" s="70">
        <v>0</v>
      </c>
      <c r="PBY76" s="70">
        <v>0</v>
      </c>
      <c r="PBZ76" s="70">
        <v>0</v>
      </c>
      <c r="PCA76" s="70">
        <v>0</v>
      </c>
      <c r="PCB76" s="70">
        <v>0</v>
      </c>
      <c r="PCC76" s="70">
        <v>0</v>
      </c>
      <c r="PCD76" s="70">
        <v>0</v>
      </c>
      <c r="PCE76" s="70">
        <v>0</v>
      </c>
      <c r="PCF76" s="70">
        <v>0</v>
      </c>
      <c r="PCG76" s="70">
        <v>0</v>
      </c>
      <c r="PCH76" s="70">
        <v>0</v>
      </c>
      <c r="PCI76" s="70">
        <v>0</v>
      </c>
      <c r="PCJ76" s="70">
        <v>0</v>
      </c>
      <c r="PCK76" s="70">
        <v>0</v>
      </c>
      <c r="PCL76" s="70">
        <v>0</v>
      </c>
      <c r="PCM76" s="70">
        <v>0</v>
      </c>
      <c r="PCN76" s="70">
        <v>0</v>
      </c>
      <c r="PCO76" s="70">
        <v>0</v>
      </c>
      <c r="PCP76" s="70">
        <v>0</v>
      </c>
      <c r="PCQ76" s="70">
        <v>0</v>
      </c>
      <c r="PCR76" s="70">
        <v>0</v>
      </c>
      <c r="PCS76" s="70">
        <v>0</v>
      </c>
      <c r="PCT76" s="70">
        <v>0</v>
      </c>
      <c r="PCU76" s="70">
        <v>0</v>
      </c>
      <c r="PCV76" s="70">
        <v>0</v>
      </c>
      <c r="PCW76" s="70">
        <v>0</v>
      </c>
      <c r="PCX76" s="70">
        <v>0</v>
      </c>
      <c r="PCY76" s="70">
        <v>0</v>
      </c>
      <c r="PCZ76" s="70">
        <v>0</v>
      </c>
      <c r="PDA76" s="70">
        <v>0</v>
      </c>
      <c r="PDB76" s="70">
        <v>0</v>
      </c>
      <c r="PDC76" s="70">
        <v>0</v>
      </c>
      <c r="PDD76" s="70">
        <v>0</v>
      </c>
      <c r="PDE76" s="70">
        <v>0</v>
      </c>
      <c r="PDF76" s="70">
        <v>0</v>
      </c>
      <c r="PDG76" s="70">
        <v>0</v>
      </c>
      <c r="PDH76" s="70">
        <v>0</v>
      </c>
      <c r="PDI76" s="70">
        <v>0</v>
      </c>
      <c r="PDJ76" s="70">
        <v>0</v>
      </c>
      <c r="PDK76" s="70">
        <v>0</v>
      </c>
      <c r="PDL76" s="70">
        <v>0</v>
      </c>
      <c r="PDM76" s="70">
        <v>0</v>
      </c>
      <c r="PDN76" s="70">
        <v>0</v>
      </c>
      <c r="PDO76" s="70">
        <v>0</v>
      </c>
      <c r="PDP76" s="70">
        <v>0</v>
      </c>
      <c r="PDQ76" s="70">
        <v>0</v>
      </c>
      <c r="PDR76" s="70">
        <v>0</v>
      </c>
      <c r="PDS76" s="70">
        <v>0</v>
      </c>
      <c r="PDT76" s="70">
        <v>0</v>
      </c>
      <c r="PDU76" s="70">
        <v>0</v>
      </c>
      <c r="PDV76" s="70">
        <v>0</v>
      </c>
      <c r="PDW76" s="70">
        <v>0</v>
      </c>
      <c r="PDX76" s="70">
        <v>0</v>
      </c>
      <c r="PDY76" s="70">
        <v>0</v>
      </c>
      <c r="PDZ76" s="70">
        <v>0</v>
      </c>
      <c r="PEA76" s="70">
        <v>0</v>
      </c>
      <c r="PEB76" s="70">
        <v>0</v>
      </c>
      <c r="PEC76" s="70">
        <v>0</v>
      </c>
      <c r="PED76" s="70">
        <v>0</v>
      </c>
      <c r="PEE76" s="70">
        <v>0</v>
      </c>
      <c r="PEF76" s="70">
        <v>0</v>
      </c>
      <c r="PEG76" s="70">
        <v>0</v>
      </c>
      <c r="PEH76" s="70">
        <v>0</v>
      </c>
      <c r="PEI76" s="70">
        <v>0</v>
      </c>
      <c r="PEJ76" s="70">
        <v>0</v>
      </c>
      <c r="PEK76" s="70">
        <v>0</v>
      </c>
      <c r="PEL76" s="70">
        <v>0</v>
      </c>
      <c r="PEM76" s="70">
        <v>0</v>
      </c>
      <c r="PEN76" s="70">
        <v>0</v>
      </c>
      <c r="PEO76" s="70">
        <v>0</v>
      </c>
      <c r="PEP76" s="70">
        <v>0</v>
      </c>
      <c r="PEQ76" s="70">
        <v>0</v>
      </c>
      <c r="PER76" s="70">
        <v>0</v>
      </c>
      <c r="PES76" s="70">
        <v>0</v>
      </c>
      <c r="PET76" s="70">
        <v>0</v>
      </c>
      <c r="PEU76" s="70">
        <v>0</v>
      </c>
      <c r="PEV76" s="70">
        <v>0</v>
      </c>
      <c r="PEW76" s="70">
        <v>0</v>
      </c>
      <c r="PEX76" s="70">
        <v>0</v>
      </c>
      <c r="PEY76" s="70">
        <v>0</v>
      </c>
      <c r="PEZ76" s="70">
        <v>0</v>
      </c>
      <c r="PFA76" s="70">
        <v>0</v>
      </c>
      <c r="PFB76" s="70">
        <v>0</v>
      </c>
      <c r="PFC76" s="70">
        <v>0</v>
      </c>
      <c r="PFD76" s="70">
        <v>0</v>
      </c>
      <c r="PFE76" s="70">
        <v>0</v>
      </c>
      <c r="PFF76" s="70">
        <v>0</v>
      </c>
      <c r="PFG76" s="70">
        <v>0</v>
      </c>
      <c r="PFH76" s="70">
        <v>0</v>
      </c>
      <c r="PFI76" s="70">
        <v>0</v>
      </c>
      <c r="PFJ76" s="70">
        <v>0</v>
      </c>
      <c r="PFK76" s="70">
        <v>0</v>
      </c>
      <c r="PFL76" s="70">
        <v>0</v>
      </c>
      <c r="PFM76" s="70">
        <v>0</v>
      </c>
      <c r="PFN76" s="70">
        <v>0</v>
      </c>
      <c r="PFO76" s="70">
        <v>0</v>
      </c>
      <c r="PFP76" s="70">
        <v>0</v>
      </c>
      <c r="PFQ76" s="70">
        <v>0</v>
      </c>
      <c r="PFR76" s="70">
        <v>0</v>
      </c>
      <c r="PFS76" s="70">
        <v>0</v>
      </c>
      <c r="PFT76" s="70">
        <v>0</v>
      </c>
      <c r="PFU76" s="70">
        <v>0</v>
      </c>
      <c r="PFV76" s="70">
        <v>0</v>
      </c>
      <c r="PFW76" s="70">
        <v>0</v>
      </c>
      <c r="PFX76" s="70">
        <v>0</v>
      </c>
      <c r="PFY76" s="70">
        <v>0</v>
      </c>
      <c r="PFZ76" s="70">
        <v>0</v>
      </c>
      <c r="PGA76" s="70">
        <v>0</v>
      </c>
      <c r="PGB76" s="70">
        <v>0</v>
      </c>
      <c r="PGC76" s="70">
        <v>0</v>
      </c>
      <c r="PGD76" s="70">
        <v>0</v>
      </c>
      <c r="PGE76" s="70">
        <v>0</v>
      </c>
      <c r="PGF76" s="70">
        <v>0</v>
      </c>
      <c r="PGG76" s="70">
        <v>0</v>
      </c>
      <c r="PGH76" s="70">
        <v>0</v>
      </c>
      <c r="PGI76" s="70">
        <v>0</v>
      </c>
      <c r="PGJ76" s="70">
        <v>0</v>
      </c>
      <c r="PGK76" s="70">
        <v>0</v>
      </c>
      <c r="PGL76" s="70">
        <v>0</v>
      </c>
      <c r="PGM76" s="70">
        <v>0</v>
      </c>
      <c r="PGN76" s="70">
        <v>0</v>
      </c>
      <c r="PGO76" s="70">
        <v>0</v>
      </c>
      <c r="PGP76" s="70">
        <v>0</v>
      </c>
      <c r="PGQ76" s="70">
        <v>0</v>
      </c>
      <c r="PGR76" s="70">
        <v>0</v>
      </c>
      <c r="PGS76" s="70">
        <v>0</v>
      </c>
      <c r="PGT76" s="70">
        <v>0</v>
      </c>
      <c r="PGU76" s="70">
        <v>0</v>
      </c>
      <c r="PGV76" s="70">
        <v>0</v>
      </c>
      <c r="PGW76" s="70">
        <v>0</v>
      </c>
      <c r="PGX76" s="70">
        <v>0</v>
      </c>
      <c r="PGY76" s="70">
        <v>0</v>
      </c>
      <c r="PGZ76" s="70">
        <v>0</v>
      </c>
      <c r="PHA76" s="70">
        <v>0</v>
      </c>
      <c r="PHB76" s="70">
        <v>0</v>
      </c>
      <c r="PHC76" s="70">
        <v>0</v>
      </c>
      <c r="PHD76" s="70">
        <v>0</v>
      </c>
      <c r="PHE76" s="70">
        <v>0</v>
      </c>
      <c r="PHF76" s="70">
        <v>0</v>
      </c>
      <c r="PHG76" s="70">
        <v>0</v>
      </c>
      <c r="PHH76" s="70">
        <v>0</v>
      </c>
      <c r="PHI76" s="70">
        <v>0</v>
      </c>
      <c r="PHJ76" s="70">
        <v>0</v>
      </c>
      <c r="PHK76" s="70">
        <v>0</v>
      </c>
      <c r="PHL76" s="70">
        <v>0</v>
      </c>
      <c r="PHM76" s="70">
        <v>0</v>
      </c>
      <c r="PHN76" s="70">
        <v>0</v>
      </c>
      <c r="PHO76" s="70">
        <v>0</v>
      </c>
      <c r="PHP76" s="70">
        <v>0</v>
      </c>
      <c r="PHQ76" s="70">
        <v>0</v>
      </c>
      <c r="PHR76" s="70">
        <v>0</v>
      </c>
      <c r="PHS76" s="70">
        <v>0</v>
      </c>
      <c r="PHT76" s="70">
        <v>0</v>
      </c>
      <c r="PHU76" s="70">
        <v>0</v>
      </c>
      <c r="PHV76" s="70">
        <v>0</v>
      </c>
      <c r="PHW76" s="70">
        <v>0</v>
      </c>
      <c r="PHX76" s="70">
        <v>0</v>
      </c>
      <c r="PHY76" s="70">
        <v>0</v>
      </c>
      <c r="PHZ76" s="70">
        <v>0</v>
      </c>
      <c r="PIA76" s="70">
        <v>0</v>
      </c>
      <c r="PIB76" s="70">
        <v>0</v>
      </c>
      <c r="PIC76" s="70">
        <v>0</v>
      </c>
      <c r="PID76" s="70">
        <v>0</v>
      </c>
      <c r="PIE76" s="70">
        <v>0</v>
      </c>
      <c r="PIF76" s="70">
        <v>0</v>
      </c>
      <c r="PIG76" s="70">
        <v>0</v>
      </c>
      <c r="PIH76" s="70">
        <v>0</v>
      </c>
      <c r="PII76" s="70">
        <v>0</v>
      </c>
      <c r="PIJ76" s="70">
        <v>0</v>
      </c>
      <c r="PIK76" s="70">
        <v>0</v>
      </c>
      <c r="PIL76" s="70">
        <v>0</v>
      </c>
      <c r="PIM76" s="70">
        <v>0</v>
      </c>
      <c r="PIN76" s="70">
        <v>0</v>
      </c>
      <c r="PIO76" s="70">
        <v>0</v>
      </c>
      <c r="PIP76" s="70">
        <v>0</v>
      </c>
      <c r="PIQ76" s="70">
        <v>0</v>
      </c>
      <c r="PIR76" s="70">
        <v>0</v>
      </c>
      <c r="PIS76" s="70">
        <v>0</v>
      </c>
      <c r="PIT76" s="70">
        <v>0</v>
      </c>
      <c r="PIU76" s="70">
        <v>0</v>
      </c>
      <c r="PIV76" s="70">
        <v>0</v>
      </c>
      <c r="PIW76" s="70">
        <v>0</v>
      </c>
      <c r="PIX76" s="70">
        <v>0</v>
      </c>
      <c r="PIY76" s="70">
        <v>0</v>
      </c>
      <c r="PIZ76" s="70">
        <v>0</v>
      </c>
      <c r="PJA76" s="70">
        <v>0</v>
      </c>
      <c r="PJB76" s="70">
        <v>0</v>
      </c>
      <c r="PJC76" s="70">
        <v>0</v>
      </c>
      <c r="PJD76" s="70">
        <v>0</v>
      </c>
      <c r="PJE76" s="70">
        <v>0</v>
      </c>
      <c r="PJF76" s="70">
        <v>0</v>
      </c>
      <c r="PJG76" s="70">
        <v>0</v>
      </c>
      <c r="PJH76" s="70">
        <v>0</v>
      </c>
      <c r="PJI76" s="70">
        <v>0</v>
      </c>
      <c r="PJJ76" s="70">
        <v>0</v>
      </c>
      <c r="PJK76" s="70">
        <v>0</v>
      </c>
      <c r="PJL76" s="70">
        <v>0</v>
      </c>
      <c r="PJM76" s="70">
        <v>0</v>
      </c>
      <c r="PJN76" s="70">
        <v>0</v>
      </c>
      <c r="PJO76" s="70">
        <v>0</v>
      </c>
      <c r="PJP76" s="70">
        <v>0</v>
      </c>
      <c r="PJQ76" s="70">
        <v>0</v>
      </c>
      <c r="PJR76" s="70">
        <v>0</v>
      </c>
      <c r="PJS76" s="70">
        <v>0</v>
      </c>
      <c r="PJT76" s="70">
        <v>0</v>
      </c>
      <c r="PJU76" s="70">
        <v>0</v>
      </c>
      <c r="PJV76" s="70">
        <v>0</v>
      </c>
      <c r="PJW76" s="70">
        <v>0</v>
      </c>
      <c r="PJX76" s="70">
        <v>0</v>
      </c>
      <c r="PJY76" s="70">
        <v>0</v>
      </c>
      <c r="PJZ76" s="70">
        <v>0</v>
      </c>
      <c r="PKA76" s="70">
        <v>0</v>
      </c>
      <c r="PKB76" s="70">
        <v>0</v>
      </c>
      <c r="PKC76" s="70">
        <v>0</v>
      </c>
      <c r="PKD76" s="70">
        <v>0</v>
      </c>
      <c r="PKE76" s="70">
        <v>0</v>
      </c>
      <c r="PKF76" s="70">
        <v>0</v>
      </c>
      <c r="PKG76" s="70">
        <v>0</v>
      </c>
      <c r="PKH76" s="70">
        <v>0</v>
      </c>
      <c r="PKI76" s="70">
        <v>0</v>
      </c>
      <c r="PKJ76" s="70">
        <v>0</v>
      </c>
      <c r="PKK76" s="70">
        <v>0</v>
      </c>
      <c r="PKL76" s="70">
        <v>0</v>
      </c>
      <c r="PKM76" s="70">
        <v>0</v>
      </c>
      <c r="PKN76" s="70">
        <v>0</v>
      </c>
      <c r="PKO76" s="70">
        <v>0</v>
      </c>
      <c r="PKP76" s="70">
        <v>0</v>
      </c>
      <c r="PKQ76" s="70">
        <v>0</v>
      </c>
      <c r="PKR76" s="70">
        <v>0</v>
      </c>
      <c r="PKS76" s="70">
        <v>0</v>
      </c>
      <c r="PKT76" s="70">
        <v>0</v>
      </c>
      <c r="PKU76" s="70">
        <v>0</v>
      </c>
      <c r="PKV76" s="70">
        <v>0</v>
      </c>
      <c r="PKW76" s="70">
        <v>0</v>
      </c>
      <c r="PKX76" s="70">
        <v>0</v>
      </c>
      <c r="PKY76" s="70">
        <v>0</v>
      </c>
      <c r="PKZ76" s="70">
        <v>0</v>
      </c>
      <c r="PLA76" s="70">
        <v>0</v>
      </c>
      <c r="PLB76" s="70">
        <v>0</v>
      </c>
      <c r="PLC76" s="70">
        <v>0</v>
      </c>
      <c r="PLD76" s="70">
        <v>0</v>
      </c>
      <c r="PLE76" s="70">
        <v>0</v>
      </c>
      <c r="PLF76" s="70">
        <v>0</v>
      </c>
      <c r="PLG76" s="70">
        <v>0</v>
      </c>
      <c r="PLH76" s="70">
        <v>0</v>
      </c>
      <c r="PLI76" s="70">
        <v>0</v>
      </c>
      <c r="PLJ76" s="70">
        <v>0</v>
      </c>
      <c r="PLK76" s="70">
        <v>0</v>
      </c>
      <c r="PLL76" s="70">
        <v>0</v>
      </c>
      <c r="PLM76" s="70">
        <v>0</v>
      </c>
      <c r="PLN76" s="70">
        <v>0</v>
      </c>
      <c r="PLO76" s="70">
        <v>0</v>
      </c>
      <c r="PLP76" s="70">
        <v>0</v>
      </c>
      <c r="PLQ76" s="70">
        <v>0</v>
      </c>
      <c r="PLR76" s="70">
        <v>0</v>
      </c>
      <c r="PLS76" s="70">
        <v>0</v>
      </c>
      <c r="PLT76" s="70">
        <v>0</v>
      </c>
      <c r="PLU76" s="70">
        <v>0</v>
      </c>
      <c r="PLV76" s="70">
        <v>0</v>
      </c>
      <c r="PLW76" s="70">
        <v>0</v>
      </c>
      <c r="PLX76" s="70">
        <v>0</v>
      </c>
      <c r="PLY76" s="70">
        <v>0</v>
      </c>
      <c r="PLZ76" s="70">
        <v>0</v>
      </c>
      <c r="PMA76" s="70">
        <v>0</v>
      </c>
      <c r="PMB76" s="70">
        <v>0</v>
      </c>
      <c r="PMC76" s="70">
        <v>0</v>
      </c>
      <c r="PMD76" s="70">
        <v>0</v>
      </c>
      <c r="PME76" s="70">
        <v>0</v>
      </c>
      <c r="PMF76" s="70">
        <v>0</v>
      </c>
      <c r="PMG76" s="70">
        <v>0</v>
      </c>
      <c r="PMH76" s="70">
        <v>0</v>
      </c>
      <c r="PMI76" s="70">
        <v>0</v>
      </c>
      <c r="PMJ76" s="70">
        <v>0</v>
      </c>
      <c r="PMK76" s="70">
        <v>0</v>
      </c>
      <c r="PML76" s="70">
        <v>0</v>
      </c>
      <c r="PMM76" s="70">
        <v>0</v>
      </c>
      <c r="PMN76" s="70">
        <v>0</v>
      </c>
      <c r="PMO76" s="70">
        <v>0</v>
      </c>
      <c r="PMP76" s="70">
        <v>0</v>
      </c>
      <c r="PMQ76" s="70">
        <v>0</v>
      </c>
      <c r="PMR76" s="70">
        <v>0</v>
      </c>
      <c r="PMS76" s="70">
        <v>0</v>
      </c>
      <c r="PMT76" s="70">
        <v>0</v>
      </c>
      <c r="PMU76" s="70">
        <v>0</v>
      </c>
      <c r="PMV76" s="70">
        <v>0</v>
      </c>
      <c r="PMW76" s="70">
        <v>0</v>
      </c>
      <c r="PMX76" s="70">
        <v>0</v>
      </c>
      <c r="PMY76" s="70">
        <v>0</v>
      </c>
      <c r="PMZ76" s="70">
        <v>0</v>
      </c>
      <c r="PNA76" s="70">
        <v>0</v>
      </c>
      <c r="PNB76" s="70">
        <v>0</v>
      </c>
      <c r="PNC76" s="70">
        <v>0</v>
      </c>
      <c r="PND76" s="70">
        <v>0</v>
      </c>
      <c r="PNE76" s="70">
        <v>0</v>
      </c>
      <c r="PNF76" s="70">
        <v>0</v>
      </c>
      <c r="PNG76" s="70">
        <v>0</v>
      </c>
      <c r="PNH76" s="70">
        <v>0</v>
      </c>
      <c r="PNI76" s="70">
        <v>0</v>
      </c>
      <c r="PNJ76" s="70">
        <v>0</v>
      </c>
      <c r="PNK76" s="70">
        <v>0</v>
      </c>
      <c r="PNL76" s="70">
        <v>0</v>
      </c>
      <c r="PNM76" s="70">
        <v>0</v>
      </c>
      <c r="PNN76" s="70">
        <v>0</v>
      </c>
      <c r="PNO76" s="70">
        <v>0</v>
      </c>
      <c r="PNP76" s="70">
        <v>0</v>
      </c>
      <c r="PNQ76" s="70">
        <v>0</v>
      </c>
      <c r="PNR76" s="70">
        <v>0</v>
      </c>
      <c r="PNS76" s="70">
        <v>0</v>
      </c>
      <c r="PNT76" s="70">
        <v>0</v>
      </c>
      <c r="PNU76" s="70">
        <v>0</v>
      </c>
      <c r="PNV76" s="70">
        <v>0</v>
      </c>
      <c r="PNW76" s="70">
        <v>0</v>
      </c>
      <c r="PNX76" s="70">
        <v>0</v>
      </c>
      <c r="PNY76" s="70">
        <v>0</v>
      </c>
      <c r="PNZ76" s="70">
        <v>0</v>
      </c>
      <c r="POA76" s="70">
        <v>0</v>
      </c>
      <c r="POB76" s="70">
        <v>0</v>
      </c>
      <c r="POC76" s="70">
        <v>0</v>
      </c>
      <c r="POD76" s="70">
        <v>0</v>
      </c>
      <c r="POE76" s="70">
        <v>0</v>
      </c>
      <c r="POF76" s="70">
        <v>0</v>
      </c>
      <c r="POG76" s="70">
        <v>0</v>
      </c>
      <c r="POH76" s="70">
        <v>0</v>
      </c>
      <c r="POI76" s="70">
        <v>0</v>
      </c>
      <c r="POJ76" s="70">
        <v>0</v>
      </c>
      <c r="POK76" s="70">
        <v>0</v>
      </c>
      <c r="POL76" s="70">
        <v>0</v>
      </c>
      <c r="POM76" s="70">
        <v>0</v>
      </c>
      <c r="PON76" s="70">
        <v>0</v>
      </c>
      <c r="POO76" s="70">
        <v>0</v>
      </c>
      <c r="POP76" s="70">
        <v>0</v>
      </c>
      <c r="POQ76" s="70">
        <v>0</v>
      </c>
      <c r="POR76" s="70">
        <v>0</v>
      </c>
      <c r="POS76" s="70">
        <v>0</v>
      </c>
      <c r="POT76" s="70">
        <v>0</v>
      </c>
      <c r="POU76" s="70">
        <v>0</v>
      </c>
      <c r="POV76" s="70">
        <v>0</v>
      </c>
      <c r="POW76" s="70">
        <v>0</v>
      </c>
      <c r="POX76" s="70">
        <v>0</v>
      </c>
      <c r="POY76" s="70">
        <v>0</v>
      </c>
      <c r="POZ76" s="70">
        <v>0</v>
      </c>
      <c r="PPA76" s="70">
        <v>0</v>
      </c>
      <c r="PPB76" s="70">
        <v>0</v>
      </c>
      <c r="PPC76" s="70">
        <v>0</v>
      </c>
      <c r="PPD76" s="70">
        <v>0</v>
      </c>
      <c r="PPE76" s="70">
        <v>0</v>
      </c>
      <c r="PPF76" s="70">
        <v>0</v>
      </c>
      <c r="PPG76" s="70">
        <v>0</v>
      </c>
      <c r="PPH76" s="70">
        <v>0</v>
      </c>
      <c r="PPI76" s="70">
        <v>0</v>
      </c>
      <c r="PPJ76" s="70">
        <v>0</v>
      </c>
      <c r="PPK76" s="70">
        <v>0</v>
      </c>
      <c r="PPL76" s="70">
        <v>0</v>
      </c>
      <c r="PPM76" s="70">
        <v>0</v>
      </c>
      <c r="PPN76" s="70">
        <v>0</v>
      </c>
      <c r="PPO76" s="70">
        <v>0</v>
      </c>
      <c r="PPP76" s="70">
        <v>0</v>
      </c>
      <c r="PPQ76" s="70">
        <v>0</v>
      </c>
      <c r="PPR76" s="70">
        <v>0</v>
      </c>
      <c r="PPS76" s="70">
        <v>0</v>
      </c>
      <c r="PPT76" s="70">
        <v>0</v>
      </c>
      <c r="PPU76" s="70">
        <v>0</v>
      </c>
      <c r="PPV76" s="70">
        <v>0</v>
      </c>
      <c r="PPW76" s="70">
        <v>0</v>
      </c>
      <c r="PPX76" s="70">
        <v>0</v>
      </c>
      <c r="PPY76" s="70">
        <v>0</v>
      </c>
      <c r="PPZ76" s="70">
        <v>0</v>
      </c>
      <c r="PQA76" s="70">
        <v>0</v>
      </c>
      <c r="PQB76" s="70">
        <v>0</v>
      </c>
      <c r="PQC76" s="70">
        <v>0</v>
      </c>
      <c r="PQD76" s="70">
        <v>0</v>
      </c>
      <c r="PQE76" s="70">
        <v>0</v>
      </c>
      <c r="PQF76" s="70">
        <v>0</v>
      </c>
      <c r="PQG76" s="70">
        <v>0</v>
      </c>
      <c r="PQH76" s="70">
        <v>0</v>
      </c>
      <c r="PQI76" s="70">
        <v>0</v>
      </c>
      <c r="PQJ76" s="70">
        <v>0</v>
      </c>
      <c r="PQK76" s="70">
        <v>0</v>
      </c>
      <c r="PQL76" s="70">
        <v>0</v>
      </c>
      <c r="PQM76" s="70">
        <v>0</v>
      </c>
      <c r="PQN76" s="70">
        <v>0</v>
      </c>
      <c r="PQO76" s="70">
        <v>0</v>
      </c>
      <c r="PQP76" s="70">
        <v>0</v>
      </c>
      <c r="PQQ76" s="70">
        <v>0</v>
      </c>
      <c r="PQR76" s="70">
        <v>0</v>
      </c>
      <c r="PQS76" s="70">
        <v>0</v>
      </c>
      <c r="PQT76" s="70">
        <v>0</v>
      </c>
      <c r="PQU76" s="70">
        <v>0</v>
      </c>
      <c r="PQV76" s="70">
        <v>0</v>
      </c>
      <c r="PQW76" s="70">
        <v>0</v>
      </c>
      <c r="PQX76" s="70">
        <v>0</v>
      </c>
      <c r="PQY76" s="70">
        <v>0</v>
      </c>
      <c r="PQZ76" s="70">
        <v>0</v>
      </c>
      <c r="PRA76" s="70">
        <v>0</v>
      </c>
      <c r="PRB76" s="70">
        <v>0</v>
      </c>
      <c r="PRC76" s="70">
        <v>0</v>
      </c>
      <c r="PRD76" s="70">
        <v>0</v>
      </c>
      <c r="PRE76" s="70">
        <v>0</v>
      </c>
      <c r="PRF76" s="70">
        <v>0</v>
      </c>
      <c r="PRG76" s="70">
        <v>0</v>
      </c>
      <c r="PRH76" s="70">
        <v>0</v>
      </c>
      <c r="PRI76" s="70">
        <v>0</v>
      </c>
      <c r="PRJ76" s="70">
        <v>0</v>
      </c>
      <c r="PRK76" s="70">
        <v>0</v>
      </c>
      <c r="PRL76" s="70">
        <v>0</v>
      </c>
      <c r="PRM76" s="70">
        <v>0</v>
      </c>
      <c r="PRN76" s="70">
        <v>0</v>
      </c>
      <c r="PRO76" s="70">
        <v>0</v>
      </c>
      <c r="PRP76" s="70">
        <v>0</v>
      </c>
      <c r="PRQ76" s="70">
        <v>0</v>
      </c>
      <c r="PRR76" s="70">
        <v>0</v>
      </c>
      <c r="PRS76" s="70">
        <v>0</v>
      </c>
      <c r="PRT76" s="70">
        <v>0</v>
      </c>
      <c r="PRU76" s="70">
        <v>0</v>
      </c>
      <c r="PRV76" s="70">
        <v>0</v>
      </c>
      <c r="PRW76" s="70">
        <v>0</v>
      </c>
      <c r="PRX76" s="70">
        <v>0</v>
      </c>
      <c r="PRY76" s="70">
        <v>0</v>
      </c>
      <c r="PRZ76" s="70">
        <v>0</v>
      </c>
      <c r="PSA76" s="70">
        <v>0</v>
      </c>
      <c r="PSB76" s="70">
        <v>0</v>
      </c>
      <c r="PSC76" s="70">
        <v>0</v>
      </c>
      <c r="PSD76" s="70">
        <v>0</v>
      </c>
      <c r="PSE76" s="70">
        <v>0</v>
      </c>
      <c r="PSF76" s="70">
        <v>0</v>
      </c>
      <c r="PSG76" s="70">
        <v>0</v>
      </c>
      <c r="PSH76" s="70">
        <v>0</v>
      </c>
      <c r="PSI76" s="70">
        <v>0</v>
      </c>
      <c r="PSJ76" s="70">
        <v>0</v>
      </c>
      <c r="PSK76" s="70">
        <v>0</v>
      </c>
      <c r="PSL76" s="70">
        <v>0</v>
      </c>
      <c r="PSM76" s="70">
        <v>0</v>
      </c>
      <c r="PSN76" s="70">
        <v>0</v>
      </c>
      <c r="PSO76" s="70">
        <v>0</v>
      </c>
      <c r="PSP76" s="70">
        <v>0</v>
      </c>
      <c r="PSQ76" s="70">
        <v>0</v>
      </c>
      <c r="PSR76" s="70">
        <v>0</v>
      </c>
      <c r="PSS76" s="70">
        <v>0</v>
      </c>
      <c r="PST76" s="70">
        <v>0</v>
      </c>
      <c r="PSU76" s="70">
        <v>0</v>
      </c>
      <c r="PSV76" s="70">
        <v>0</v>
      </c>
      <c r="PSW76" s="70">
        <v>0</v>
      </c>
      <c r="PSX76" s="70">
        <v>0</v>
      </c>
      <c r="PSY76" s="70">
        <v>0</v>
      </c>
      <c r="PSZ76" s="70">
        <v>0</v>
      </c>
      <c r="PTA76" s="70">
        <v>0</v>
      </c>
      <c r="PTB76" s="70">
        <v>0</v>
      </c>
      <c r="PTC76" s="70">
        <v>0</v>
      </c>
      <c r="PTD76" s="70">
        <v>0</v>
      </c>
      <c r="PTE76" s="70">
        <v>0</v>
      </c>
      <c r="PTF76" s="70">
        <v>0</v>
      </c>
      <c r="PTG76" s="70">
        <v>0</v>
      </c>
      <c r="PTH76" s="70">
        <v>0</v>
      </c>
      <c r="PTI76" s="70">
        <v>0</v>
      </c>
      <c r="PTJ76" s="70">
        <v>0</v>
      </c>
      <c r="PTK76" s="70">
        <v>0</v>
      </c>
      <c r="PTL76" s="70">
        <v>0</v>
      </c>
      <c r="PTM76" s="70">
        <v>0</v>
      </c>
      <c r="PTN76" s="70">
        <v>0</v>
      </c>
      <c r="PTO76" s="70">
        <v>0</v>
      </c>
      <c r="PTP76" s="70">
        <v>0</v>
      </c>
      <c r="PTQ76" s="70">
        <v>0</v>
      </c>
      <c r="PTR76" s="70">
        <v>0</v>
      </c>
      <c r="PTS76" s="70">
        <v>0</v>
      </c>
      <c r="PTT76" s="70">
        <v>0</v>
      </c>
      <c r="PTU76" s="70">
        <v>0</v>
      </c>
      <c r="PTV76" s="70">
        <v>0</v>
      </c>
      <c r="PTW76" s="70">
        <v>0</v>
      </c>
      <c r="PTX76" s="70">
        <v>0</v>
      </c>
      <c r="PTY76" s="70">
        <v>0</v>
      </c>
      <c r="PTZ76" s="70">
        <v>0</v>
      </c>
      <c r="PUA76" s="70">
        <v>0</v>
      </c>
      <c r="PUB76" s="70">
        <v>0</v>
      </c>
      <c r="PUC76" s="70">
        <v>0</v>
      </c>
      <c r="PUD76" s="70">
        <v>0</v>
      </c>
      <c r="PUE76" s="70">
        <v>0</v>
      </c>
      <c r="PUF76" s="70">
        <v>0</v>
      </c>
      <c r="PUG76" s="70">
        <v>0</v>
      </c>
      <c r="PUH76" s="70">
        <v>0</v>
      </c>
      <c r="PUI76" s="70">
        <v>0</v>
      </c>
      <c r="PUJ76" s="70">
        <v>0</v>
      </c>
      <c r="PUK76" s="70">
        <v>0</v>
      </c>
      <c r="PUL76" s="70">
        <v>0</v>
      </c>
      <c r="PUM76" s="70">
        <v>0</v>
      </c>
      <c r="PUN76" s="70">
        <v>0</v>
      </c>
      <c r="PUO76" s="70">
        <v>0</v>
      </c>
      <c r="PUP76" s="70">
        <v>0</v>
      </c>
      <c r="PUQ76" s="70">
        <v>0</v>
      </c>
      <c r="PUR76" s="70">
        <v>0</v>
      </c>
      <c r="PUS76" s="70">
        <v>0</v>
      </c>
      <c r="PUT76" s="70">
        <v>0</v>
      </c>
      <c r="PUU76" s="70">
        <v>0</v>
      </c>
      <c r="PUV76" s="70">
        <v>0</v>
      </c>
      <c r="PUW76" s="70">
        <v>0</v>
      </c>
      <c r="PUX76" s="70">
        <v>0</v>
      </c>
      <c r="PUY76" s="70">
        <v>0</v>
      </c>
      <c r="PUZ76" s="70">
        <v>0</v>
      </c>
      <c r="PVA76" s="70">
        <v>0</v>
      </c>
      <c r="PVB76" s="70">
        <v>0</v>
      </c>
      <c r="PVC76" s="70">
        <v>0</v>
      </c>
      <c r="PVD76" s="70">
        <v>0</v>
      </c>
      <c r="PVE76" s="70">
        <v>0</v>
      </c>
      <c r="PVF76" s="70">
        <v>0</v>
      </c>
      <c r="PVG76" s="70">
        <v>0</v>
      </c>
      <c r="PVH76" s="70">
        <v>0</v>
      </c>
      <c r="PVI76" s="70">
        <v>0</v>
      </c>
      <c r="PVJ76" s="70">
        <v>0</v>
      </c>
      <c r="PVK76" s="70">
        <v>0</v>
      </c>
      <c r="PVL76" s="70">
        <v>0</v>
      </c>
      <c r="PVM76" s="70">
        <v>0</v>
      </c>
      <c r="PVN76" s="70">
        <v>0</v>
      </c>
      <c r="PVO76" s="70">
        <v>0</v>
      </c>
      <c r="PVP76" s="70">
        <v>0</v>
      </c>
      <c r="PVQ76" s="70">
        <v>0</v>
      </c>
      <c r="PVR76" s="70">
        <v>0</v>
      </c>
      <c r="PVS76" s="70">
        <v>0</v>
      </c>
      <c r="PVT76" s="70">
        <v>0</v>
      </c>
      <c r="PVU76" s="70">
        <v>0</v>
      </c>
      <c r="PVV76" s="70">
        <v>0</v>
      </c>
      <c r="PVW76" s="70">
        <v>0</v>
      </c>
      <c r="PVX76" s="70">
        <v>0</v>
      </c>
      <c r="PVY76" s="70">
        <v>0</v>
      </c>
      <c r="PVZ76" s="70">
        <v>0</v>
      </c>
      <c r="PWA76" s="70">
        <v>0</v>
      </c>
      <c r="PWB76" s="70">
        <v>0</v>
      </c>
      <c r="PWC76" s="70">
        <v>0</v>
      </c>
      <c r="PWD76" s="70">
        <v>0</v>
      </c>
      <c r="PWE76" s="70">
        <v>0</v>
      </c>
      <c r="PWF76" s="70">
        <v>0</v>
      </c>
      <c r="PWG76" s="70">
        <v>0</v>
      </c>
      <c r="PWH76" s="70">
        <v>0</v>
      </c>
      <c r="PWI76" s="70">
        <v>0</v>
      </c>
      <c r="PWJ76" s="70">
        <v>0</v>
      </c>
      <c r="PWK76" s="70">
        <v>0</v>
      </c>
      <c r="PWL76" s="70">
        <v>0</v>
      </c>
      <c r="PWM76" s="70">
        <v>0</v>
      </c>
      <c r="PWN76" s="70">
        <v>0</v>
      </c>
      <c r="PWO76" s="70">
        <v>0</v>
      </c>
      <c r="PWP76" s="70">
        <v>0</v>
      </c>
      <c r="PWQ76" s="70">
        <v>0</v>
      </c>
      <c r="PWR76" s="70">
        <v>0</v>
      </c>
      <c r="PWS76" s="70">
        <v>0</v>
      </c>
      <c r="PWT76" s="70">
        <v>0</v>
      </c>
      <c r="PWU76" s="70">
        <v>0</v>
      </c>
      <c r="PWV76" s="70">
        <v>0</v>
      </c>
      <c r="PWW76" s="70">
        <v>0</v>
      </c>
      <c r="PWX76" s="70">
        <v>0</v>
      </c>
      <c r="PWY76" s="70">
        <v>0</v>
      </c>
      <c r="PWZ76" s="70">
        <v>0</v>
      </c>
      <c r="PXA76" s="70">
        <v>0</v>
      </c>
      <c r="PXB76" s="70">
        <v>0</v>
      </c>
      <c r="PXC76" s="70">
        <v>0</v>
      </c>
      <c r="PXD76" s="70">
        <v>0</v>
      </c>
      <c r="PXE76" s="70">
        <v>0</v>
      </c>
      <c r="PXF76" s="70">
        <v>0</v>
      </c>
      <c r="PXG76" s="70">
        <v>0</v>
      </c>
      <c r="PXH76" s="70">
        <v>0</v>
      </c>
      <c r="PXI76" s="70">
        <v>0</v>
      </c>
      <c r="PXJ76" s="70">
        <v>0</v>
      </c>
      <c r="PXK76" s="70">
        <v>0</v>
      </c>
      <c r="PXL76" s="70">
        <v>0</v>
      </c>
      <c r="PXM76" s="70">
        <v>0</v>
      </c>
      <c r="PXN76" s="70">
        <v>0</v>
      </c>
      <c r="PXO76" s="70">
        <v>0</v>
      </c>
      <c r="PXP76" s="70">
        <v>0</v>
      </c>
      <c r="PXQ76" s="70">
        <v>0</v>
      </c>
      <c r="PXR76" s="70">
        <v>0</v>
      </c>
      <c r="PXS76" s="70">
        <v>0</v>
      </c>
      <c r="PXT76" s="70">
        <v>0</v>
      </c>
      <c r="PXU76" s="70">
        <v>0</v>
      </c>
      <c r="PXV76" s="70">
        <v>0</v>
      </c>
      <c r="PXW76" s="70">
        <v>0</v>
      </c>
      <c r="PXX76" s="70">
        <v>0</v>
      </c>
      <c r="PXY76" s="70">
        <v>0</v>
      </c>
      <c r="PXZ76" s="70">
        <v>0</v>
      </c>
      <c r="PYA76" s="70">
        <v>0</v>
      </c>
      <c r="PYB76" s="70">
        <v>0</v>
      </c>
      <c r="PYC76" s="70">
        <v>0</v>
      </c>
      <c r="PYD76" s="70">
        <v>0</v>
      </c>
      <c r="PYE76" s="70">
        <v>0</v>
      </c>
      <c r="PYF76" s="70">
        <v>0</v>
      </c>
      <c r="PYG76" s="70">
        <v>0</v>
      </c>
      <c r="PYH76" s="70">
        <v>0</v>
      </c>
      <c r="PYI76" s="70">
        <v>0</v>
      </c>
      <c r="PYJ76" s="70">
        <v>0</v>
      </c>
      <c r="PYK76" s="70">
        <v>0</v>
      </c>
      <c r="PYL76" s="70">
        <v>0</v>
      </c>
      <c r="PYM76" s="70">
        <v>0</v>
      </c>
      <c r="PYN76" s="70">
        <v>0</v>
      </c>
      <c r="PYO76" s="70">
        <v>0</v>
      </c>
      <c r="PYP76" s="70">
        <v>0</v>
      </c>
      <c r="PYQ76" s="70">
        <v>0</v>
      </c>
      <c r="PYR76" s="70">
        <v>0</v>
      </c>
      <c r="PYS76" s="70">
        <v>0</v>
      </c>
      <c r="PYT76" s="70">
        <v>0</v>
      </c>
      <c r="PYU76" s="70">
        <v>0</v>
      </c>
      <c r="PYV76" s="70">
        <v>0</v>
      </c>
      <c r="PYW76" s="70">
        <v>0</v>
      </c>
      <c r="PYX76" s="70">
        <v>0</v>
      </c>
      <c r="PYY76" s="70">
        <v>0</v>
      </c>
      <c r="PYZ76" s="70">
        <v>0</v>
      </c>
      <c r="PZA76" s="70">
        <v>0</v>
      </c>
      <c r="PZB76" s="70">
        <v>0</v>
      </c>
      <c r="PZC76" s="70">
        <v>0</v>
      </c>
      <c r="PZD76" s="70">
        <v>0</v>
      </c>
      <c r="PZE76" s="70">
        <v>0</v>
      </c>
      <c r="PZF76" s="70">
        <v>0</v>
      </c>
      <c r="PZG76" s="70">
        <v>0</v>
      </c>
      <c r="PZH76" s="70">
        <v>0</v>
      </c>
      <c r="PZI76" s="70">
        <v>0</v>
      </c>
      <c r="PZJ76" s="70">
        <v>0</v>
      </c>
      <c r="PZK76" s="70">
        <v>0</v>
      </c>
      <c r="PZL76" s="70">
        <v>0</v>
      </c>
      <c r="PZM76" s="70">
        <v>0</v>
      </c>
      <c r="PZN76" s="70">
        <v>0</v>
      </c>
      <c r="PZO76" s="70">
        <v>0</v>
      </c>
      <c r="PZP76" s="70">
        <v>0</v>
      </c>
      <c r="PZQ76" s="70">
        <v>0</v>
      </c>
      <c r="PZR76" s="70">
        <v>0</v>
      </c>
      <c r="PZS76" s="70">
        <v>0</v>
      </c>
      <c r="PZT76" s="70">
        <v>0</v>
      </c>
      <c r="PZU76" s="70">
        <v>0</v>
      </c>
      <c r="PZV76" s="70">
        <v>0</v>
      </c>
      <c r="PZW76" s="70">
        <v>0</v>
      </c>
      <c r="PZX76" s="70">
        <v>0</v>
      </c>
      <c r="PZY76" s="70">
        <v>0</v>
      </c>
      <c r="PZZ76" s="70">
        <v>0</v>
      </c>
      <c r="QAA76" s="70">
        <v>0</v>
      </c>
      <c r="QAB76" s="70">
        <v>0</v>
      </c>
      <c r="QAC76" s="70">
        <v>0</v>
      </c>
      <c r="QAD76" s="70">
        <v>0</v>
      </c>
      <c r="QAE76" s="70">
        <v>0</v>
      </c>
      <c r="QAF76" s="70">
        <v>0</v>
      </c>
      <c r="QAG76" s="70">
        <v>0</v>
      </c>
      <c r="QAH76" s="70">
        <v>0</v>
      </c>
      <c r="QAI76" s="70">
        <v>0</v>
      </c>
      <c r="QAJ76" s="70">
        <v>0</v>
      </c>
      <c r="QAK76" s="70">
        <v>0</v>
      </c>
      <c r="QAL76" s="70">
        <v>0</v>
      </c>
      <c r="QAM76" s="70">
        <v>0</v>
      </c>
      <c r="QAN76" s="70">
        <v>0</v>
      </c>
      <c r="QAO76" s="70">
        <v>0</v>
      </c>
      <c r="QAP76" s="70">
        <v>0</v>
      </c>
      <c r="QAQ76" s="70">
        <v>0</v>
      </c>
      <c r="QAR76" s="70">
        <v>0</v>
      </c>
      <c r="QAS76" s="70">
        <v>0</v>
      </c>
      <c r="QAT76" s="70">
        <v>0</v>
      </c>
      <c r="QAU76" s="70">
        <v>0</v>
      </c>
      <c r="QAV76" s="70">
        <v>0</v>
      </c>
      <c r="QAW76" s="70">
        <v>0</v>
      </c>
      <c r="QAX76" s="70">
        <v>0</v>
      </c>
      <c r="QAY76" s="70">
        <v>0</v>
      </c>
      <c r="QAZ76" s="70">
        <v>0</v>
      </c>
      <c r="QBA76" s="70">
        <v>0</v>
      </c>
      <c r="QBB76" s="70">
        <v>0</v>
      </c>
      <c r="QBC76" s="70">
        <v>0</v>
      </c>
      <c r="QBD76" s="70">
        <v>0</v>
      </c>
      <c r="QBE76" s="70">
        <v>0</v>
      </c>
      <c r="QBF76" s="70">
        <v>0</v>
      </c>
      <c r="QBG76" s="70">
        <v>0</v>
      </c>
      <c r="QBH76" s="70">
        <v>0</v>
      </c>
      <c r="QBI76" s="70">
        <v>0</v>
      </c>
      <c r="QBJ76" s="70">
        <v>0</v>
      </c>
      <c r="QBK76" s="70">
        <v>0</v>
      </c>
      <c r="QBL76" s="70">
        <v>0</v>
      </c>
      <c r="QBM76" s="70">
        <v>0</v>
      </c>
      <c r="QBN76" s="70">
        <v>0</v>
      </c>
      <c r="QBO76" s="70">
        <v>0</v>
      </c>
      <c r="QBP76" s="70">
        <v>0</v>
      </c>
      <c r="QBQ76" s="70">
        <v>0</v>
      </c>
      <c r="QBR76" s="70">
        <v>0</v>
      </c>
      <c r="QBS76" s="70">
        <v>0</v>
      </c>
      <c r="QBT76" s="70">
        <v>0</v>
      </c>
      <c r="QBU76" s="70">
        <v>0</v>
      </c>
      <c r="QBV76" s="70">
        <v>0</v>
      </c>
      <c r="QBW76" s="70">
        <v>0</v>
      </c>
      <c r="QBX76" s="70">
        <v>0</v>
      </c>
      <c r="QBY76" s="70">
        <v>0</v>
      </c>
      <c r="QBZ76" s="70">
        <v>0</v>
      </c>
      <c r="QCA76" s="70">
        <v>0</v>
      </c>
      <c r="QCB76" s="70">
        <v>0</v>
      </c>
      <c r="QCC76" s="70">
        <v>0</v>
      </c>
      <c r="QCD76" s="70">
        <v>0</v>
      </c>
      <c r="QCE76" s="70">
        <v>0</v>
      </c>
      <c r="QCF76" s="70">
        <v>0</v>
      </c>
      <c r="QCG76" s="70">
        <v>0</v>
      </c>
      <c r="QCH76" s="70">
        <v>0</v>
      </c>
      <c r="QCI76" s="70">
        <v>0</v>
      </c>
      <c r="QCJ76" s="70">
        <v>0</v>
      </c>
      <c r="QCK76" s="70">
        <v>0</v>
      </c>
      <c r="QCL76" s="70">
        <v>0</v>
      </c>
      <c r="QCM76" s="70">
        <v>0</v>
      </c>
      <c r="QCN76" s="70">
        <v>0</v>
      </c>
      <c r="QCO76" s="70">
        <v>0</v>
      </c>
      <c r="QCP76" s="70">
        <v>0</v>
      </c>
      <c r="QCQ76" s="70">
        <v>0</v>
      </c>
      <c r="QCR76" s="70">
        <v>0</v>
      </c>
      <c r="QCS76" s="70">
        <v>0</v>
      </c>
      <c r="QCT76" s="70">
        <v>0</v>
      </c>
      <c r="QCU76" s="70">
        <v>0</v>
      </c>
      <c r="QCV76" s="70">
        <v>0</v>
      </c>
      <c r="QCW76" s="70">
        <v>0</v>
      </c>
      <c r="QCX76" s="70">
        <v>0</v>
      </c>
      <c r="QCY76" s="70">
        <v>0</v>
      </c>
      <c r="QCZ76" s="70">
        <v>0</v>
      </c>
      <c r="QDA76" s="70">
        <v>0</v>
      </c>
      <c r="QDB76" s="70">
        <v>0</v>
      </c>
      <c r="QDC76" s="70">
        <v>0</v>
      </c>
      <c r="QDD76" s="70">
        <v>0</v>
      </c>
      <c r="QDE76" s="70">
        <v>0</v>
      </c>
      <c r="QDF76" s="70">
        <v>0</v>
      </c>
      <c r="QDG76" s="70">
        <v>0</v>
      </c>
      <c r="QDH76" s="70">
        <v>0</v>
      </c>
      <c r="QDI76" s="70">
        <v>0</v>
      </c>
      <c r="QDJ76" s="70">
        <v>0</v>
      </c>
      <c r="QDK76" s="70">
        <v>0</v>
      </c>
      <c r="QDL76" s="70">
        <v>0</v>
      </c>
      <c r="QDM76" s="70">
        <v>0</v>
      </c>
      <c r="QDN76" s="70">
        <v>0</v>
      </c>
      <c r="QDO76" s="70">
        <v>0</v>
      </c>
      <c r="QDP76" s="70">
        <v>0</v>
      </c>
      <c r="QDQ76" s="70">
        <v>0</v>
      </c>
      <c r="QDR76" s="70">
        <v>0</v>
      </c>
      <c r="QDS76" s="70">
        <v>0</v>
      </c>
      <c r="QDT76" s="70">
        <v>0</v>
      </c>
      <c r="QDU76" s="70">
        <v>0</v>
      </c>
      <c r="QDV76" s="70">
        <v>0</v>
      </c>
      <c r="QDW76" s="70">
        <v>0</v>
      </c>
      <c r="QDX76" s="70">
        <v>0</v>
      </c>
      <c r="QDY76" s="70">
        <v>0</v>
      </c>
      <c r="QDZ76" s="70">
        <v>0</v>
      </c>
      <c r="QEA76" s="70">
        <v>0</v>
      </c>
      <c r="QEB76" s="70">
        <v>0</v>
      </c>
      <c r="QEC76" s="70">
        <v>0</v>
      </c>
      <c r="QED76" s="70">
        <v>0</v>
      </c>
      <c r="QEE76" s="70">
        <v>0</v>
      </c>
      <c r="QEF76" s="70">
        <v>0</v>
      </c>
      <c r="QEG76" s="70">
        <v>0</v>
      </c>
      <c r="QEH76" s="70">
        <v>0</v>
      </c>
      <c r="QEI76" s="70">
        <v>0</v>
      </c>
      <c r="QEJ76" s="70">
        <v>0</v>
      </c>
      <c r="QEK76" s="70">
        <v>0</v>
      </c>
      <c r="QEL76" s="70">
        <v>0</v>
      </c>
      <c r="QEM76" s="70">
        <v>0</v>
      </c>
      <c r="QEN76" s="70">
        <v>0</v>
      </c>
      <c r="QEO76" s="70">
        <v>0</v>
      </c>
      <c r="QEP76" s="70">
        <v>0</v>
      </c>
      <c r="QEQ76" s="70">
        <v>0</v>
      </c>
      <c r="QER76" s="70">
        <v>0</v>
      </c>
      <c r="QES76" s="70">
        <v>0</v>
      </c>
      <c r="QET76" s="70">
        <v>0</v>
      </c>
      <c r="QEU76" s="70">
        <v>0</v>
      </c>
      <c r="QEV76" s="70">
        <v>0</v>
      </c>
      <c r="QEW76" s="70">
        <v>0</v>
      </c>
      <c r="QEX76" s="70">
        <v>0</v>
      </c>
      <c r="QEY76" s="70">
        <v>0</v>
      </c>
      <c r="QEZ76" s="70">
        <v>0</v>
      </c>
      <c r="QFA76" s="70">
        <v>0</v>
      </c>
      <c r="QFB76" s="70">
        <v>0</v>
      </c>
      <c r="QFC76" s="70">
        <v>0</v>
      </c>
      <c r="QFD76" s="70">
        <v>0</v>
      </c>
      <c r="QFE76" s="70">
        <v>0</v>
      </c>
      <c r="QFF76" s="70">
        <v>0</v>
      </c>
      <c r="QFG76" s="70">
        <v>0</v>
      </c>
      <c r="QFH76" s="70">
        <v>0</v>
      </c>
      <c r="QFI76" s="70">
        <v>0</v>
      </c>
      <c r="QFJ76" s="70">
        <v>0</v>
      </c>
      <c r="QFK76" s="70">
        <v>0</v>
      </c>
      <c r="QFL76" s="70">
        <v>0</v>
      </c>
      <c r="QFM76" s="70">
        <v>0</v>
      </c>
      <c r="QFN76" s="70">
        <v>0</v>
      </c>
      <c r="QFO76" s="70">
        <v>0</v>
      </c>
      <c r="QFP76" s="70">
        <v>0</v>
      </c>
      <c r="QFQ76" s="70">
        <v>0</v>
      </c>
      <c r="QFR76" s="70">
        <v>0</v>
      </c>
      <c r="QFS76" s="70">
        <v>0</v>
      </c>
      <c r="QFT76" s="70">
        <v>0</v>
      </c>
      <c r="QFU76" s="70">
        <v>0</v>
      </c>
      <c r="QFV76" s="70">
        <v>0</v>
      </c>
      <c r="QFW76" s="70">
        <v>0</v>
      </c>
      <c r="QFX76" s="70">
        <v>0</v>
      </c>
      <c r="QFY76" s="70">
        <v>0</v>
      </c>
      <c r="QFZ76" s="70">
        <v>0</v>
      </c>
      <c r="QGA76" s="70">
        <v>0</v>
      </c>
      <c r="QGB76" s="70">
        <v>0</v>
      </c>
      <c r="QGC76" s="70">
        <v>0</v>
      </c>
      <c r="QGD76" s="70">
        <v>0</v>
      </c>
      <c r="QGE76" s="70">
        <v>0</v>
      </c>
      <c r="QGF76" s="70">
        <v>0</v>
      </c>
      <c r="QGG76" s="70">
        <v>0</v>
      </c>
      <c r="QGH76" s="70">
        <v>0</v>
      </c>
      <c r="QGI76" s="70">
        <v>0</v>
      </c>
      <c r="QGJ76" s="70">
        <v>0</v>
      </c>
      <c r="QGK76" s="70">
        <v>0</v>
      </c>
      <c r="QGL76" s="70">
        <v>0</v>
      </c>
      <c r="QGM76" s="70">
        <v>0</v>
      </c>
      <c r="QGN76" s="70">
        <v>0</v>
      </c>
      <c r="QGO76" s="70">
        <v>0</v>
      </c>
      <c r="QGP76" s="70">
        <v>0</v>
      </c>
      <c r="QGQ76" s="70">
        <v>0</v>
      </c>
      <c r="QGR76" s="70">
        <v>0</v>
      </c>
      <c r="QGS76" s="70">
        <v>0</v>
      </c>
      <c r="QGT76" s="70">
        <v>0</v>
      </c>
      <c r="QGU76" s="70">
        <v>0</v>
      </c>
      <c r="QGV76" s="70">
        <v>0</v>
      </c>
      <c r="QGW76" s="70">
        <v>0</v>
      </c>
      <c r="QGX76" s="70">
        <v>0</v>
      </c>
      <c r="QGY76" s="70">
        <v>0</v>
      </c>
      <c r="QGZ76" s="70">
        <v>0</v>
      </c>
      <c r="QHA76" s="70">
        <v>0</v>
      </c>
      <c r="QHB76" s="70">
        <v>0</v>
      </c>
      <c r="QHC76" s="70">
        <v>0</v>
      </c>
      <c r="QHD76" s="70">
        <v>0</v>
      </c>
      <c r="QHE76" s="70">
        <v>0</v>
      </c>
      <c r="QHF76" s="70">
        <v>0</v>
      </c>
      <c r="QHG76" s="70">
        <v>0</v>
      </c>
      <c r="QHH76" s="70">
        <v>0</v>
      </c>
      <c r="QHI76" s="70">
        <v>0</v>
      </c>
      <c r="QHJ76" s="70">
        <v>0</v>
      </c>
      <c r="QHK76" s="70">
        <v>0</v>
      </c>
      <c r="QHL76" s="70">
        <v>0</v>
      </c>
      <c r="QHM76" s="70">
        <v>0</v>
      </c>
      <c r="QHN76" s="70">
        <v>0</v>
      </c>
      <c r="QHO76" s="70">
        <v>0</v>
      </c>
      <c r="QHP76" s="70">
        <v>0</v>
      </c>
      <c r="QHQ76" s="70">
        <v>0</v>
      </c>
      <c r="QHR76" s="70">
        <v>0</v>
      </c>
      <c r="QHS76" s="70">
        <v>0</v>
      </c>
      <c r="QHT76" s="70">
        <v>0</v>
      </c>
      <c r="QHU76" s="70">
        <v>0</v>
      </c>
      <c r="QHV76" s="70">
        <v>0</v>
      </c>
      <c r="QHW76" s="70">
        <v>0</v>
      </c>
      <c r="QHX76" s="70">
        <v>0</v>
      </c>
      <c r="QHY76" s="70">
        <v>0</v>
      </c>
      <c r="QHZ76" s="70">
        <v>0</v>
      </c>
      <c r="QIA76" s="70">
        <v>0</v>
      </c>
      <c r="QIB76" s="70">
        <v>0</v>
      </c>
      <c r="QIC76" s="70">
        <v>0</v>
      </c>
      <c r="QID76" s="70">
        <v>0</v>
      </c>
      <c r="QIE76" s="70">
        <v>0</v>
      </c>
      <c r="QIF76" s="70">
        <v>0</v>
      </c>
      <c r="QIG76" s="70">
        <v>0</v>
      </c>
      <c r="QIH76" s="70">
        <v>0</v>
      </c>
      <c r="QII76" s="70">
        <v>0</v>
      </c>
      <c r="QIJ76" s="70">
        <v>0</v>
      </c>
      <c r="QIK76" s="70">
        <v>0</v>
      </c>
      <c r="QIL76" s="70">
        <v>0</v>
      </c>
      <c r="QIM76" s="70">
        <v>0</v>
      </c>
      <c r="QIN76" s="70">
        <v>0</v>
      </c>
      <c r="QIO76" s="70">
        <v>0</v>
      </c>
      <c r="QIP76" s="70">
        <v>0</v>
      </c>
      <c r="QIQ76" s="70">
        <v>0</v>
      </c>
      <c r="QIR76" s="70">
        <v>0</v>
      </c>
      <c r="QIS76" s="70">
        <v>0</v>
      </c>
      <c r="QIT76" s="70">
        <v>0</v>
      </c>
      <c r="QIU76" s="70">
        <v>0</v>
      </c>
      <c r="QIV76" s="70">
        <v>0</v>
      </c>
      <c r="QIW76" s="70">
        <v>0</v>
      </c>
      <c r="QIX76" s="70">
        <v>0</v>
      </c>
      <c r="QIY76" s="70">
        <v>0</v>
      </c>
      <c r="QIZ76" s="70">
        <v>0</v>
      </c>
      <c r="QJA76" s="70">
        <v>0</v>
      </c>
      <c r="QJB76" s="70">
        <v>0</v>
      </c>
      <c r="QJC76" s="70">
        <v>0</v>
      </c>
      <c r="QJD76" s="70">
        <v>0</v>
      </c>
      <c r="QJE76" s="70">
        <v>0</v>
      </c>
      <c r="QJF76" s="70">
        <v>0</v>
      </c>
      <c r="QJG76" s="70">
        <v>0</v>
      </c>
      <c r="QJH76" s="70">
        <v>0</v>
      </c>
      <c r="QJI76" s="70">
        <v>0</v>
      </c>
      <c r="QJJ76" s="70">
        <v>0</v>
      </c>
      <c r="QJK76" s="70">
        <v>0</v>
      </c>
      <c r="QJL76" s="70">
        <v>0</v>
      </c>
      <c r="QJM76" s="70">
        <v>0</v>
      </c>
      <c r="QJN76" s="70">
        <v>0</v>
      </c>
      <c r="QJO76" s="70">
        <v>0</v>
      </c>
      <c r="QJP76" s="70">
        <v>0</v>
      </c>
      <c r="QJQ76" s="70">
        <v>0</v>
      </c>
      <c r="QJR76" s="70">
        <v>0</v>
      </c>
      <c r="QJS76" s="70">
        <v>0</v>
      </c>
      <c r="QJT76" s="70">
        <v>0</v>
      </c>
      <c r="QJU76" s="70">
        <v>0</v>
      </c>
      <c r="QJV76" s="70">
        <v>0</v>
      </c>
      <c r="QJW76" s="70">
        <v>0</v>
      </c>
      <c r="QJX76" s="70">
        <v>0</v>
      </c>
      <c r="QJY76" s="70">
        <v>0</v>
      </c>
      <c r="QJZ76" s="70">
        <v>0</v>
      </c>
      <c r="QKA76" s="70">
        <v>0</v>
      </c>
      <c r="QKB76" s="70">
        <v>0</v>
      </c>
      <c r="QKC76" s="70">
        <v>0</v>
      </c>
      <c r="QKD76" s="70">
        <v>0</v>
      </c>
      <c r="QKE76" s="70">
        <v>0</v>
      </c>
      <c r="QKF76" s="70">
        <v>0</v>
      </c>
      <c r="QKG76" s="70">
        <v>0</v>
      </c>
      <c r="QKH76" s="70">
        <v>0</v>
      </c>
      <c r="QKI76" s="70">
        <v>0</v>
      </c>
      <c r="QKJ76" s="70">
        <v>0</v>
      </c>
      <c r="QKK76" s="70">
        <v>0</v>
      </c>
      <c r="QKL76" s="70">
        <v>0</v>
      </c>
      <c r="QKM76" s="70">
        <v>0</v>
      </c>
      <c r="QKN76" s="70">
        <v>0</v>
      </c>
      <c r="QKO76" s="70">
        <v>0</v>
      </c>
      <c r="QKP76" s="70">
        <v>0</v>
      </c>
      <c r="QKQ76" s="70">
        <v>0</v>
      </c>
      <c r="QKR76" s="70">
        <v>0</v>
      </c>
      <c r="QKS76" s="70">
        <v>0</v>
      </c>
      <c r="QKT76" s="70">
        <v>0</v>
      </c>
      <c r="QKU76" s="70">
        <v>0</v>
      </c>
      <c r="QKV76" s="70">
        <v>0</v>
      </c>
      <c r="QKW76" s="70">
        <v>0</v>
      </c>
      <c r="QKX76" s="70">
        <v>0</v>
      </c>
      <c r="QKY76" s="70">
        <v>0</v>
      </c>
      <c r="QKZ76" s="70">
        <v>0</v>
      </c>
      <c r="QLA76" s="70">
        <v>0</v>
      </c>
      <c r="QLB76" s="70">
        <v>0</v>
      </c>
      <c r="QLC76" s="70">
        <v>0</v>
      </c>
      <c r="QLD76" s="70">
        <v>0</v>
      </c>
      <c r="QLE76" s="70">
        <v>0</v>
      </c>
      <c r="QLF76" s="70">
        <v>0</v>
      </c>
      <c r="QLG76" s="70">
        <v>0</v>
      </c>
      <c r="QLH76" s="70">
        <v>0</v>
      </c>
      <c r="QLI76" s="70">
        <v>0</v>
      </c>
      <c r="QLJ76" s="70">
        <v>0</v>
      </c>
      <c r="QLK76" s="70">
        <v>0</v>
      </c>
      <c r="QLL76" s="70">
        <v>0</v>
      </c>
      <c r="QLM76" s="70">
        <v>0</v>
      </c>
      <c r="QLN76" s="70">
        <v>0</v>
      </c>
      <c r="QLO76" s="70">
        <v>0</v>
      </c>
      <c r="QLP76" s="70">
        <v>0</v>
      </c>
      <c r="QLQ76" s="70">
        <v>0</v>
      </c>
      <c r="QLR76" s="70">
        <v>0</v>
      </c>
      <c r="QLS76" s="70">
        <v>0</v>
      </c>
      <c r="QLT76" s="70">
        <v>0</v>
      </c>
      <c r="QLU76" s="70">
        <v>0</v>
      </c>
      <c r="QLV76" s="70">
        <v>0</v>
      </c>
      <c r="QLW76" s="70">
        <v>0</v>
      </c>
      <c r="QLX76" s="70">
        <v>0</v>
      </c>
      <c r="QLY76" s="70">
        <v>0</v>
      </c>
      <c r="QLZ76" s="70">
        <v>0</v>
      </c>
      <c r="QMA76" s="70">
        <v>0</v>
      </c>
      <c r="QMB76" s="70">
        <v>0</v>
      </c>
      <c r="QMC76" s="70">
        <v>0</v>
      </c>
      <c r="QMD76" s="70">
        <v>0</v>
      </c>
      <c r="QME76" s="70">
        <v>0</v>
      </c>
      <c r="QMF76" s="70">
        <v>0</v>
      </c>
      <c r="QMG76" s="70">
        <v>0</v>
      </c>
      <c r="QMH76" s="70">
        <v>0</v>
      </c>
      <c r="QMI76" s="70">
        <v>0</v>
      </c>
      <c r="QMJ76" s="70">
        <v>0</v>
      </c>
      <c r="QMK76" s="70">
        <v>0</v>
      </c>
      <c r="QML76" s="70">
        <v>0</v>
      </c>
      <c r="QMM76" s="70">
        <v>0</v>
      </c>
      <c r="QMN76" s="70">
        <v>0</v>
      </c>
      <c r="QMO76" s="70">
        <v>0</v>
      </c>
      <c r="QMP76" s="70">
        <v>0</v>
      </c>
      <c r="QMQ76" s="70">
        <v>0</v>
      </c>
      <c r="QMR76" s="70">
        <v>0</v>
      </c>
      <c r="QMS76" s="70">
        <v>0</v>
      </c>
      <c r="QMT76" s="70">
        <v>0</v>
      </c>
      <c r="QMU76" s="70">
        <v>0</v>
      </c>
      <c r="QMV76" s="70">
        <v>0</v>
      </c>
      <c r="QMW76" s="70">
        <v>0</v>
      </c>
      <c r="QMX76" s="70">
        <v>0</v>
      </c>
      <c r="QMY76" s="70">
        <v>0</v>
      </c>
      <c r="QMZ76" s="70">
        <v>0</v>
      </c>
      <c r="QNA76" s="70">
        <v>0</v>
      </c>
      <c r="QNB76" s="70">
        <v>0</v>
      </c>
      <c r="QNC76" s="70">
        <v>0</v>
      </c>
      <c r="QND76" s="70">
        <v>0</v>
      </c>
      <c r="QNE76" s="70">
        <v>0</v>
      </c>
      <c r="QNF76" s="70">
        <v>0</v>
      </c>
      <c r="QNG76" s="70">
        <v>0</v>
      </c>
      <c r="QNH76" s="70">
        <v>0</v>
      </c>
      <c r="QNI76" s="70">
        <v>0</v>
      </c>
      <c r="QNJ76" s="70">
        <v>0</v>
      </c>
      <c r="QNK76" s="70">
        <v>0</v>
      </c>
      <c r="QNL76" s="70">
        <v>0</v>
      </c>
      <c r="QNM76" s="70">
        <v>0</v>
      </c>
      <c r="QNN76" s="70">
        <v>0</v>
      </c>
      <c r="QNO76" s="70">
        <v>0</v>
      </c>
      <c r="QNP76" s="70">
        <v>0</v>
      </c>
      <c r="QNQ76" s="70">
        <v>0</v>
      </c>
      <c r="QNR76" s="70">
        <v>0</v>
      </c>
      <c r="QNS76" s="70">
        <v>0</v>
      </c>
      <c r="QNT76" s="70">
        <v>0</v>
      </c>
      <c r="QNU76" s="70">
        <v>0</v>
      </c>
      <c r="QNV76" s="70">
        <v>0</v>
      </c>
      <c r="QNW76" s="70">
        <v>0</v>
      </c>
      <c r="QNX76" s="70">
        <v>0</v>
      </c>
      <c r="QNY76" s="70">
        <v>0</v>
      </c>
      <c r="QNZ76" s="70">
        <v>0</v>
      </c>
      <c r="QOA76" s="70">
        <v>0</v>
      </c>
      <c r="QOB76" s="70">
        <v>0</v>
      </c>
      <c r="QOC76" s="70">
        <v>0</v>
      </c>
      <c r="QOD76" s="70">
        <v>0</v>
      </c>
      <c r="QOE76" s="70">
        <v>0</v>
      </c>
      <c r="QOF76" s="70">
        <v>0</v>
      </c>
      <c r="QOG76" s="70">
        <v>0</v>
      </c>
      <c r="QOH76" s="70">
        <v>0</v>
      </c>
      <c r="QOI76" s="70">
        <v>0</v>
      </c>
      <c r="QOJ76" s="70">
        <v>0</v>
      </c>
      <c r="QOK76" s="70">
        <v>0</v>
      </c>
      <c r="QOL76" s="70">
        <v>0</v>
      </c>
      <c r="QOM76" s="70">
        <v>0</v>
      </c>
      <c r="QON76" s="70">
        <v>0</v>
      </c>
      <c r="QOO76" s="70">
        <v>0</v>
      </c>
      <c r="QOP76" s="70">
        <v>0</v>
      </c>
      <c r="QOQ76" s="70">
        <v>0</v>
      </c>
      <c r="QOR76" s="70">
        <v>0</v>
      </c>
      <c r="QOS76" s="70">
        <v>0</v>
      </c>
      <c r="QOT76" s="70">
        <v>0</v>
      </c>
      <c r="QOU76" s="70">
        <v>0</v>
      </c>
      <c r="QOV76" s="70">
        <v>0</v>
      </c>
      <c r="QOW76" s="70">
        <v>0</v>
      </c>
      <c r="QOX76" s="70">
        <v>0</v>
      </c>
      <c r="QOY76" s="70">
        <v>0</v>
      </c>
      <c r="QOZ76" s="70">
        <v>0</v>
      </c>
      <c r="QPA76" s="70">
        <v>0</v>
      </c>
      <c r="QPB76" s="70">
        <v>0</v>
      </c>
      <c r="QPC76" s="70">
        <v>0</v>
      </c>
      <c r="QPD76" s="70">
        <v>0</v>
      </c>
      <c r="QPE76" s="70">
        <v>0</v>
      </c>
      <c r="QPF76" s="70">
        <v>0</v>
      </c>
      <c r="QPG76" s="70">
        <v>0</v>
      </c>
      <c r="QPH76" s="70">
        <v>0</v>
      </c>
      <c r="QPI76" s="70">
        <v>0</v>
      </c>
      <c r="QPJ76" s="70">
        <v>0</v>
      </c>
      <c r="QPK76" s="70">
        <v>0</v>
      </c>
      <c r="QPL76" s="70">
        <v>0</v>
      </c>
      <c r="QPM76" s="70">
        <v>0</v>
      </c>
      <c r="QPN76" s="70">
        <v>0</v>
      </c>
      <c r="QPO76" s="70">
        <v>0</v>
      </c>
      <c r="QPP76" s="70">
        <v>0</v>
      </c>
      <c r="QPQ76" s="70">
        <v>0</v>
      </c>
      <c r="QPR76" s="70">
        <v>0</v>
      </c>
      <c r="QPS76" s="70">
        <v>0</v>
      </c>
      <c r="QPT76" s="70">
        <v>0</v>
      </c>
      <c r="QPU76" s="70">
        <v>0</v>
      </c>
      <c r="QPV76" s="70">
        <v>0</v>
      </c>
      <c r="QPW76" s="70">
        <v>0</v>
      </c>
      <c r="QPX76" s="70">
        <v>0</v>
      </c>
      <c r="QPY76" s="70">
        <v>0</v>
      </c>
      <c r="QPZ76" s="70">
        <v>0</v>
      </c>
      <c r="QQA76" s="70">
        <v>0</v>
      </c>
      <c r="QQB76" s="70">
        <v>0</v>
      </c>
      <c r="QQC76" s="70">
        <v>0</v>
      </c>
      <c r="QQD76" s="70">
        <v>0</v>
      </c>
      <c r="QQE76" s="70">
        <v>0</v>
      </c>
      <c r="QQF76" s="70">
        <v>0</v>
      </c>
      <c r="QQG76" s="70">
        <v>0</v>
      </c>
      <c r="QQH76" s="70">
        <v>0</v>
      </c>
      <c r="QQI76" s="70">
        <v>0</v>
      </c>
      <c r="QQJ76" s="70">
        <v>0</v>
      </c>
      <c r="QQK76" s="70">
        <v>0</v>
      </c>
      <c r="QQL76" s="70">
        <v>0</v>
      </c>
      <c r="QQM76" s="70">
        <v>0</v>
      </c>
      <c r="QQN76" s="70">
        <v>0</v>
      </c>
      <c r="QQO76" s="70">
        <v>0</v>
      </c>
      <c r="QQP76" s="70">
        <v>0</v>
      </c>
      <c r="QQQ76" s="70">
        <v>0</v>
      </c>
      <c r="QQR76" s="70">
        <v>0</v>
      </c>
      <c r="QQS76" s="70">
        <v>0</v>
      </c>
      <c r="QQT76" s="70">
        <v>0</v>
      </c>
      <c r="QQU76" s="70">
        <v>0</v>
      </c>
      <c r="QQV76" s="70">
        <v>0</v>
      </c>
      <c r="QQW76" s="70">
        <v>0</v>
      </c>
      <c r="QQX76" s="70">
        <v>0</v>
      </c>
      <c r="QQY76" s="70">
        <v>0</v>
      </c>
      <c r="QQZ76" s="70">
        <v>0</v>
      </c>
      <c r="QRA76" s="70">
        <v>0</v>
      </c>
      <c r="QRB76" s="70">
        <v>0</v>
      </c>
      <c r="QRC76" s="70">
        <v>0</v>
      </c>
      <c r="QRD76" s="70">
        <v>0</v>
      </c>
      <c r="QRE76" s="70">
        <v>0</v>
      </c>
      <c r="QRF76" s="70">
        <v>0</v>
      </c>
      <c r="QRG76" s="70">
        <v>0</v>
      </c>
      <c r="QRH76" s="70">
        <v>0</v>
      </c>
      <c r="QRI76" s="70">
        <v>0</v>
      </c>
      <c r="QRJ76" s="70">
        <v>0</v>
      </c>
      <c r="QRK76" s="70">
        <v>0</v>
      </c>
      <c r="QRL76" s="70">
        <v>0</v>
      </c>
      <c r="QRM76" s="70">
        <v>0</v>
      </c>
      <c r="QRN76" s="70">
        <v>0</v>
      </c>
      <c r="QRO76" s="70">
        <v>0</v>
      </c>
      <c r="QRP76" s="70">
        <v>0</v>
      </c>
      <c r="QRQ76" s="70">
        <v>0</v>
      </c>
      <c r="QRR76" s="70">
        <v>0</v>
      </c>
      <c r="QRS76" s="70">
        <v>0</v>
      </c>
      <c r="QRT76" s="70">
        <v>0</v>
      </c>
      <c r="QRU76" s="70">
        <v>0</v>
      </c>
      <c r="QRV76" s="70">
        <v>0</v>
      </c>
      <c r="QRW76" s="70">
        <v>0</v>
      </c>
      <c r="QRX76" s="70">
        <v>0</v>
      </c>
      <c r="QRY76" s="70">
        <v>0</v>
      </c>
      <c r="QRZ76" s="70">
        <v>0</v>
      </c>
      <c r="QSA76" s="70">
        <v>0</v>
      </c>
      <c r="QSB76" s="70">
        <v>0</v>
      </c>
      <c r="QSC76" s="70">
        <v>0</v>
      </c>
      <c r="QSD76" s="70">
        <v>0</v>
      </c>
      <c r="QSE76" s="70">
        <v>0</v>
      </c>
      <c r="QSF76" s="70">
        <v>0</v>
      </c>
      <c r="QSG76" s="70">
        <v>0</v>
      </c>
      <c r="QSH76" s="70">
        <v>0</v>
      </c>
      <c r="QSI76" s="70">
        <v>0</v>
      </c>
      <c r="QSJ76" s="70">
        <v>0</v>
      </c>
      <c r="QSK76" s="70">
        <v>0</v>
      </c>
      <c r="QSL76" s="70">
        <v>0</v>
      </c>
      <c r="QSM76" s="70">
        <v>0</v>
      </c>
      <c r="QSN76" s="70">
        <v>0</v>
      </c>
      <c r="QSO76" s="70">
        <v>0</v>
      </c>
      <c r="QSP76" s="70">
        <v>0</v>
      </c>
      <c r="QSQ76" s="70">
        <v>0</v>
      </c>
      <c r="QSR76" s="70">
        <v>0</v>
      </c>
      <c r="QSS76" s="70">
        <v>0</v>
      </c>
      <c r="QST76" s="70">
        <v>0</v>
      </c>
      <c r="QSU76" s="70">
        <v>0</v>
      </c>
      <c r="QSV76" s="70">
        <v>0</v>
      </c>
      <c r="QSW76" s="70">
        <v>0</v>
      </c>
      <c r="QSX76" s="70">
        <v>0</v>
      </c>
      <c r="QSY76" s="70">
        <v>0</v>
      </c>
      <c r="QSZ76" s="70">
        <v>0</v>
      </c>
      <c r="QTA76" s="70">
        <v>0</v>
      </c>
      <c r="QTB76" s="70">
        <v>0</v>
      </c>
      <c r="QTC76" s="70">
        <v>0</v>
      </c>
      <c r="QTD76" s="70">
        <v>0</v>
      </c>
      <c r="QTE76" s="70">
        <v>0</v>
      </c>
      <c r="QTF76" s="70">
        <v>0</v>
      </c>
      <c r="QTG76" s="70">
        <v>0</v>
      </c>
      <c r="QTH76" s="70">
        <v>0</v>
      </c>
      <c r="QTI76" s="70">
        <v>0</v>
      </c>
      <c r="QTJ76" s="70">
        <v>0</v>
      </c>
      <c r="QTK76" s="70">
        <v>0</v>
      </c>
      <c r="QTL76" s="70">
        <v>0</v>
      </c>
      <c r="QTM76" s="70">
        <v>0</v>
      </c>
      <c r="QTN76" s="70">
        <v>0</v>
      </c>
      <c r="QTO76" s="70">
        <v>0</v>
      </c>
      <c r="QTP76" s="70">
        <v>0</v>
      </c>
      <c r="QTQ76" s="70">
        <v>0</v>
      </c>
      <c r="QTR76" s="70">
        <v>0</v>
      </c>
      <c r="QTS76" s="70">
        <v>0</v>
      </c>
      <c r="QTT76" s="70">
        <v>0</v>
      </c>
      <c r="QTU76" s="70">
        <v>0</v>
      </c>
      <c r="QTV76" s="70">
        <v>0</v>
      </c>
      <c r="QTW76" s="70">
        <v>0</v>
      </c>
      <c r="QTX76" s="70">
        <v>0</v>
      </c>
      <c r="QTY76" s="70">
        <v>0</v>
      </c>
      <c r="QTZ76" s="70">
        <v>0</v>
      </c>
      <c r="QUA76" s="70">
        <v>0</v>
      </c>
      <c r="QUB76" s="70">
        <v>0</v>
      </c>
      <c r="QUC76" s="70">
        <v>0</v>
      </c>
      <c r="QUD76" s="70">
        <v>0</v>
      </c>
      <c r="QUE76" s="70">
        <v>0</v>
      </c>
      <c r="QUF76" s="70">
        <v>0</v>
      </c>
      <c r="QUG76" s="70">
        <v>0</v>
      </c>
      <c r="QUH76" s="70">
        <v>0</v>
      </c>
      <c r="QUI76" s="70">
        <v>0</v>
      </c>
      <c r="QUJ76" s="70">
        <v>0</v>
      </c>
      <c r="QUK76" s="70">
        <v>0</v>
      </c>
      <c r="QUL76" s="70">
        <v>0</v>
      </c>
      <c r="QUM76" s="70">
        <v>0</v>
      </c>
      <c r="QUN76" s="70">
        <v>0</v>
      </c>
      <c r="QUO76" s="70">
        <v>0</v>
      </c>
      <c r="QUP76" s="70">
        <v>0</v>
      </c>
      <c r="QUQ76" s="70">
        <v>0</v>
      </c>
      <c r="QUR76" s="70">
        <v>0</v>
      </c>
      <c r="QUS76" s="70">
        <v>0</v>
      </c>
      <c r="QUT76" s="70">
        <v>0</v>
      </c>
      <c r="QUU76" s="70">
        <v>0</v>
      </c>
      <c r="QUV76" s="70">
        <v>0</v>
      </c>
      <c r="QUW76" s="70">
        <v>0</v>
      </c>
      <c r="QUX76" s="70">
        <v>0</v>
      </c>
      <c r="QUY76" s="70">
        <v>0</v>
      </c>
      <c r="QUZ76" s="70">
        <v>0</v>
      </c>
      <c r="QVA76" s="70">
        <v>0</v>
      </c>
      <c r="QVB76" s="70">
        <v>0</v>
      </c>
      <c r="QVC76" s="70">
        <v>0</v>
      </c>
      <c r="QVD76" s="70">
        <v>0</v>
      </c>
      <c r="QVE76" s="70">
        <v>0</v>
      </c>
      <c r="QVF76" s="70">
        <v>0</v>
      </c>
      <c r="QVG76" s="70">
        <v>0</v>
      </c>
      <c r="QVH76" s="70">
        <v>0</v>
      </c>
      <c r="QVI76" s="70">
        <v>0</v>
      </c>
      <c r="QVJ76" s="70">
        <v>0</v>
      </c>
      <c r="QVK76" s="70">
        <v>0</v>
      </c>
      <c r="QVL76" s="70">
        <v>0</v>
      </c>
      <c r="QVM76" s="70">
        <v>0</v>
      </c>
      <c r="QVN76" s="70">
        <v>0</v>
      </c>
      <c r="QVO76" s="70">
        <v>0</v>
      </c>
      <c r="QVP76" s="70">
        <v>0</v>
      </c>
      <c r="QVQ76" s="70">
        <v>0</v>
      </c>
      <c r="QVR76" s="70">
        <v>0</v>
      </c>
      <c r="QVS76" s="70">
        <v>0</v>
      </c>
      <c r="QVT76" s="70">
        <v>0</v>
      </c>
      <c r="QVU76" s="70">
        <v>0</v>
      </c>
      <c r="QVV76" s="70">
        <v>0</v>
      </c>
      <c r="QVW76" s="70">
        <v>0</v>
      </c>
      <c r="QVX76" s="70">
        <v>0</v>
      </c>
      <c r="QVY76" s="70">
        <v>0</v>
      </c>
      <c r="QVZ76" s="70">
        <v>0</v>
      </c>
      <c r="QWA76" s="70">
        <v>0</v>
      </c>
      <c r="QWB76" s="70">
        <v>0</v>
      </c>
      <c r="QWC76" s="70">
        <v>0</v>
      </c>
      <c r="QWD76" s="70">
        <v>0</v>
      </c>
      <c r="QWE76" s="70">
        <v>0</v>
      </c>
      <c r="QWF76" s="70">
        <v>0</v>
      </c>
      <c r="QWG76" s="70">
        <v>0</v>
      </c>
      <c r="QWH76" s="70">
        <v>0</v>
      </c>
      <c r="QWI76" s="70">
        <v>0</v>
      </c>
      <c r="QWJ76" s="70">
        <v>0</v>
      </c>
      <c r="QWK76" s="70">
        <v>0</v>
      </c>
      <c r="QWL76" s="70">
        <v>0</v>
      </c>
      <c r="QWM76" s="70">
        <v>0</v>
      </c>
      <c r="QWN76" s="70">
        <v>0</v>
      </c>
      <c r="QWO76" s="70">
        <v>0</v>
      </c>
      <c r="QWP76" s="70">
        <v>0</v>
      </c>
      <c r="QWQ76" s="70">
        <v>0</v>
      </c>
      <c r="QWR76" s="70">
        <v>0</v>
      </c>
      <c r="QWS76" s="70">
        <v>0</v>
      </c>
      <c r="QWT76" s="70">
        <v>0</v>
      </c>
      <c r="QWU76" s="70">
        <v>0</v>
      </c>
      <c r="QWV76" s="70">
        <v>0</v>
      </c>
      <c r="QWW76" s="70">
        <v>0</v>
      </c>
      <c r="QWX76" s="70">
        <v>0</v>
      </c>
      <c r="QWY76" s="70">
        <v>0</v>
      </c>
      <c r="QWZ76" s="70">
        <v>0</v>
      </c>
      <c r="QXA76" s="70">
        <v>0</v>
      </c>
      <c r="QXB76" s="70">
        <v>0</v>
      </c>
      <c r="QXC76" s="70">
        <v>0</v>
      </c>
      <c r="QXD76" s="70">
        <v>0</v>
      </c>
      <c r="QXE76" s="70">
        <v>0</v>
      </c>
      <c r="QXF76" s="70">
        <v>0</v>
      </c>
      <c r="QXG76" s="70">
        <v>0</v>
      </c>
      <c r="QXH76" s="70">
        <v>0</v>
      </c>
      <c r="QXI76" s="70">
        <v>0</v>
      </c>
      <c r="QXJ76" s="70">
        <v>0</v>
      </c>
      <c r="QXK76" s="70">
        <v>0</v>
      </c>
      <c r="QXL76" s="70">
        <v>0</v>
      </c>
      <c r="QXM76" s="70">
        <v>0</v>
      </c>
      <c r="QXN76" s="70">
        <v>0</v>
      </c>
      <c r="QXO76" s="70">
        <v>0</v>
      </c>
      <c r="QXP76" s="70">
        <v>0</v>
      </c>
      <c r="QXQ76" s="70">
        <v>0</v>
      </c>
      <c r="QXR76" s="70">
        <v>0</v>
      </c>
      <c r="QXS76" s="70">
        <v>0</v>
      </c>
      <c r="QXT76" s="70">
        <v>0</v>
      </c>
      <c r="QXU76" s="70">
        <v>0</v>
      </c>
      <c r="QXV76" s="70">
        <v>0</v>
      </c>
      <c r="QXW76" s="70">
        <v>0</v>
      </c>
      <c r="QXX76" s="70">
        <v>0</v>
      </c>
      <c r="QXY76" s="70">
        <v>0</v>
      </c>
      <c r="QXZ76" s="70">
        <v>0</v>
      </c>
      <c r="QYA76" s="70">
        <v>0</v>
      </c>
      <c r="QYB76" s="70">
        <v>0</v>
      </c>
      <c r="QYC76" s="70">
        <v>0</v>
      </c>
      <c r="QYD76" s="70">
        <v>0</v>
      </c>
      <c r="QYE76" s="70">
        <v>0</v>
      </c>
      <c r="QYF76" s="70">
        <v>0</v>
      </c>
      <c r="QYG76" s="70">
        <v>0</v>
      </c>
      <c r="QYH76" s="70">
        <v>0</v>
      </c>
      <c r="QYI76" s="70">
        <v>0</v>
      </c>
      <c r="QYJ76" s="70">
        <v>0</v>
      </c>
      <c r="QYK76" s="70">
        <v>0</v>
      </c>
      <c r="QYL76" s="70">
        <v>0</v>
      </c>
      <c r="QYM76" s="70">
        <v>0</v>
      </c>
      <c r="QYN76" s="70">
        <v>0</v>
      </c>
      <c r="QYO76" s="70">
        <v>0</v>
      </c>
      <c r="QYP76" s="70">
        <v>0</v>
      </c>
      <c r="QYQ76" s="70">
        <v>0</v>
      </c>
      <c r="QYR76" s="70">
        <v>0</v>
      </c>
      <c r="QYS76" s="70">
        <v>0</v>
      </c>
      <c r="QYT76" s="70">
        <v>0</v>
      </c>
      <c r="QYU76" s="70">
        <v>0</v>
      </c>
      <c r="QYV76" s="70">
        <v>0</v>
      </c>
      <c r="QYW76" s="70">
        <v>0</v>
      </c>
      <c r="QYX76" s="70">
        <v>0</v>
      </c>
      <c r="QYY76" s="70">
        <v>0</v>
      </c>
      <c r="QYZ76" s="70">
        <v>0</v>
      </c>
      <c r="QZA76" s="70">
        <v>0</v>
      </c>
      <c r="QZB76" s="70">
        <v>0</v>
      </c>
      <c r="QZC76" s="70">
        <v>0</v>
      </c>
      <c r="QZD76" s="70">
        <v>0</v>
      </c>
      <c r="QZE76" s="70">
        <v>0</v>
      </c>
      <c r="QZF76" s="70">
        <v>0</v>
      </c>
      <c r="QZG76" s="70">
        <v>0</v>
      </c>
      <c r="QZH76" s="70">
        <v>0</v>
      </c>
      <c r="QZI76" s="70">
        <v>0</v>
      </c>
      <c r="QZJ76" s="70">
        <v>0</v>
      </c>
      <c r="QZK76" s="70">
        <v>0</v>
      </c>
      <c r="QZL76" s="70">
        <v>0</v>
      </c>
      <c r="QZM76" s="70">
        <v>0</v>
      </c>
      <c r="QZN76" s="70">
        <v>0</v>
      </c>
      <c r="QZO76" s="70">
        <v>0</v>
      </c>
      <c r="QZP76" s="70">
        <v>0</v>
      </c>
      <c r="QZQ76" s="70">
        <v>0</v>
      </c>
      <c r="QZR76" s="70">
        <v>0</v>
      </c>
      <c r="QZS76" s="70">
        <v>0</v>
      </c>
      <c r="QZT76" s="70">
        <v>0</v>
      </c>
      <c r="QZU76" s="70">
        <v>0</v>
      </c>
      <c r="QZV76" s="70">
        <v>0</v>
      </c>
      <c r="QZW76" s="70">
        <v>0</v>
      </c>
      <c r="QZX76" s="70">
        <v>0</v>
      </c>
      <c r="QZY76" s="70">
        <v>0</v>
      </c>
      <c r="QZZ76" s="70">
        <v>0</v>
      </c>
      <c r="RAA76" s="70">
        <v>0</v>
      </c>
      <c r="RAB76" s="70">
        <v>0</v>
      </c>
      <c r="RAC76" s="70">
        <v>0</v>
      </c>
      <c r="RAD76" s="70">
        <v>0</v>
      </c>
      <c r="RAE76" s="70">
        <v>0</v>
      </c>
      <c r="RAF76" s="70">
        <v>0</v>
      </c>
      <c r="RAG76" s="70">
        <v>0</v>
      </c>
      <c r="RAH76" s="70">
        <v>0</v>
      </c>
      <c r="RAI76" s="70">
        <v>0</v>
      </c>
      <c r="RAJ76" s="70">
        <v>0</v>
      </c>
      <c r="RAK76" s="70">
        <v>0</v>
      </c>
      <c r="RAL76" s="70">
        <v>0</v>
      </c>
      <c r="RAM76" s="70">
        <v>0</v>
      </c>
      <c r="RAN76" s="70">
        <v>0</v>
      </c>
      <c r="RAO76" s="70">
        <v>0</v>
      </c>
      <c r="RAP76" s="70">
        <v>0</v>
      </c>
      <c r="RAQ76" s="70">
        <v>0</v>
      </c>
      <c r="RAR76" s="70">
        <v>0</v>
      </c>
      <c r="RAS76" s="70">
        <v>0</v>
      </c>
      <c r="RAT76" s="70">
        <v>0</v>
      </c>
      <c r="RAU76" s="70">
        <v>0</v>
      </c>
      <c r="RAV76" s="70">
        <v>0</v>
      </c>
      <c r="RAW76" s="70">
        <v>0</v>
      </c>
      <c r="RAX76" s="70">
        <v>0</v>
      </c>
      <c r="RAY76" s="70">
        <v>0</v>
      </c>
      <c r="RAZ76" s="70">
        <v>0</v>
      </c>
      <c r="RBA76" s="70">
        <v>0</v>
      </c>
      <c r="RBB76" s="70">
        <v>0</v>
      </c>
      <c r="RBC76" s="70">
        <v>0</v>
      </c>
      <c r="RBD76" s="70">
        <v>0</v>
      </c>
      <c r="RBE76" s="70">
        <v>0</v>
      </c>
      <c r="RBF76" s="70">
        <v>0</v>
      </c>
      <c r="RBG76" s="70">
        <v>0</v>
      </c>
      <c r="RBH76" s="70">
        <v>0</v>
      </c>
      <c r="RBI76" s="70">
        <v>0</v>
      </c>
      <c r="RBJ76" s="70">
        <v>0</v>
      </c>
      <c r="RBK76" s="70">
        <v>0</v>
      </c>
      <c r="RBL76" s="70">
        <v>0</v>
      </c>
      <c r="RBM76" s="70">
        <v>0</v>
      </c>
      <c r="RBN76" s="70">
        <v>0</v>
      </c>
      <c r="RBO76" s="70">
        <v>0</v>
      </c>
      <c r="RBP76" s="70">
        <v>0</v>
      </c>
      <c r="RBQ76" s="70">
        <v>0</v>
      </c>
      <c r="RBR76" s="70">
        <v>0</v>
      </c>
      <c r="RBS76" s="70">
        <v>0</v>
      </c>
      <c r="RBT76" s="70">
        <v>0</v>
      </c>
      <c r="RBU76" s="70">
        <v>0</v>
      </c>
      <c r="RBV76" s="70">
        <v>0</v>
      </c>
      <c r="RBW76" s="70">
        <v>0</v>
      </c>
      <c r="RBX76" s="70">
        <v>0</v>
      </c>
      <c r="RBY76" s="70">
        <v>0</v>
      </c>
      <c r="RBZ76" s="70">
        <v>0</v>
      </c>
      <c r="RCA76" s="70">
        <v>0</v>
      </c>
      <c r="RCB76" s="70">
        <v>0</v>
      </c>
      <c r="RCC76" s="70">
        <v>0</v>
      </c>
      <c r="RCD76" s="70">
        <v>0</v>
      </c>
      <c r="RCE76" s="70">
        <v>0</v>
      </c>
      <c r="RCF76" s="70">
        <v>0</v>
      </c>
      <c r="RCG76" s="70">
        <v>0</v>
      </c>
      <c r="RCH76" s="70">
        <v>0</v>
      </c>
      <c r="RCI76" s="70">
        <v>0</v>
      </c>
      <c r="RCJ76" s="70">
        <v>0</v>
      </c>
      <c r="RCK76" s="70">
        <v>0</v>
      </c>
      <c r="RCL76" s="70">
        <v>0</v>
      </c>
      <c r="RCM76" s="70">
        <v>0</v>
      </c>
      <c r="RCN76" s="70">
        <v>0</v>
      </c>
      <c r="RCO76" s="70">
        <v>0</v>
      </c>
      <c r="RCP76" s="70">
        <v>0</v>
      </c>
      <c r="RCQ76" s="70">
        <v>0</v>
      </c>
      <c r="RCR76" s="70">
        <v>0</v>
      </c>
      <c r="RCS76" s="70">
        <v>0</v>
      </c>
      <c r="RCT76" s="70">
        <v>0</v>
      </c>
      <c r="RCU76" s="70">
        <v>0</v>
      </c>
      <c r="RCV76" s="70">
        <v>0</v>
      </c>
      <c r="RCW76" s="70">
        <v>0</v>
      </c>
      <c r="RCX76" s="70">
        <v>0</v>
      </c>
      <c r="RCY76" s="70">
        <v>0</v>
      </c>
      <c r="RCZ76" s="70">
        <v>0</v>
      </c>
      <c r="RDA76" s="70">
        <v>0</v>
      </c>
      <c r="RDB76" s="70">
        <v>0</v>
      </c>
      <c r="RDC76" s="70">
        <v>0</v>
      </c>
      <c r="RDD76" s="70">
        <v>0</v>
      </c>
      <c r="RDE76" s="70">
        <v>0</v>
      </c>
      <c r="RDF76" s="70">
        <v>0</v>
      </c>
      <c r="RDG76" s="70">
        <v>0</v>
      </c>
      <c r="RDH76" s="70">
        <v>0</v>
      </c>
      <c r="RDI76" s="70">
        <v>0</v>
      </c>
      <c r="RDJ76" s="70">
        <v>0</v>
      </c>
      <c r="RDK76" s="70">
        <v>0</v>
      </c>
      <c r="RDL76" s="70">
        <v>0</v>
      </c>
      <c r="RDM76" s="70">
        <v>0</v>
      </c>
      <c r="RDN76" s="70">
        <v>0</v>
      </c>
      <c r="RDO76" s="70">
        <v>0</v>
      </c>
      <c r="RDP76" s="70">
        <v>0</v>
      </c>
      <c r="RDQ76" s="70">
        <v>0</v>
      </c>
      <c r="RDR76" s="70">
        <v>0</v>
      </c>
      <c r="RDS76" s="70">
        <v>0</v>
      </c>
      <c r="RDT76" s="70">
        <v>0</v>
      </c>
      <c r="RDU76" s="70">
        <v>0</v>
      </c>
      <c r="RDV76" s="70">
        <v>0</v>
      </c>
      <c r="RDW76" s="70">
        <v>0</v>
      </c>
      <c r="RDX76" s="70">
        <v>0</v>
      </c>
      <c r="RDY76" s="70">
        <v>0</v>
      </c>
      <c r="RDZ76" s="70">
        <v>0</v>
      </c>
      <c r="REA76" s="70">
        <v>0</v>
      </c>
      <c r="REB76" s="70">
        <v>0</v>
      </c>
      <c r="REC76" s="70">
        <v>0</v>
      </c>
      <c r="RED76" s="70">
        <v>0</v>
      </c>
      <c r="REE76" s="70">
        <v>0</v>
      </c>
      <c r="REF76" s="70">
        <v>0</v>
      </c>
      <c r="REG76" s="70">
        <v>0</v>
      </c>
      <c r="REH76" s="70">
        <v>0</v>
      </c>
      <c r="REI76" s="70">
        <v>0</v>
      </c>
      <c r="REJ76" s="70">
        <v>0</v>
      </c>
      <c r="REK76" s="70">
        <v>0</v>
      </c>
      <c r="REL76" s="70">
        <v>0</v>
      </c>
      <c r="REM76" s="70">
        <v>0</v>
      </c>
      <c r="REN76" s="70">
        <v>0</v>
      </c>
      <c r="REO76" s="70">
        <v>0</v>
      </c>
      <c r="REP76" s="70">
        <v>0</v>
      </c>
      <c r="REQ76" s="70">
        <v>0</v>
      </c>
      <c r="RER76" s="70">
        <v>0</v>
      </c>
      <c r="RES76" s="70">
        <v>0</v>
      </c>
      <c r="RET76" s="70">
        <v>0</v>
      </c>
      <c r="REU76" s="70">
        <v>0</v>
      </c>
      <c r="REV76" s="70">
        <v>0</v>
      </c>
      <c r="REW76" s="70">
        <v>0</v>
      </c>
      <c r="REX76" s="70">
        <v>0</v>
      </c>
      <c r="REY76" s="70">
        <v>0</v>
      </c>
      <c r="REZ76" s="70">
        <v>0</v>
      </c>
      <c r="RFA76" s="70">
        <v>0</v>
      </c>
      <c r="RFB76" s="70">
        <v>0</v>
      </c>
      <c r="RFC76" s="70">
        <v>0</v>
      </c>
      <c r="RFD76" s="70">
        <v>0</v>
      </c>
      <c r="RFE76" s="70">
        <v>0</v>
      </c>
      <c r="RFF76" s="70">
        <v>0</v>
      </c>
      <c r="RFG76" s="70">
        <v>0</v>
      </c>
      <c r="RFH76" s="70">
        <v>0</v>
      </c>
      <c r="RFI76" s="70">
        <v>0</v>
      </c>
      <c r="RFJ76" s="70">
        <v>0</v>
      </c>
      <c r="RFK76" s="70">
        <v>0</v>
      </c>
      <c r="RFL76" s="70">
        <v>0</v>
      </c>
      <c r="RFM76" s="70">
        <v>0</v>
      </c>
      <c r="RFN76" s="70">
        <v>0</v>
      </c>
      <c r="RFO76" s="70">
        <v>0</v>
      </c>
      <c r="RFP76" s="70">
        <v>0</v>
      </c>
      <c r="RFQ76" s="70">
        <v>0</v>
      </c>
      <c r="RFR76" s="70">
        <v>0</v>
      </c>
      <c r="RFS76" s="70">
        <v>0</v>
      </c>
      <c r="RFT76" s="70">
        <v>0</v>
      </c>
      <c r="RFU76" s="70">
        <v>0</v>
      </c>
      <c r="RFV76" s="70">
        <v>0</v>
      </c>
      <c r="RFW76" s="70">
        <v>0</v>
      </c>
      <c r="RFX76" s="70">
        <v>0</v>
      </c>
      <c r="RFY76" s="70">
        <v>0</v>
      </c>
      <c r="RFZ76" s="70">
        <v>0</v>
      </c>
      <c r="RGA76" s="70">
        <v>0</v>
      </c>
      <c r="RGB76" s="70">
        <v>0</v>
      </c>
      <c r="RGC76" s="70">
        <v>0</v>
      </c>
      <c r="RGD76" s="70">
        <v>0</v>
      </c>
      <c r="RGE76" s="70">
        <v>0</v>
      </c>
      <c r="RGF76" s="70">
        <v>0</v>
      </c>
      <c r="RGG76" s="70">
        <v>0</v>
      </c>
      <c r="RGH76" s="70">
        <v>0</v>
      </c>
      <c r="RGI76" s="70">
        <v>0</v>
      </c>
      <c r="RGJ76" s="70">
        <v>0</v>
      </c>
      <c r="RGK76" s="70">
        <v>0</v>
      </c>
      <c r="RGL76" s="70">
        <v>0</v>
      </c>
      <c r="RGM76" s="70">
        <v>0</v>
      </c>
      <c r="RGN76" s="70">
        <v>0</v>
      </c>
      <c r="RGO76" s="70">
        <v>0</v>
      </c>
      <c r="RGP76" s="70">
        <v>0</v>
      </c>
      <c r="RGQ76" s="70">
        <v>0</v>
      </c>
      <c r="RGR76" s="70">
        <v>0</v>
      </c>
      <c r="RGS76" s="70">
        <v>0</v>
      </c>
      <c r="RGT76" s="70">
        <v>0</v>
      </c>
      <c r="RGU76" s="70">
        <v>0</v>
      </c>
      <c r="RGV76" s="70">
        <v>0</v>
      </c>
      <c r="RGW76" s="70">
        <v>0</v>
      </c>
      <c r="RGX76" s="70">
        <v>0</v>
      </c>
      <c r="RGY76" s="70">
        <v>0</v>
      </c>
      <c r="RGZ76" s="70">
        <v>0</v>
      </c>
      <c r="RHA76" s="70">
        <v>0</v>
      </c>
      <c r="RHB76" s="70">
        <v>0</v>
      </c>
      <c r="RHC76" s="70">
        <v>0</v>
      </c>
      <c r="RHD76" s="70">
        <v>0</v>
      </c>
      <c r="RHE76" s="70">
        <v>0</v>
      </c>
      <c r="RHF76" s="70">
        <v>0</v>
      </c>
      <c r="RHG76" s="70">
        <v>0</v>
      </c>
      <c r="RHH76" s="70">
        <v>0</v>
      </c>
      <c r="RHI76" s="70">
        <v>0</v>
      </c>
      <c r="RHJ76" s="70">
        <v>0</v>
      </c>
      <c r="RHK76" s="70">
        <v>0</v>
      </c>
      <c r="RHL76" s="70">
        <v>0</v>
      </c>
      <c r="RHM76" s="70">
        <v>0</v>
      </c>
      <c r="RHN76" s="70">
        <v>0</v>
      </c>
      <c r="RHO76" s="70">
        <v>0</v>
      </c>
      <c r="RHP76" s="70">
        <v>0</v>
      </c>
      <c r="RHQ76" s="70">
        <v>0</v>
      </c>
      <c r="RHR76" s="70">
        <v>0</v>
      </c>
      <c r="RHS76" s="70">
        <v>0</v>
      </c>
      <c r="RHT76" s="70">
        <v>0</v>
      </c>
      <c r="RHU76" s="70">
        <v>0</v>
      </c>
      <c r="RHV76" s="70">
        <v>0</v>
      </c>
      <c r="RHW76" s="70">
        <v>0</v>
      </c>
      <c r="RHX76" s="70">
        <v>0</v>
      </c>
      <c r="RHY76" s="70">
        <v>0</v>
      </c>
      <c r="RHZ76" s="70">
        <v>0</v>
      </c>
      <c r="RIA76" s="70">
        <v>0</v>
      </c>
      <c r="RIB76" s="70">
        <v>0</v>
      </c>
      <c r="RIC76" s="70">
        <v>0</v>
      </c>
      <c r="RID76" s="70">
        <v>0</v>
      </c>
      <c r="RIE76" s="70">
        <v>0</v>
      </c>
      <c r="RIF76" s="70">
        <v>0</v>
      </c>
      <c r="RIG76" s="70">
        <v>0</v>
      </c>
      <c r="RIH76" s="70">
        <v>0</v>
      </c>
      <c r="RII76" s="70">
        <v>0</v>
      </c>
      <c r="RIJ76" s="70">
        <v>0</v>
      </c>
      <c r="RIK76" s="70">
        <v>0</v>
      </c>
      <c r="RIL76" s="70">
        <v>0</v>
      </c>
      <c r="RIM76" s="70">
        <v>0</v>
      </c>
      <c r="RIN76" s="70">
        <v>0</v>
      </c>
      <c r="RIO76" s="70">
        <v>0</v>
      </c>
      <c r="RIP76" s="70">
        <v>0</v>
      </c>
      <c r="RIQ76" s="70">
        <v>0</v>
      </c>
      <c r="RIR76" s="70">
        <v>0</v>
      </c>
      <c r="RIS76" s="70">
        <v>0</v>
      </c>
      <c r="RIT76" s="70">
        <v>0</v>
      </c>
      <c r="RIU76" s="70">
        <v>0</v>
      </c>
      <c r="RIV76" s="70">
        <v>0</v>
      </c>
      <c r="RIW76" s="70">
        <v>0</v>
      </c>
      <c r="RIX76" s="70">
        <v>0</v>
      </c>
      <c r="RIY76" s="70">
        <v>0</v>
      </c>
      <c r="RIZ76" s="70">
        <v>0</v>
      </c>
      <c r="RJA76" s="70">
        <v>0</v>
      </c>
      <c r="RJB76" s="70">
        <v>0</v>
      </c>
      <c r="RJC76" s="70">
        <v>0</v>
      </c>
      <c r="RJD76" s="70">
        <v>0</v>
      </c>
      <c r="RJE76" s="70">
        <v>0</v>
      </c>
      <c r="RJF76" s="70">
        <v>0</v>
      </c>
      <c r="RJG76" s="70">
        <v>0</v>
      </c>
      <c r="RJH76" s="70">
        <v>0</v>
      </c>
      <c r="RJI76" s="70">
        <v>0</v>
      </c>
      <c r="RJJ76" s="70">
        <v>0</v>
      </c>
      <c r="RJK76" s="70">
        <v>0</v>
      </c>
      <c r="RJL76" s="70">
        <v>0</v>
      </c>
      <c r="RJM76" s="70">
        <v>0</v>
      </c>
      <c r="RJN76" s="70">
        <v>0</v>
      </c>
      <c r="RJO76" s="70">
        <v>0</v>
      </c>
      <c r="RJP76" s="70">
        <v>0</v>
      </c>
      <c r="RJQ76" s="70">
        <v>0</v>
      </c>
      <c r="RJR76" s="70">
        <v>0</v>
      </c>
      <c r="RJS76" s="70">
        <v>0</v>
      </c>
      <c r="RJT76" s="70">
        <v>0</v>
      </c>
      <c r="RJU76" s="70">
        <v>0</v>
      </c>
      <c r="RJV76" s="70">
        <v>0</v>
      </c>
      <c r="RJW76" s="70">
        <v>0</v>
      </c>
      <c r="RJX76" s="70">
        <v>0</v>
      </c>
      <c r="RJY76" s="70">
        <v>0</v>
      </c>
      <c r="RJZ76" s="70">
        <v>0</v>
      </c>
      <c r="RKA76" s="70">
        <v>0</v>
      </c>
      <c r="RKB76" s="70">
        <v>0</v>
      </c>
      <c r="RKC76" s="70">
        <v>0</v>
      </c>
      <c r="RKD76" s="70">
        <v>0</v>
      </c>
      <c r="RKE76" s="70">
        <v>0</v>
      </c>
      <c r="RKF76" s="70">
        <v>0</v>
      </c>
      <c r="RKG76" s="70">
        <v>0</v>
      </c>
      <c r="RKH76" s="70">
        <v>0</v>
      </c>
      <c r="RKI76" s="70">
        <v>0</v>
      </c>
      <c r="RKJ76" s="70">
        <v>0</v>
      </c>
      <c r="RKK76" s="70">
        <v>0</v>
      </c>
      <c r="RKL76" s="70">
        <v>0</v>
      </c>
      <c r="RKM76" s="70">
        <v>0</v>
      </c>
      <c r="RKN76" s="70">
        <v>0</v>
      </c>
      <c r="RKO76" s="70">
        <v>0</v>
      </c>
      <c r="RKP76" s="70">
        <v>0</v>
      </c>
      <c r="RKQ76" s="70">
        <v>0</v>
      </c>
      <c r="RKR76" s="70">
        <v>0</v>
      </c>
      <c r="RKS76" s="70">
        <v>0</v>
      </c>
      <c r="RKT76" s="70">
        <v>0</v>
      </c>
      <c r="RKU76" s="70">
        <v>0</v>
      </c>
      <c r="RKV76" s="70">
        <v>0</v>
      </c>
      <c r="RKW76" s="70">
        <v>0</v>
      </c>
      <c r="RKX76" s="70">
        <v>0</v>
      </c>
      <c r="RKY76" s="70">
        <v>0</v>
      </c>
      <c r="RKZ76" s="70">
        <v>0</v>
      </c>
      <c r="RLA76" s="70">
        <v>0</v>
      </c>
      <c r="RLB76" s="70">
        <v>0</v>
      </c>
      <c r="RLC76" s="70">
        <v>0</v>
      </c>
      <c r="RLD76" s="70">
        <v>0</v>
      </c>
      <c r="RLE76" s="70">
        <v>0</v>
      </c>
      <c r="RLF76" s="70">
        <v>0</v>
      </c>
      <c r="RLG76" s="70">
        <v>0</v>
      </c>
      <c r="RLH76" s="70">
        <v>0</v>
      </c>
      <c r="RLI76" s="70">
        <v>0</v>
      </c>
      <c r="RLJ76" s="70">
        <v>0</v>
      </c>
      <c r="RLK76" s="70">
        <v>0</v>
      </c>
      <c r="RLL76" s="70">
        <v>0</v>
      </c>
      <c r="RLM76" s="70">
        <v>0</v>
      </c>
      <c r="RLN76" s="70">
        <v>0</v>
      </c>
      <c r="RLO76" s="70">
        <v>0</v>
      </c>
      <c r="RLP76" s="70">
        <v>0</v>
      </c>
      <c r="RLQ76" s="70">
        <v>0</v>
      </c>
      <c r="RLR76" s="70">
        <v>0</v>
      </c>
      <c r="RLS76" s="70">
        <v>0</v>
      </c>
      <c r="RLT76" s="70">
        <v>0</v>
      </c>
      <c r="RLU76" s="70">
        <v>0</v>
      </c>
      <c r="RLV76" s="70">
        <v>0</v>
      </c>
      <c r="RLW76" s="70">
        <v>0</v>
      </c>
      <c r="RLX76" s="70">
        <v>0</v>
      </c>
      <c r="RLY76" s="70">
        <v>0</v>
      </c>
      <c r="RLZ76" s="70">
        <v>0</v>
      </c>
      <c r="RMA76" s="70">
        <v>0</v>
      </c>
      <c r="RMB76" s="70">
        <v>0</v>
      </c>
      <c r="RMC76" s="70">
        <v>0</v>
      </c>
      <c r="RMD76" s="70">
        <v>0</v>
      </c>
      <c r="RME76" s="70">
        <v>0</v>
      </c>
      <c r="RMF76" s="70">
        <v>0</v>
      </c>
      <c r="RMG76" s="70">
        <v>0</v>
      </c>
      <c r="RMH76" s="70">
        <v>0</v>
      </c>
      <c r="RMI76" s="70">
        <v>0</v>
      </c>
      <c r="RMJ76" s="70">
        <v>0</v>
      </c>
      <c r="RMK76" s="70">
        <v>0</v>
      </c>
      <c r="RML76" s="70">
        <v>0</v>
      </c>
      <c r="RMM76" s="70">
        <v>0</v>
      </c>
      <c r="RMN76" s="70">
        <v>0</v>
      </c>
      <c r="RMO76" s="70">
        <v>0</v>
      </c>
      <c r="RMP76" s="70">
        <v>0</v>
      </c>
      <c r="RMQ76" s="70">
        <v>0</v>
      </c>
      <c r="RMR76" s="70">
        <v>0</v>
      </c>
      <c r="RMS76" s="70">
        <v>0</v>
      </c>
      <c r="RMT76" s="70">
        <v>0</v>
      </c>
      <c r="RMU76" s="70">
        <v>0</v>
      </c>
      <c r="RMV76" s="70">
        <v>0</v>
      </c>
      <c r="RMW76" s="70">
        <v>0</v>
      </c>
      <c r="RMX76" s="70">
        <v>0</v>
      </c>
      <c r="RMY76" s="70">
        <v>0</v>
      </c>
      <c r="RMZ76" s="70">
        <v>0</v>
      </c>
      <c r="RNA76" s="70">
        <v>0</v>
      </c>
      <c r="RNB76" s="70">
        <v>0</v>
      </c>
      <c r="RNC76" s="70">
        <v>0</v>
      </c>
      <c r="RND76" s="70">
        <v>0</v>
      </c>
      <c r="RNE76" s="70">
        <v>0</v>
      </c>
      <c r="RNF76" s="70">
        <v>0</v>
      </c>
      <c r="RNG76" s="70">
        <v>0</v>
      </c>
      <c r="RNH76" s="70">
        <v>0</v>
      </c>
      <c r="RNI76" s="70">
        <v>0</v>
      </c>
      <c r="RNJ76" s="70">
        <v>0</v>
      </c>
      <c r="RNK76" s="70">
        <v>0</v>
      </c>
      <c r="RNL76" s="70">
        <v>0</v>
      </c>
      <c r="RNM76" s="70">
        <v>0</v>
      </c>
      <c r="RNN76" s="70">
        <v>0</v>
      </c>
      <c r="RNO76" s="70">
        <v>0</v>
      </c>
      <c r="RNP76" s="70">
        <v>0</v>
      </c>
      <c r="RNQ76" s="70">
        <v>0</v>
      </c>
      <c r="RNR76" s="70">
        <v>0</v>
      </c>
      <c r="RNS76" s="70">
        <v>0</v>
      </c>
      <c r="RNT76" s="70">
        <v>0</v>
      </c>
      <c r="RNU76" s="70">
        <v>0</v>
      </c>
      <c r="RNV76" s="70">
        <v>0</v>
      </c>
      <c r="RNW76" s="70">
        <v>0</v>
      </c>
      <c r="RNX76" s="70">
        <v>0</v>
      </c>
      <c r="RNY76" s="70">
        <v>0</v>
      </c>
      <c r="RNZ76" s="70">
        <v>0</v>
      </c>
      <c r="ROA76" s="70">
        <v>0</v>
      </c>
      <c r="ROB76" s="70">
        <v>0</v>
      </c>
      <c r="ROC76" s="70">
        <v>0</v>
      </c>
      <c r="ROD76" s="70">
        <v>0</v>
      </c>
      <c r="ROE76" s="70">
        <v>0</v>
      </c>
      <c r="ROF76" s="70">
        <v>0</v>
      </c>
      <c r="ROG76" s="70">
        <v>0</v>
      </c>
      <c r="ROH76" s="70">
        <v>0</v>
      </c>
      <c r="ROI76" s="70">
        <v>0</v>
      </c>
      <c r="ROJ76" s="70">
        <v>0</v>
      </c>
      <c r="ROK76" s="70">
        <v>0</v>
      </c>
      <c r="ROL76" s="70">
        <v>0</v>
      </c>
      <c r="ROM76" s="70">
        <v>0</v>
      </c>
      <c r="RON76" s="70">
        <v>0</v>
      </c>
      <c r="ROO76" s="70">
        <v>0</v>
      </c>
      <c r="ROP76" s="70">
        <v>0</v>
      </c>
      <c r="ROQ76" s="70">
        <v>0</v>
      </c>
      <c r="ROR76" s="70">
        <v>0</v>
      </c>
      <c r="ROS76" s="70">
        <v>0</v>
      </c>
      <c r="ROT76" s="70">
        <v>0</v>
      </c>
      <c r="ROU76" s="70">
        <v>0</v>
      </c>
      <c r="ROV76" s="70">
        <v>0</v>
      </c>
      <c r="ROW76" s="70">
        <v>0</v>
      </c>
      <c r="ROX76" s="70">
        <v>0</v>
      </c>
      <c r="ROY76" s="70">
        <v>0</v>
      </c>
      <c r="ROZ76" s="70">
        <v>0</v>
      </c>
      <c r="RPA76" s="70">
        <v>0</v>
      </c>
      <c r="RPB76" s="70">
        <v>0</v>
      </c>
      <c r="RPC76" s="70">
        <v>0</v>
      </c>
      <c r="RPD76" s="70">
        <v>0</v>
      </c>
      <c r="RPE76" s="70">
        <v>0</v>
      </c>
      <c r="RPF76" s="70">
        <v>0</v>
      </c>
      <c r="RPG76" s="70">
        <v>0</v>
      </c>
      <c r="RPH76" s="70">
        <v>0</v>
      </c>
      <c r="RPI76" s="70">
        <v>0</v>
      </c>
      <c r="RPJ76" s="70">
        <v>0</v>
      </c>
      <c r="RPK76" s="70">
        <v>0</v>
      </c>
      <c r="RPL76" s="70">
        <v>0</v>
      </c>
      <c r="RPM76" s="70">
        <v>0</v>
      </c>
      <c r="RPN76" s="70">
        <v>0</v>
      </c>
      <c r="RPO76" s="70">
        <v>0</v>
      </c>
      <c r="RPP76" s="70">
        <v>0</v>
      </c>
      <c r="RPQ76" s="70">
        <v>0</v>
      </c>
      <c r="RPR76" s="70">
        <v>0</v>
      </c>
      <c r="RPS76" s="70">
        <v>0</v>
      </c>
      <c r="RPT76" s="70">
        <v>0</v>
      </c>
      <c r="RPU76" s="70">
        <v>0</v>
      </c>
      <c r="RPV76" s="70">
        <v>0</v>
      </c>
      <c r="RPW76" s="70">
        <v>0</v>
      </c>
      <c r="RPX76" s="70">
        <v>0</v>
      </c>
      <c r="RPY76" s="70">
        <v>0</v>
      </c>
      <c r="RPZ76" s="70">
        <v>0</v>
      </c>
      <c r="RQA76" s="70">
        <v>0</v>
      </c>
      <c r="RQB76" s="70">
        <v>0</v>
      </c>
      <c r="RQC76" s="70">
        <v>0</v>
      </c>
      <c r="RQD76" s="70">
        <v>0</v>
      </c>
      <c r="RQE76" s="70">
        <v>0</v>
      </c>
      <c r="RQF76" s="70">
        <v>0</v>
      </c>
      <c r="RQG76" s="70">
        <v>0</v>
      </c>
      <c r="RQH76" s="70">
        <v>0</v>
      </c>
      <c r="RQI76" s="70">
        <v>0</v>
      </c>
      <c r="RQJ76" s="70">
        <v>0</v>
      </c>
      <c r="RQK76" s="70">
        <v>0</v>
      </c>
      <c r="RQL76" s="70">
        <v>0</v>
      </c>
      <c r="RQM76" s="70">
        <v>0</v>
      </c>
      <c r="RQN76" s="70">
        <v>0</v>
      </c>
      <c r="RQO76" s="70">
        <v>0</v>
      </c>
      <c r="RQP76" s="70">
        <v>0</v>
      </c>
      <c r="RQQ76" s="70">
        <v>0</v>
      </c>
      <c r="RQR76" s="70">
        <v>0</v>
      </c>
      <c r="RQS76" s="70">
        <v>0</v>
      </c>
      <c r="RQT76" s="70">
        <v>0</v>
      </c>
      <c r="RQU76" s="70">
        <v>0</v>
      </c>
      <c r="RQV76" s="70">
        <v>0</v>
      </c>
      <c r="RQW76" s="70">
        <v>0</v>
      </c>
      <c r="RQX76" s="70">
        <v>0</v>
      </c>
      <c r="RQY76" s="70">
        <v>0</v>
      </c>
      <c r="RQZ76" s="70">
        <v>0</v>
      </c>
      <c r="RRA76" s="70">
        <v>0</v>
      </c>
      <c r="RRB76" s="70">
        <v>0</v>
      </c>
      <c r="RRC76" s="70">
        <v>0</v>
      </c>
      <c r="RRD76" s="70">
        <v>0</v>
      </c>
      <c r="RRE76" s="70">
        <v>0</v>
      </c>
      <c r="RRF76" s="70">
        <v>0</v>
      </c>
      <c r="RRG76" s="70">
        <v>0</v>
      </c>
      <c r="RRH76" s="70">
        <v>0</v>
      </c>
      <c r="RRI76" s="70">
        <v>0</v>
      </c>
      <c r="RRJ76" s="70">
        <v>0</v>
      </c>
      <c r="RRK76" s="70">
        <v>0</v>
      </c>
      <c r="RRL76" s="70">
        <v>0</v>
      </c>
      <c r="RRM76" s="70">
        <v>0</v>
      </c>
      <c r="RRN76" s="70">
        <v>0</v>
      </c>
      <c r="RRO76" s="70">
        <v>0</v>
      </c>
      <c r="RRP76" s="70">
        <v>0</v>
      </c>
      <c r="RRQ76" s="70">
        <v>0</v>
      </c>
      <c r="RRR76" s="70">
        <v>0</v>
      </c>
      <c r="RRS76" s="70">
        <v>0</v>
      </c>
      <c r="RRT76" s="70">
        <v>0</v>
      </c>
      <c r="RRU76" s="70">
        <v>0</v>
      </c>
      <c r="RRV76" s="70">
        <v>0</v>
      </c>
      <c r="RRW76" s="70">
        <v>0</v>
      </c>
      <c r="RRX76" s="70">
        <v>0</v>
      </c>
      <c r="RRY76" s="70">
        <v>0</v>
      </c>
      <c r="RRZ76" s="70">
        <v>0</v>
      </c>
      <c r="RSA76" s="70">
        <v>0</v>
      </c>
      <c r="RSB76" s="70">
        <v>0</v>
      </c>
      <c r="RSC76" s="70">
        <v>0</v>
      </c>
      <c r="RSD76" s="70">
        <v>0</v>
      </c>
      <c r="RSE76" s="70">
        <v>0</v>
      </c>
      <c r="RSF76" s="70">
        <v>0</v>
      </c>
      <c r="RSG76" s="70">
        <v>0</v>
      </c>
      <c r="RSH76" s="70">
        <v>0</v>
      </c>
      <c r="RSI76" s="70">
        <v>0</v>
      </c>
      <c r="RSJ76" s="70">
        <v>0</v>
      </c>
      <c r="RSK76" s="70">
        <v>0</v>
      </c>
      <c r="RSL76" s="70">
        <v>0</v>
      </c>
      <c r="RSM76" s="70">
        <v>0</v>
      </c>
      <c r="RSN76" s="70">
        <v>0</v>
      </c>
      <c r="RSO76" s="70">
        <v>0</v>
      </c>
      <c r="RSP76" s="70">
        <v>0</v>
      </c>
      <c r="RSQ76" s="70">
        <v>0</v>
      </c>
      <c r="RSR76" s="70">
        <v>0</v>
      </c>
      <c r="RSS76" s="70">
        <v>0</v>
      </c>
      <c r="RST76" s="70">
        <v>0</v>
      </c>
      <c r="RSU76" s="70">
        <v>0</v>
      </c>
      <c r="RSV76" s="70">
        <v>0</v>
      </c>
      <c r="RSW76" s="70">
        <v>0</v>
      </c>
      <c r="RSX76" s="70">
        <v>0</v>
      </c>
      <c r="RSY76" s="70">
        <v>0</v>
      </c>
      <c r="RSZ76" s="70">
        <v>0</v>
      </c>
      <c r="RTA76" s="70">
        <v>0</v>
      </c>
      <c r="RTB76" s="70">
        <v>0</v>
      </c>
      <c r="RTC76" s="70">
        <v>0</v>
      </c>
      <c r="RTD76" s="70">
        <v>0</v>
      </c>
      <c r="RTE76" s="70">
        <v>0</v>
      </c>
      <c r="RTF76" s="70">
        <v>0</v>
      </c>
      <c r="RTG76" s="70">
        <v>0</v>
      </c>
      <c r="RTH76" s="70">
        <v>0</v>
      </c>
      <c r="RTI76" s="70">
        <v>0</v>
      </c>
      <c r="RTJ76" s="70">
        <v>0</v>
      </c>
      <c r="RTK76" s="70">
        <v>0</v>
      </c>
      <c r="RTL76" s="70">
        <v>0</v>
      </c>
      <c r="RTM76" s="70">
        <v>0</v>
      </c>
      <c r="RTN76" s="70">
        <v>0</v>
      </c>
      <c r="RTO76" s="70">
        <v>0</v>
      </c>
      <c r="RTP76" s="70">
        <v>0</v>
      </c>
      <c r="RTQ76" s="70">
        <v>0</v>
      </c>
      <c r="RTR76" s="70">
        <v>0</v>
      </c>
      <c r="RTS76" s="70">
        <v>0</v>
      </c>
      <c r="RTT76" s="70">
        <v>0</v>
      </c>
      <c r="RTU76" s="70">
        <v>0</v>
      </c>
      <c r="RTV76" s="70">
        <v>0</v>
      </c>
      <c r="RTW76" s="70">
        <v>0</v>
      </c>
      <c r="RTX76" s="70">
        <v>0</v>
      </c>
      <c r="RTY76" s="70">
        <v>0</v>
      </c>
      <c r="RTZ76" s="70">
        <v>0</v>
      </c>
      <c r="RUA76" s="70">
        <v>0</v>
      </c>
      <c r="RUB76" s="70">
        <v>0</v>
      </c>
      <c r="RUC76" s="70">
        <v>0</v>
      </c>
      <c r="RUD76" s="70">
        <v>0</v>
      </c>
      <c r="RUE76" s="70">
        <v>0</v>
      </c>
      <c r="RUF76" s="70">
        <v>0</v>
      </c>
      <c r="RUG76" s="70">
        <v>0</v>
      </c>
      <c r="RUH76" s="70">
        <v>0</v>
      </c>
      <c r="RUI76" s="70">
        <v>0</v>
      </c>
      <c r="RUJ76" s="70">
        <v>0</v>
      </c>
      <c r="RUK76" s="70">
        <v>0</v>
      </c>
      <c r="RUL76" s="70">
        <v>0</v>
      </c>
      <c r="RUM76" s="70">
        <v>0</v>
      </c>
      <c r="RUN76" s="70">
        <v>0</v>
      </c>
      <c r="RUO76" s="70">
        <v>0</v>
      </c>
      <c r="RUP76" s="70">
        <v>0</v>
      </c>
      <c r="RUQ76" s="70">
        <v>0</v>
      </c>
      <c r="RUR76" s="70">
        <v>0</v>
      </c>
      <c r="RUS76" s="70">
        <v>0</v>
      </c>
      <c r="RUT76" s="70">
        <v>0</v>
      </c>
      <c r="RUU76" s="70">
        <v>0</v>
      </c>
      <c r="RUV76" s="70">
        <v>0</v>
      </c>
      <c r="RUW76" s="70">
        <v>0</v>
      </c>
      <c r="RUX76" s="70">
        <v>0</v>
      </c>
      <c r="RUY76" s="70">
        <v>0</v>
      </c>
      <c r="RUZ76" s="70">
        <v>0</v>
      </c>
      <c r="RVA76" s="70">
        <v>0</v>
      </c>
      <c r="RVB76" s="70">
        <v>0</v>
      </c>
      <c r="RVC76" s="70">
        <v>0</v>
      </c>
      <c r="RVD76" s="70">
        <v>0</v>
      </c>
      <c r="RVE76" s="70">
        <v>0</v>
      </c>
      <c r="RVF76" s="70">
        <v>0</v>
      </c>
      <c r="RVG76" s="70">
        <v>0</v>
      </c>
      <c r="RVH76" s="70">
        <v>0</v>
      </c>
      <c r="RVI76" s="70">
        <v>0</v>
      </c>
      <c r="RVJ76" s="70">
        <v>0</v>
      </c>
      <c r="RVK76" s="70">
        <v>0</v>
      </c>
      <c r="RVL76" s="70">
        <v>0</v>
      </c>
      <c r="RVM76" s="70">
        <v>0</v>
      </c>
      <c r="RVN76" s="70">
        <v>0</v>
      </c>
      <c r="RVO76" s="70">
        <v>0</v>
      </c>
      <c r="RVP76" s="70">
        <v>0</v>
      </c>
      <c r="RVQ76" s="70">
        <v>0</v>
      </c>
      <c r="RVR76" s="70">
        <v>0</v>
      </c>
      <c r="RVS76" s="70">
        <v>0</v>
      </c>
      <c r="RVT76" s="70">
        <v>0</v>
      </c>
      <c r="RVU76" s="70">
        <v>0</v>
      </c>
      <c r="RVV76" s="70">
        <v>0</v>
      </c>
      <c r="RVW76" s="70">
        <v>0</v>
      </c>
      <c r="RVX76" s="70">
        <v>0</v>
      </c>
      <c r="RVY76" s="70">
        <v>0</v>
      </c>
      <c r="RVZ76" s="70">
        <v>0</v>
      </c>
      <c r="RWA76" s="70">
        <v>0</v>
      </c>
      <c r="RWB76" s="70">
        <v>0</v>
      </c>
      <c r="RWC76" s="70">
        <v>0</v>
      </c>
      <c r="RWD76" s="70">
        <v>0</v>
      </c>
      <c r="RWE76" s="70">
        <v>0</v>
      </c>
      <c r="RWF76" s="70">
        <v>0</v>
      </c>
      <c r="RWG76" s="70">
        <v>0</v>
      </c>
      <c r="RWH76" s="70">
        <v>0</v>
      </c>
      <c r="RWI76" s="70">
        <v>0</v>
      </c>
      <c r="RWJ76" s="70">
        <v>0</v>
      </c>
      <c r="RWK76" s="70">
        <v>0</v>
      </c>
      <c r="RWL76" s="70">
        <v>0</v>
      </c>
      <c r="RWM76" s="70">
        <v>0</v>
      </c>
      <c r="RWN76" s="70">
        <v>0</v>
      </c>
      <c r="RWO76" s="70">
        <v>0</v>
      </c>
      <c r="RWP76" s="70">
        <v>0</v>
      </c>
      <c r="RWQ76" s="70">
        <v>0</v>
      </c>
      <c r="RWR76" s="70">
        <v>0</v>
      </c>
      <c r="RWS76" s="70">
        <v>0</v>
      </c>
      <c r="RWT76" s="70">
        <v>0</v>
      </c>
      <c r="RWU76" s="70">
        <v>0</v>
      </c>
      <c r="RWV76" s="70">
        <v>0</v>
      </c>
      <c r="RWW76" s="70">
        <v>0</v>
      </c>
      <c r="RWX76" s="70">
        <v>0</v>
      </c>
      <c r="RWY76" s="70">
        <v>0</v>
      </c>
      <c r="RWZ76" s="70">
        <v>0</v>
      </c>
      <c r="RXA76" s="70">
        <v>0</v>
      </c>
      <c r="RXB76" s="70">
        <v>0</v>
      </c>
      <c r="RXC76" s="70">
        <v>0</v>
      </c>
      <c r="RXD76" s="70">
        <v>0</v>
      </c>
      <c r="RXE76" s="70">
        <v>0</v>
      </c>
      <c r="RXF76" s="70">
        <v>0</v>
      </c>
      <c r="RXG76" s="70">
        <v>0</v>
      </c>
      <c r="RXH76" s="70">
        <v>0</v>
      </c>
      <c r="RXI76" s="70">
        <v>0</v>
      </c>
      <c r="RXJ76" s="70">
        <v>0</v>
      </c>
      <c r="RXK76" s="70">
        <v>0</v>
      </c>
      <c r="RXL76" s="70">
        <v>0</v>
      </c>
      <c r="RXM76" s="70">
        <v>0</v>
      </c>
      <c r="RXN76" s="70">
        <v>0</v>
      </c>
      <c r="RXO76" s="70">
        <v>0</v>
      </c>
      <c r="RXP76" s="70">
        <v>0</v>
      </c>
      <c r="RXQ76" s="70">
        <v>0</v>
      </c>
      <c r="RXR76" s="70">
        <v>0</v>
      </c>
      <c r="RXS76" s="70">
        <v>0</v>
      </c>
      <c r="RXT76" s="70">
        <v>0</v>
      </c>
      <c r="RXU76" s="70">
        <v>0</v>
      </c>
      <c r="RXV76" s="70">
        <v>0</v>
      </c>
      <c r="RXW76" s="70">
        <v>0</v>
      </c>
      <c r="RXX76" s="70">
        <v>0</v>
      </c>
      <c r="RXY76" s="70">
        <v>0</v>
      </c>
      <c r="RXZ76" s="70">
        <v>0</v>
      </c>
      <c r="RYA76" s="70">
        <v>0</v>
      </c>
      <c r="RYB76" s="70">
        <v>0</v>
      </c>
      <c r="RYC76" s="70">
        <v>0</v>
      </c>
      <c r="RYD76" s="70">
        <v>0</v>
      </c>
      <c r="RYE76" s="70">
        <v>0</v>
      </c>
      <c r="RYF76" s="70">
        <v>0</v>
      </c>
      <c r="RYG76" s="70">
        <v>0</v>
      </c>
      <c r="RYH76" s="70">
        <v>0</v>
      </c>
      <c r="RYI76" s="70">
        <v>0</v>
      </c>
      <c r="RYJ76" s="70">
        <v>0</v>
      </c>
      <c r="RYK76" s="70">
        <v>0</v>
      </c>
      <c r="RYL76" s="70">
        <v>0</v>
      </c>
      <c r="RYM76" s="70">
        <v>0</v>
      </c>
      <c r="RYN76" s="70">
        <v>0</v>
      </c>
      <c r="RYO76" s="70">
        <v>0</v>
      </c>
      <c r="RYP76" s="70">
        <v>0</v>
      </c>
      <c r="RYQ76" s="70">
        <v>0</v>
      </c>
      <c r="RYR76" s="70">
        <v>0</v>
      </c>
      <c r="RYS76" s="70">
        <v>0</v>
      </c>
      <c r="RYT76" s="70">
        <v>0</v>
      </c>
      <c r="RYU76" s="70">
        <v>0</v>
      </c>
      <c r="RYV76" s="70">
        <v>0</v>
      </c>
      <c r="RYW76" s="70">
        <v>0</v>
      </c>
      <c r="RYX76" s="70">
        <v>0</v>
      </c>
      <c r="RYY76" s="70">
        <v>0</v>
      </c>
      <c r="RYZ76" s="70">
        <v>0</v>
      </c>
      <c r="RZA76" s="70">
        <v>0</v>
      </c>
      <c r="RZB76" s="70">
        <v>0</v>
      </c>
      <c r="RZC76" s="70">
        <v>0</v>
      </c>
      <c r="RZD76" s="70">
        <v>0</v>
      </c>
      <c r="RZE76" s="70">
        <v>0</v>
      </c>
      <c r="RZF76" s="70">
        <v>0</v>
      </c>
      <c r="RZG76" s="70">
        <v>0</v>
      </c>
      <c r="RZH76" s="70">
        <v>0</v>
      </c>
      <c r="RZI76" s="70">
        <v>0</v>
      </c>
      <c r="RZJ76" s="70">
        <v>0</v>
      </c>
      <c r="RZK76" s="70">
        <v>0</v>
      </c>
      <c r="RZL76" s="70">
        <v>0</v>
      </c>
      <c r="RZM76" s="70">
        <v>0</v>
      </c>
      <c r="RZN76" s="70">
        <v>0</v>
      </c>
      <c r="RZO76" s="70">
        <v>0</v>
      </c>
      <c r="RZP76" s="70">
        <v>0</v>
      </c>
      <c r="RZQ76" s="70">
        <v>0</v>
      </c>
      <c r="RZR76" s="70">
        <v>0</v>
      </c>
      <c r="RZS76" s="70">
        <v>0</v>
      </c>
      <c r="RZT76" s="70">
        <v>0</v>
      </c>
      <c r="RZU76" s="70">
        <v>0</v>
      </c>
      <c r="RZV76" s="70">
        <v>0</v>
      </c>
      <c r="RZW76" s="70">
        <v>0</v>
      </c>
      <c r="RZX76" s="70">
        <v>0</v>
      </c>
      <c r="RZY76" s="70">
        <v>0</v>
      </c>
      <c r="RZZ76" s="70">
        <v>0</v>
      </c>
      <c r="SAA76" s="70">
        <v>0</v>
      </c>
      <c r="SAB76" s="70">
        <v>0</v>
      </c>
      <c r="SAC76" s="70">
        <v>0</v>
      </c>
      <c r="SAD76" s="70">
        <v>0</v>
      </c>
      <c r="SAE76" s="70">
        <v>0</v>
      </c>
      <c r="SAF76" s="70">
        <v>0</v>
      </c>
      <c r="SAG76" s="70">
        <v>0</v>
      </c>
      <c r="SAH76" s="70">
        <v>0</v>
      </c>
      <c r="SAI76" s="70">
        <v>0</v>
      </c>
      <c r="SAJ76" s="70">
        <v>0</v>
      </c>
      <c r="SAK76" s="70">
        <v>0</v>
      </c>
      <c r="SAL76" s="70">
        <v>0</v>
      </c>
      <c r="SAM76" s="70">
        <v>0</v>
      </c>
      <c r="SAN76" s="70">
        <v>0</v>
      </c>
      <c r="SAO76" s="70">
        <v>0</v>
      </c>
      <c r="SAP76" s="70">
        <v>0</v>
      </c>
      <c r="SAQ76" s="70">
        <v>0</v>
      </c>
      <c r="SAR76" s="70">
        <v>0</v>
      </c>
      <c r="SAS76" s="70">
        <v>0</v>
      </c>
      <c r="SAT76" s="70">
        <v>0</v>
      </c>
      <c r="SAU76" s="70">
        <v>0</v>
      </c>
      <c r="SAV76" s="70">
        <v>0</v>
      </c>
      <c r="SAW76" s="70">
        <v>0</v>
      </c>
      <c r="SAX76" s="70">
        <v>0</v>
      </c>
      <c r="SAY76" s="70">
        <v>0</v>
      </c>
      <c r="SAZ76" s="70">
        <v>0</v>
      </c>
      <c r="SBA76" s="70">
        <v>0</v>
      </c>
      <c r="SBB76" s="70">
        <v>0</v>
      </c>
      <c r="SBC76" s="70">
        <v>0</v>
      </c>
      <c r="SBD76" s="70">
        <v>0</v>
      </c>
      <c r="SBE76" s="70">
        <v>0</v>
      </c>
      <c r="SBF76" s="70">
        <v>0</v>
      </c>
      <c r="SBG76" s="70">
        <v>0</v>
      </c>
      <c r="SBH76" s="70">
        <v>0</v>
      </c>
      <c r="SBI76" s="70">
        <v>0</v>
      </c>
      <c r="SBJ76" s="70">
        <v>0</v>
      </c>
      <c r="SBK76" s="70">
        <v>0</v>
      </c>
      <c r="SBL76" s="70">
        <v>0</v>
      </c>
      <c r="SBM76" s="70">
        <v>0</v>
      </c>
      <c r="SBN76" s="70">
        <v>0</v>
      </c>
      <c r="SBO76" s="70">
        <v>0</v>
      </c>
      <c r="SBP76" s="70">
        <v>0</v>
      </c>
      <c r="SBQ76" s="70">
        <v>0</v>
      </c>
      <c r="SBR76" s="70">
        <v>0</v>
      </c>
      <c r="SBS76" s="70">
        <v>0</v>
      </c>
      <c r="SBT76" s="70">
        <v>0</v>
      </c>
      <c r="SBU76" s="70">
        <v>0</v>
      </c>
      <c r="SBV76" s="70">
        <v>0</v>
      </c>
      <c r="SBW76" s="70">
        <v>0</v>
      </c>
      <c r="SBX76" s="70">
        <v>0</v>
      </c>
      <c r="SBY76" s="70">
        <v>0</v>
      </c>
      <c r="SBZ76" s="70">
        <v>0</v>
      </c>
      <c r="SCA76" s="70">
        <v>0</v>
      </c>
      <c r="SCB76" s="70">
        <v>0</v>
      </c>
      <c r="SCC76" s="70">
        <v>0</v>
      </c>
      <c r="SCD76" s="70">
        <v>0</v>
      </c>
      <c r="SCE76" s="70">
        <v>0</v>
      </c>
      <c r="SCF76" s="70">
        <v>0</v>
      </c>
      <c r="SCG76" s="70">
        <v>0</v>
      </c>
      <c r="SCH76" s="70">
        <v>0</v>
      </c>
      <c r="SCI76" s="70">
        <v>0</v>
      </c>
      <c r="SCJ76" s="70">
        <v>0</v>
      </c>
      <c r="SCK76" s="70">
        <v>0</v>
      </c>
      <c r="SCL76" s="70">
        <v>0</v>
      </c>
      <c r="SCM76" s="70">
        <v>0</v>
      </c>
      <c r="SCN76" s="70">
        <v>0</v>
      </c>
      <c r="SCO76" s="70">
        <v>0</v>
      </c>
      <c r="SCP76" s="70">
        <v>0</v>
      </c>
      <c r="SCQ76" s="70">
        <v>0</v>
      </c>
      <c r="SCR76" s="70">
        <v>0</v>
      </c>
      <c r="SCS76" s="70">
        <v>0</v>
      </c>
      <c r="SCT76" s="70">
        <v>0</v>
      </c>
      <c r="SCU76" s="70">
        <v>0</v>
      </c>
      <c r="SCV76" s="70">
        <v>0</v>
      </c>
      <c r="SCW76" s="70">
        <v>0</v>
      </c>
      <c r="SCX76" s="70">
        <v>0</v>
      </c>
      <c r="SCY76" s="70">
        <v>0</v>
      </c>
      <c r="SCZ76" s="70">
        <v>0</v>
      </c>
      <c r="SDA76" s="70">
        <v>0</v>
      </c>
      <c r="SDB76" s="70">
        <v>0</v>
      </c>
      <c r="SDC76" s="70">
        <v>0</v>
      </c>
      <c r="SDD76" s="70">
        <v>0</v>
      </c>
      <c r="SDE76" s="70">
        <v>0</v>
      </c>
      <c r="SDF76" s="70">
        <v>0</v>
      </c>
      <c r="SDG76" s="70">
        <v>0</v>
      </c>
      <c r="SDH76" s="70">
        <v>0</v>
      </c>
      <c r="SDI76" s="70">
        <v>0</v>
      </c>
      <c r="SDJ76" s="70">
        <v>0</v>
      </c>
      <c r="SDK76" s="70">
        <v>0</v>
      </c>
      <c r="SDL76" s="70">
        <v>0</v>
      </c>
      <c r="SDM76" s="70">
        <v>0</v>
      </c>
      <c r="SDN76" s="70">
        <v>0</v>
      </c>
      <c r="SDO76" s="70">
        <v>0</v>
      </c>
      <c r="SDP76" s="70">
        <v>0</v>
      </c>
      <c r="SDQ76" s="70">
        <v>0</v>
      </c>
      <c r="SDR76" s="70">
        <v>0</v>
      </c>
      <c r="SDS76" s="70">
        <v>0</v>
      </c>
      <c r="SDT76" s="70">
        <v>0</v>
      </c>
      <c r="SDU76" s="70">
        <v>0</v>
      </c>
      <c r="SDV76" s="70">
        <v>0</v>
      </c>
      <c r="SDW76" s="70">
        <v>0</v>
      </c>
      <c r="SDX76" s="70">
        <v>0</v>
      </c>
      <c r="SDY76" s="70">
        <v>0</v>
      </c>
      <c r="SDZ76" s="70">
        <v>0</v>
      </c>
      <c r="SEA76" s="70">
        <v>0</v>
      </c>
      <c r="SEB76" s="70">
        <v>0</v>
      </c>
      <c r="SEC76" s="70">
        <v>0</v>
      </c>
      <c r="SED76" s="70">
        <v>0</v>
      </c>
      <c r="SEE76" s="70">
        <v>0</v>
      </c>
      <c r="SEF76" s="70">
        <v>0</v>
      </c>
      <c r="SEG76" s="70">
        <v>0</v>
      </c>
      <c r="SEH76" s="70">
        <v>0</v>
      </c>
      <c r="SEI76" s="70">
        <v>0</v>
      </c>
      <c r="SEJ76" s="70">
        <v>0</v>
      </c>
      <c r="SEK76" s="70">
        <v>0</v>
      </c>
      <c r="SEL76" s="70">
        <v>0</v>
      </c>
      <c r="SEM76" s="70">
        <v>0</v>
      </c>
      <c r="SEN76" s="70">
        <v>0</v>
      </c>
      <c r="SEO76" s="70">
        <v>0</v>
      </c>
      <c r="SEP76" s="70">
        <v>0</v>
      </c>
      <c r="SEQ76" s="70">
        <v>0</v>
      </c>
      <c r="SER76" s="70">
        <v>0</v>
      </c>
      <c r="SES76" s="70">
        <v>0</v>
      </c>
      <c r="SET76" s="70">
        <v>0</v>
      </c>
      <c r="SEU76" s="70">
        <v>0</v>
      </c>
      <c r="SEV76" s="70">
        <v>0</v>
      </c>
      <c r="SEW76" s="70">
        <v>0</v>
      </c>
      <c r="SEX76" s="70">
        <v>0</v>
      </c>
      <c r="SEY76" s="70">
        <v>0</v>
      </c>
      <c r="SEZ76" s="70">
        <v>0</v>
      </c>
      <c r="SFA76" s="70">
        <v>0</v>
      </c>
      <c r="SFB76" s="70">
        <v>0</v>
      </c>
      <c r="SFC76" s="70">
        <v>0</v>
      </c>
      <c r="SFD76" s="70">
        <v>0</v>
      </c>
      <c r="SFE76" s="70">
        <v>0</v>
      </c>
      <c r="SFF76" s="70">
        <v>0</v>
      </c>
      <c r="SFG76" s="70">
        <v>0</v>
      </c>
      <c r="SFH76" s="70">
        <v>0</v>
      </c>
      <c r="SFI76" s="70">
        <v>0</v>
      </c>
      <c r="SFJ76" s="70">
        <v>0</v>
      </c>
      <c r="SFK76" s="70">
        <v>0</v>
      </c>
      <c r="SFL76" s="70">
        <v>0</v>
      </c>
      <c r="SFM76" s="70">
        <v>0</v>
      </c>
      <c r="SFN76" s="70">
        <v>0</v>
      </c>
      <c r="SFO76" s="70">
        <v>0</v>
      </c>
      <c r="SFP76" s="70">
        <v>0</v>
      </c>
      <c r="SFQ76" s="70">
        <v>0</v>
      </c>
      <c r="SFR76" s="70">
        <v>0</v>
      </c>
      <c r="SFS76" s="70">
        <v>0</v>
      </c>
      <c r="SFT76" s="70">
        <v>0</v>
      </c>
      <c r="SFU76" s="70">
        <v>0</v>
      </c>
      <c r="SFV76" s="70">
        <v>0</v>
      </c>
      <c r="SFW76" s="70">
        <v>0</v>
      </c>
      <c r="SFX76" s="70">
        <v>0</v>
      </c>
      <c r="SFY76" s="70">
        <v>0</v>
      </c>
      <c r="SFZ76" s="70">
        <v>0</v>
      </c>
      <c r="SGA76" s="70">
        <v>0</v>
      </c>
      <c r="SGB76" s="70">
        <v>0</v>
      </c>
      <c r="SGC76" s="70">
        <v>0</v>
      </c>
      <c r="SGD76" s="70">
        <v>0</v>
      </c>
      <c r="SGE76" s="70">
        <v>0</v>
      </c>
      <c r="SGF76" s="70">
        <v>0</v>
      </c>
      <c r="SGG76" s="70">
        <v>0</v>
      </c>
      <c r="SGH76" s="70">
        <v>0</v>
      </c>
      <c r="SGI76" s="70">
        <v>0</v>
      </c>
      <c r="SGJ76" s="70">
        <v>0</v>
      </c>
      <c r="SGK76" s="70">
        <v>0</v>
      </c>
      <c r="SGL76" s="70">
        <v>0</v>
      </c>
      <c r="SGM76" s="70">
        <v>0</v>
      </c>
      <c r="SGN76" s="70">
        <v>0</v>
      </c>
      <c r="SGO76" s="70">
        <v>0</v>
      </c>
      <c r="SGP76" s="70">
        <v>0</v>
      </c>
      <c r="SGQ76" s="70">
        <v>0</v>
      </c>
      <c r="SGR76" s="70">
        <v>0</v>
      </c>
      <c r="SGS76" s="70">
        <v>0</v>
      </c>
      <c r="SGT76" s="70">
        <v>0</v>
      </c>
      <c r="SGU76" s="70">
        <v>0</v>
      </c>
      <c r="SGV76" s="70">
        <v>0</v>
      </c>
      <c r="SGW76" s="70">
        <v>0</v>
      </c>
      <c r="SGX76" s="70">
        <v>0</v>
      </c>
      <c r="SGY76" s="70">
        <v>0</v>
      </c>
      <c r="SGZ76" s="70">
        <v>0</v>
      </c>
      <c r="SHA76" s="70">
        <v>0</v>
      </c>
      <c r="SHB76" s="70">
        <v>0</v>
      </c>
      <c r="SHC76" s="70">
        <v>0</v>
      </c>
      <c r="SHD76" s="70">
        <v>0</v>
      </c>
      <c r="SHE76" s="70">
        <v>0</v>
      </c>
      <c r="SHF76" s="70">
        <v>0</v>
      </c>
      <c r="SHG76" s="70">
        <v>0</v>
      </c>
      <c r="SHH76" s="70">
        <v>0</v>
      </c>
      <c r="SHI76" s="70">
        <v>0</v>
      </c>
      <c r="SHJ76" s="70">
        <v>0</v>
      </c>
      <c r="SHK76" s="70">
        <v>0</v>
      </c>
      <c r="SHL76" s="70">
        <v>0</v>
      </c>
      <c r="SHM76" s="70">
        <v>0</v>
      </c>
      <c r="SHN76" s="70">
        <v>0</v>
      </c>
      <c r="SHO76" s="70">
        <v>0</v>
      </c>
      <c r="SHP76" s="70">
        <v>0</v>
      </c>
      <c r="SHQ76" s="70">
        <v>0</v>
      </c>
      <c r="SHR76" s="70">
        <v>0</v>
      </c>
      <c r="SHS76" s="70">
        <v>0</v>
      </c>
      <c r="SHT76" s="70">
        <v>0</v>
      </c>
      <c r="SHU76" s="70">
        <v>0</v>
      </c>
      <c r="SHV76" s="70">
        <v>0</v>
      </c>
      <c r="SHW76" s="70">
        <v>0</v>
      </c>
      <c r="SHX76" s="70">
        <v>0</v>
      </c>
      <c r="SHY76" s="70">
        <v>0</v>
      </c>
      <c r="SHZ76" s="70">
        <v>0</v>
      </c>
      <c r="SIA76" s="70">
        <v>0</v>
      </c>
      <c r="SIB76" s="70">
        <v>0</v>
      </c>
      <c r="SIC76" s="70">
        <v>0</v>
      </c>
      <c r="SID76" s="70">
        <v>0</v>
      </c>
      <c r="SIE76" s="70">
        <v>0</v>
      </c>
      <c r="SIF76" s="70">
        <v>0</v>
      </c>
      <c r="SIG76" s="70">
        <v>0</v>
      </c>
      <c r="SIH76" s="70">
        <v>0</v>
      </c>
      <c r="SII76" s="70">
        <v>0</v>
      </c>
      <c r="SIJ76" s="70">
        <v>0</v>
      </c>
      <c r="SIK76" s="70">
        <v>0</v>
      </c>
      <c r="SIL76" s="70">
        <v>0</v>
      </c>
      <c r="SIM76" s="70">
        <v>0</v>
      </c>
      <c r="SIN76" s="70">
        <v>0</v>
      </c>
      <c r="SIO76" s="70">
        <v>0</v>
      </c>
      <c r="SIP76" s="70">
        <v>0</v>
      </c>
      <c r="SIQ76" s="70">
        <v>0</v>
      </c>
      <c r="SIR76" s="70">
        <v>0</v>
      </c>
      <c r="SIS76" s="70">
        <v>0</v>
      </c>
      <c r="SIT76" s="70">
        <v>0</v>
      </c>
      <c r="SIU76" s="70">
        <v>0</v>
      </c>
      <c r="SIV76" s="70">
        <v>0</v>
      </c>
      <c r="SIW76" s="70">
        <v>0</v>
      </c>
      <c r="SIX76" s="70">
        <v>0</v>
      </c>
      <c r="SIY76" s="70">
        <v>0</v>
      </c>
      <c r="SIZ76" s="70">
        <v>0</v>
      </c>
      <c r="SJA76" s="70">
        <v>0</v>
      </c>
      <c r="SJB76" s="70">
        <v>0</v>
      </c>
      <c r="SJC76" s="70">
        <v>0</v>
      </c>
      <c r="SJD76" s="70">
        <v>0</v>
      </c>
      <c r="SJE76" s="70">
        <v>0</v>
      </c>
      <c r="SJF76" s="70">
        <v>0</v>
      </c>
      <c r="SJG76" s="70">
        <v>0</v>
      </c>
      <c r="SJH76" s="70">
        <v>0</v>
      </c>
      <c r="SJI76" s="70">
        <v>0</v>
      </c>
      <c r="SJJ76" s="70">
        <v>0</v>
      </c>
      <c r="SJK76" s="70">
        <v>0</v>
      </c>
      <c r="SJL76" s="70">
        <v>0</v>
      </c>
      <c r="SJM76" s="70">
        <v>0</v>
      </c>
      <c r="SJN76" s="70">
        <v>0</v>
      </c>
      <c r="SJO76" s="70">
        <v>0</v>
      </c>
      <c r="SJP76" s="70">
        <v>0</v>
      </c>
      <c r="SJQ76" s="70">
        <v>0</v>
      </c>
      <c r="SJR76" s="70">
        <v>0</v>
      </c>
      <c r="SJS76" s="70">
        <v>0</v>
      </c>
      <c r="SJT76" s="70">
        <v>0</v>
      </c>
      <c r="SJU76" s="70">
        <v>0</v>
      </c>
      <c r="SJV76" s="70">
        <v>0</v>
      </c>
      <c r="SJW76" s="70">
        <v>0</v>
      </c>
      <c r="SJX76" s="70">
        <v>0</v>
      </c>
      <c r="SJY76" s="70">
        <v>0</v>
      </c>
      <c r="SJZ76" s="70">
        <v>0</v>
      </c>
      <c r="SKA76" s="70">
        <v>0</v>
      </c>
      <c r="SKB76" s="70">
        <v>0</v>
      </c>
      <c r="SKC76" s="70">
        <v>0</v>
      </c>
      <c r="SKD76" s="70">
        <v>0</v>
      </c>
      <c r="SKE76" s="70">
        <v>0</v>
      </c>
      <c r="SKF76" s="70">
        <v>0</v>
      </c>
      <c r="SKG76" s="70">
        <v>0</v>
      </c>
      <c r="SKH76" s="70">
        <v>0</v>
      </c>
      <c r="SKI76" s="70">
        <v>0</v>
      </c>
      <c r="SKJ76" s="70">
        <v>0</v>
      </c>
      <c r="SKK76" s="70">
        <v>0</v>
      </c>
      <c r="SKL76" s="70">
        <v>0</v>
      </c>
      <c r="SKM76" s="70">
        <v>0</v>
      </c>
      <c r="SKN76" s="70">
        <v>0</v>
      </c>
      <c r="SKO76" s="70">
        <v>0</v>
      </c>
      <c r="SKP76" s="70">
        <v>0</v>
      </c>
      <c r="SKQ76" s="70">
        <v>0</v>
      </c>
      <c r="SKR76" s="70">
        <v>0</v>
      </c>
      <c r="SKS76" s="70">
        <v>0</v>
      </c>
      <c r="SKT76" s="70">
        <v>0</v>
      </c>
      <c r="SKU76" s="70">
        <v>0</v>
      </c>
      <c r="SKV76" s="70">
        <v>0</v>
      </c>
      <c r="SKW76" s="70">
        <v>0</v>
      </c>
      <c r="SKX76" s="70">
        <v>0</v>
      </c>
      <c r="SKY76" s="70">
        <v>0</v>
      </c>
      <c r="SKZ76" s="70">
        <v>0</v>
      </c>
      <c r="SLA76" s="70">
        <v>0</v>
      </c>
      <c r="SLB76" s="70">
        <v>0</v>
      </c>
      <c r="SLC76" s="70">
        <v>0</v>
      </c>
      <c r="SLD76" s="70">
        <v>0</v>
      </c>
      <c r="SLE76" s="70">
        <v>0</v>
      </c>
      <c r="SLF76" s="70">
        <v>0</v>
      </c>
      <c r="SLG76" s="70">
        <v>0</v>
      </c>
      <c r="SLH76" s="70">
        <v>0</v>
      </c>
      <c r="SLI76" s="70">
        <v>0</v>
      </c>
      <c r="SLJ76" s="70">
        <v>0</v>
      </c>
      <c r="SLK76" s="70">
        <v>0</v>
      </c>
      <c r="SLL76" s="70">
        <v>0</v>
      </c>
      <c r="SLM76" s="70">
        <v>0</v>
      </c>
      <c r="SLN76" s="70">
        <v>0</v>
      </c>
      <c r="SLO76" s="70">
        <v>0</v>
      </c>
      <c r="SLP76" s="70">
        <v>0</v>
      </c>
      <c r="SLQ76" s="70">
        <v>0</v>
      </c>
      <c r="SLR76" s="70">
        <v>0</v>
      </c>
      <c r="SLS76" s="70">
        <v>0</v>
      </c>
      <c r="SLT76" s="70">
        <v>0</v>
      </c>
      <c r="SLU76" s="70">
        <v>0</v>
      </c>
      <c r="SLV76" s="70">
        <v>0</v>
      </c>
      <c r="SLW76" s="70">
        <v>0</v>
      </c>
      <c r="SLX76" s="70">
        <v>0</v>
      </c>
      <c r="SLY76" s="70">
        <v>0</v>
      </c>
      <c r="SLZ76" s="70">
        <v>0</v>
      </c>
      <c r="SMA76" s="70">
        <v>0</v>
      </c>
      <c r="SMB76" s="70">
        <v>0</v>
      </c>
      <c r="SMC76" s="70">
        <v>0</v>
      </c>
      <c r="SMD76" s="70">
        <v>0</v>
      </c>
      <c r="SME76" s="70">
        <v>0</v>
      </c>
      <c r="SMF76" s="70">
        <v>0</v>
      </c>
      <c r="SMG76" s="70">
        <v>0</v>
      </c>
      <c r="SMH76" s="70">
        <v>0</v>
      </c>
      <c r="SMI76" s="70">
        <v>0</v>
      </c>
      <c r="SMJ76" s="70">
        <v>0</v>
      </c>
      <c r="SMK76" s="70">
        <v>0</v>
      </c>
      <c r="SML76" s="70">
        <v>0</v>
      </c>
      <c r="SMM76" s="70">
        <v>0</v>
      </c>
      <c r="SMN76" s="70">
        <v>0</v>
      </c>
      <c r="SMO76" s="70">
        <v>0</v>
      </c>
      <c r="SMP76" s="70">
        <v>0</v>
      </c>
      <c r="SMQ76" s="70">
        <v>0</v>
      </c>
      <c r="SMR76" s="70">
        <v>0</v>
      </c>
      <c r="SMS76" s="70">
        <v>0</v>
      </c>
      <c r="SMT76" s="70">
        <v>0</v>
      </c>
      <c r="SMU76" s="70">
        <v>0</v>
      </c>
      <c r="SMV76" s="70">
        <v>0</v>
      </c>
      <c r="SMW76" s="70">
        <v>0</v>
      </c>
      <c r="SMX76" s="70">
        <v>0</v>
      </c>
      <c r="SMY76" s="70">
        <v>0</v>
      </c>
      <c r="SMZ76" s="70">
        <v>0</v>
      </c>
      <c r="SNA76" s="70">
        <v>0</v>
      </c>
      <c r="SNB76" s="70">
        <v>0</v>
      </c>
      <c r="SNC76" s="70">
        <v>0</v>
      </c>
      <c r="SND76" s="70">
        <v>0</v>
      </c>
      <c r="SNE76" s="70">
        <v>0</v>
      </c>
      <c r="SNF76" s="70">
        <v>0</v>
      </c>
      <c r="SNG76" s="70">
        <v>0</v>
      </c>
      <c r="SNH76" s="70">
        <v>0</v>
      </c>
      <c r="SNI76" s="70">
        <v>0</v>
      </c>
      <c r="SNJ76" s="70">
        <v>0</v>
      </c>
      <c r="SNK76" s="70">
        <v>0</v>
      </c>
      <c r="SNL76" s="70">
        <v>0</v>
      </c>
      <c r="SNM76" s="70">
        <v>0</v>
      </c>
      <c r="SNN76" s="70">
        <v>0</v>
      </c>
      <c r="SNO76" s="70">
        <v>0</v>
      </c>
      <c r="SNP76" s="70">
        <v>0</v>
      </c>
      <c r="SNQ76" s="70">
        <v>0</v>
      </c>
      <c r="SNR76" s="70">
        <v>0</v>
      </c>
      <c r="SNS76" s="70">
        <v>0</v>
      </c>
      <c r="SNT76" s="70">
        <v>0</v>
      </c>
      <c r="SNU76" s="70">
        <v>0</v>
      </c>
      <c r="SNV76" s="70">
        <v>0</v>
      </c>
      <c r="SNW76" s="70">
        <v>0</v>
      </c>
      <c r="SNX76" s="70">
        <v>0</v>
      </c>
      <c r="SNY76" s="70">
        <v>0</v>
      </c>
      <c r="SNZ76" s="70">
        <v>0</v>
      </c>
      <c r="SOA76" s="70">
        <v>0</v>
      </c>
      <c r="SOB76" s="70">
        <v>0</v>
      </c>
      <c r="SOC76" s="70">
        <v>0</v>
      </c>
      <c r="SOD76" s="70">
        <v>0</v>
      </c>
      <c r="SOE76" s="70">
        <v>0</v>
      </c>
      <c r="SOF76" s="70">
        <v>0</v>
      </c>
      <c r="SOG76" s="70">
        <v>0</v>
      </c>
      <c r="SOH76" s="70">
        <v>0</v>
      </c>
      <c r="SOI76" s="70">
        <v>0</v>
      </c>
      <c r="SOJ76" s="70">
        <v>0</v>
      </c>
      <c r="SOK76" s="70">
        <v>0</v>
      </c>
      <c r="SOL76" s="70">
        <v>0</v>
      </c>
      <c r="SOM76" s="70">
        <v>0</v>
      </c>
      <c r="SON76" s="70">
        <v>0</v>
      </c>
      <c r="SOO76" s="70">
        <v>0</v>
      </c>
      <c r="SOP76" s="70">
        <v>0</v>
      </c>
      <c r="SOQ76" s="70">
        <v>0</v>
      </c>
      <c r="SOR76" s="70">
        <v>0</v>
      </c>
      <c r="SOS76" s="70">
        <v>0</v>
      </c>
      <c r="SOT76" s="70">
        <v>0</v>
      </c>
      <c r="SOU76" s="70">
        <v>0</v>
      </c>
      <c r="SOV76" s="70">
        <v>0</v>
      </c>
      <c r="SOW76" s="70">
        <v>0</v>
      </c>
      <c r="SOX76" s="70">
        <v>0</v>
      </c>
      <c r="SOY76" s="70">
        <v>0</v>
      </c>
      <c r="SOZ76" s="70">
        <v>0</v>
      </c>
      <c r="SPA76" s="70">
        <v>0</v>
      </c>
      <c r="SPB76" s="70">
        <v>0</v>
      </c>
      <c r="SPC76" s="70">
        <v>0</v>
      </c>
      <c r="SPD76" s="70">
        <v>0</v>
      </c>
      <c r="SPE76" s="70">
        <v>0</v>
      </c>
      <c r="SPF76" s="70">
        <v>0</v>
      </c>
      <c r="SPG76" s="70">
        <v>0</v>
      </c>
      <c r="SPH76" s="70">
        <v>0</v>
      </c>
      <c r="SPI76" s="70">
        <v>0</v>
      </c>
      <c r="SPJ76" s="70">
        <v>0</v>
      </c>
      <c r="SPK76" s="70">
        <v>0</v>
      </c>
      <c r="SPL76" s="70">
        <v>0</v>
      </c>
      <c r="SPM76" s="70">
        <v>0</v>
      </c>
      <c r="SPN76" s="70">
        <v>0</v>
      </c>
      <c r="SPO76" s="70">
        <v>0</v>
      </c>
      <c r="SPP76" s="70">
        <v>0</v>
      </c>
      <c r="SPQ76" s="70">
        <v>0</v>
      </c>
      <c r="SPR76" s="70">
        <v>0</v>
      </c>
      <c r="SPS76" s="70">
        <v>0</v>
      </c>
      <c r="SPT76" s="70">
        <v>0</v>
      </c>
      <c r="SPU76" s="70">
        <v>0</v>
      </c>
      <c r="SPV76" s="70">
        <v>0</v>
      </c>
      <c r="SPW76" s="70">
        <v>0</v>
      </c>
      <c r="SPX76" s="70">
        <v>0</v>
      </c>
      <c r="SPY76" s="70">
        <v>0</v>
      </c>
      <c r="SPZ76" s="70">
        <v>0</v>
      </c>
      <c r="SQA76" s="70">
        <v>0</v>
      </c>
      <c r="SQB76" s="70">
        <v>0</v>
      </c>
      <c r="SQC76" s="70">
        <v>0</v>
      </c>
      <c r="SQD76" s="70">
        <v>0</v>
      </c>
      <c r="SQE76" s="70">
        <v>0</v>
      </c>
      <c r="SQF76" s="70">
        <v>0</v>
      </c>
      <c r="SQG76" s="70">
        <v>0</v>
      </c>
      <c r="SQH76" s="70">
        <v>0</v>
      </c>
      <c r="SQI76" s="70">
        <v>0</v>
      </c>
      <c r="SQJ76" s="70">
        <v>0</v>
      </c>
      <c r="SQK76" s="70">
        <v>0</v>
      </c>
      <c r="SQL76" s="70">
        <v>0</v>
      </c>
      <c r="SQM76" s="70">
        <v>0</v>
      </c>
      <c r="SQN76" s="70">
        <v>0</v>
      </c>
      <c r="SQO76" s="70">
        <v>0</v>
      </c>
      <c r="SQP76" s="70">
        <v>0</v>
      </c>
      <c r="SQQ76" s="70">
        <v>0</v>
      </c>
      <c r="SQR76" s="70">
        <v>0</v>
      </c>
      <c r="SQS76" s="70">
        <v>0</v>
      </c>
      <c r="SQT76" s="70">
        <v>0</v>
      </c>
      <c r="SQU76" s="70">
        <v>0</v>
      </c>
      <c r="SQV76" s="70">
        <v>0</v>
      </c>
      <c r="SQW76" s="70">
        <v>0</v>
      </c>
      <c r="SQX76" s="70">
        <v>0</v>
      </c>
      <c r="SQY76" s="70">
        <v>0</v>
      </c>
      <c r="SQZ76" s="70">
        <v>0</v>
      </c>
      <c r="SRA76" s="70">
        <v>0</v>
      </c>
      <c r="SRB76" s="70">
        <v>0</v>
      </c>
      <c r="SRC76" s="70">
        <v>0</v>
      </c>
      <c r="SRD76" s="70">
        <v>0</v>
      </c>
      <c r="SRE76" s="70">
        <v>0</v>
      </c>
      <c r="SRF76" s="70">
        <v>0</v>
      </c>
      <c r="SRG76" s="70">
        <v>0</v>
      </c>
      <c r="SRH76" s="70">
        <v>0</v>
      </c>
      <c r="SRI76" s="70">
        <v>0</v>
      </c>
      <c r="SRJ76" s="70">
        <v>0</v>
      </c>
      <c r="SRK76" s="70">
        <v>0</v>
      </c>
      <c r="SRL76" s="70">
        <v>0</v>
      </c>
      <c r="SRM76" s="70">
        <v>0</v>
      </c>
      <c r="SRN76" s="70">
        <v>0</v>
      </c>
      <c r="SRO76" s="70">
        <v>0</v>
      </c>
      <c r="SRP76" s="70">
        <v>0</v>
      </c>
      <c r="SRQ76" s="70">
        <v>0</v>
      </c>
      <c r="SRR76" s="70">
        <v>0</v>
      </c>
      <c r="SRS76" s="70">
        <v>0</v>
      </c>
      <c r="SRT76" s="70">
        <v>0</v>
      </c>
      <c r="SRU76" s="70">
        <v>0</v>
      </c>
      <c r="SRV76" s="70">
        <v>0</v>
      </c>
      <c r="SRW76" s="70">
        <v>0</v>
      </c>
      <c r="SRX76" s="70">
        <v>0</v>
      </c>
      <c r="SRY76" s="70">
        <v>0</v>
      </c>
      <c r="SRZ76" s="70">
        <v>0</v>
      </c>
      <c r="SSA76" s="70">
        <v>0</v>
      </c>
      <c r="SSB76" s="70">
        <v>0</v>
      </c>
      <c r="SSC76" s="70">
        <v>0</v>
      </c>
      <c r="SSD76" s="70">
        <v>0</v>
      </c>
      <c r="SSE76" s="70">
        <v>0</v>
      </c>
      <c r="SSF76" s="70">
        <v>0</v>
      </c>
      <c r="SSG76" s="70">
        <v>0</v>
      </c>
      <c r="SSH76" s="70">
        <v>0</v>
      </c>
      <c r="SSI76" s="70">
        <v>0</v>
      </c>
      <c r="SSJ76" s="70">
        <v>0</v>
      </c>
      <c r="SSK76" s="70">
        <v>0</v>
      </c>
      <c r="SSL76" s="70">
        <v>0</v>
      </c>
      <c r="SSM76" s="70">
        <v>0</v>
      </c>
      <c r="SSN76" s="70">
        <v>0</v>
      </c>
      <c r="SSO76" s="70">
        <v>0</v>
      </c>
      <c r="SSP76" s="70">
        <v>0</v>
      </c>
      <c r="SSQ76" s="70">
        <v>0</v>
      </c>
      <c r="SSR76" s="70">
        <v>0</v>
      </c>
      <c r="SSS76" s="70">
        <v>0</v>
      </c>
      <c r="SST76" s="70">
        <v>0</v>
      </c>
      <c r="SSU76" s="70">
        <v>0</v>
      </c>
      <c r="SSV76" s="70">
        <v>0</v>
      </c>
      <c r="SSW76" s="70">
        <v>0</v>
      </c>
      <c r="SSX76" s="70">
        <v>0</v>
      </c>
      <c r="SSY76" s="70">
        <v>0</v>
      </c>
      <c r="SSZ76" s="70">
        <v>0</v>
      </c>
      <c r="STA76" s="70">
        <v>0</v>
      </c>
      <c r="STB76" s="70">
        <v>0</v>
      </c>
      <c r="STC76" s="70">
        <v>0</v>
      </c>
      <c r="STD76" s="70">
        <v>0</v>
      </c>
      <c r="STE76" s="70">
        <v>0</v>
      </c>
      <c r="STF76" s="70">
        <v>0</v>
      </c>
      <c r="STG76" s="70">
        <v>0</v>
      </c>
      <c r="STH76" s="70">
        <v>0</v>
      </c>
      <c r="STI76" s="70">
        <v>0</v>
      </c>
      <c r="STJ76" s="70">
        <v>0</v>
      </c>
      <c r="STK76" s="70">
        <v>0</v>
      </c>
      <c r="STL76" s="70">
        <v>0</v>
      </c>
      <c r="STM76" s="70">
        <v>0</v>
      </c>
      <c r="STN76" s="70">
        <v>0</v>
      </c>
      <c r="STO76" s="70">
        <v>0</v>
      </c>
      <c r="STP76" s="70">
        <v>0</v>
      </c>
      <c r="STQ76" s="70">
        <v>0</v>
      </c>
      <c r="STR76" s="70">
        <v>0</v>
      </c>
      <c r="STS76" s="70">
        <v>0</v>
      </c>
      <c r="STT76" s="70">
        <v>0</v>
      </c>
      <c r="STU76" s="70">
        <v>0</v>
      </c>
      <c r="STV76" s="70">
        <v>0</v>
      </c>
      <c r="STW76" s="70">
        <v>0</v>
      </c>
      <c r="STX76" s="70">
        <v>0</v>
      </c>
      <c r="STY76" s="70">
        <v>0</v>
      </c>
      <c r="STZ76" s="70">
        <v>0</v>
      </c>
      <c r="SUA76" s="70">
        <v>0</v>
      </c>
      <c r="SUB76" s="70">
        <v>0</v>
      </c>
      <c r="SUC76" s="70">
        <v>0</v>
      </c>
      <c r="SUD76" s="70">
        <v>0</v>
      </c>
      <c r="SUE76" s="70">
        <v>0</v>
      </c>
      <c r="SUF76" s="70">
        <v>0</v>
      </c>
      <c r="SUG76" s="70">
        <v>0</v>
      </c>
      <c r="SUH76" s="70">
        <v>0</v>
      </c>
      <c r="SUI76" s="70">
        <v>0</v>
      </c>
      <c r="SUJ76" s="70">
        <v>0</v>
      </c>
      <c r="SUK76" s="70">
        <v>0</v>
      </c>
      <c r="SUL76" s="70">
        <v>0</v>
      </c>
      <c r="SUM76" s="70">
        <v>0</v>
      </c>
      <c r="SUN76" s="70">
        <v>0</v>
      </c>
      <c r="SUO76" s="70">
        <v>0</v>
      </c>
      <c r="SUP76" s="70">
        <v>0</v>
      </c>
      <c r="SUQ76" s="70">
        <v>0</v>
      </c>
      <c r="SUR76" s="70">
        <v>0</v>
      </c>
      <c r="SUS76" s="70">
        <v>0</v>
      </c>
      <c r="SUT76" s="70">
        <v>0</v>
      </c>
      <c r="SUU76" s="70">
        <v>0</v>
      </c>
      <c r="SUV76" s="70">
        <v>0</v>
      </c>
      <c r="SUW76" s="70">
        <v>0</v>
      </c>
      <c r="SUX76" s="70">
        <v>0</v>
      </c>
      <c r="SUY76" s="70">
        <v>0</v>
      </c>
      <c r="SUZ76" s="70">
        <v>0</v>
      </c>
      <c r="SVA76" s="70">
        <v>0</v>
      </c>
      <c r="SVB76" s="70">
        <v>0</v>
      </c>
      <c r="SVC76" s="70">
        <v>0</v>
      </c>
      <c r="SVD76" s="70">
        <v>0</v>
      </c>
      <c r="SVE76" s="70">
        <v>0</v>
      </c>
      <c r="SVF76" s="70">
        <v>0</v>
      </c>
      <c r="SVG76" s="70">
        <v>0</v>
      </c>
      <c r="SVH76" s="70">
        <v>0</v>
      </c>
      <c r="SVI76" s="70">
        <v>0</v>
      </c>
      <c r="SVJ76" s="70">
        <v>0</v>
      </c>
      <c r="SVK76" s="70">
        <v>0</v>
      </c>
      <c r="SVL76" s="70">
        <v>0</v>
      </c>
      <c r="SVM76" s="70">
        <v>0</v>
      </c>
      <c r="SVN76" s="70">
        <v>0</v>
      </c>
      <c r="SVO76" s="70">
        <v>0</v>
      </c>
      <c r="SVP76" s="70">
        <v>0</v>
      </c>
      <c r="SVQ76" s="70">
        <v>0</v>
      </c>
      <c r="SVR76" s="70">
        <v>0</v>
      </c>
      <c r="SVS76" s="70">
        <v>0</v>
      </c>
      <c r="SVT76" s="70">
        <v>0</v>
      </c>
      <c r="SVU76" s="70">
        <v>0</v>
      </c>
      <c r="SVV76" s="70">
        <v>0</v>
      </c>
      <c r="SVW76" s="70">
        <v>0</v>
      </c>
      <c r="SVX76" s="70">
        <v>0</v>
      </c>
      <c r="SVY76" s="70">
        <v>0</v>
      </c>
      <c r="SVZ76" s="70">
        <v>0</v>
      </c>
      <c r="SWA76" s="70">
        <v>0</v>
      </c>
      <c r="SWB76" s="70">
        <v>0</v>
      </c>
      <c r="SWC76" s="70">
        <v>0</v>
      </c>
      <c r="SWD76" s="70">
        <v>0</v>
      </c>
      <c r="SWE76" s="70">
        <v>0</v>
      </c>
      <c r="SWF76" s="70">
        <v>0</v>
      </c>
      <c r="SWG76" s="70">
        <v>0</v>
      </c>
      <c r="SWH76" s="70">
        <v>0</v>
      </c>
      <c r="SWI76" s="70">
        <v>0</v>
      </c>
      <c r="SWJ76" s="70">
        <v>0</v>
      </c>
      <c r="SWK76" s="70">
        <v>0</v>
      </c>
      <c r="SWL76" s="70">
        <v>0</v>
      </c>
      <c r="SWM76" s="70">
        <v>0</v>
      </c>
      <c r="SWN76" s="70">
        <v>0</v>
      </c>
      <c r="SWO76" s="70">
        <v>0</v>
      </c>
      <c r="SWP76" s="70">
        <v>0</v>
      </c>
      <c r="SWQ76" s="70">
        <v>0</v>
      </c>
      <c r="SWR76" s="70">
        <v>0</v>
      </c>
      <c r="SWS76" s="70">
        <v>0</v>
      </c>
      <c r="SWT76" s="70">
        <v>0</v>
      </c>
      <c r="SWU76" s="70">
        <v>0</v>
      </c>
      <c r="SWV76" s="70">
        <v>0</v>
      </c>
      <c r="SWW76" s="70">
        <v>0</v>
      </c>
      <c r="SWX76" s="70">
        <v>0</v>
      </c>
      <c r="SWY76" s="70">
        <v>0</v>
      </c>
      <c r="SWZ76" s="70">
        <v>0</v>
      </c>
      <c r="SXA76" s="70">
        <v>0</v>
      </c>
      <c r="SXB76" s="70">
        <v>0</v>
      </c>
      <c r="SXC76" s="70">
        <v>0</v>
      </c>
      <c r="SXD76" s="70">
        <v>0</v>
      </c>
      <c r="SXE76" s="70">
        <v>0</v>
      </c>
      <c r="SXF76" s="70">
        <v>0</v>
      </c>
      <c r="SXG76" s="70">
        <v>0</v>
      </c>
      <c r="SXH76" s="70">
        <v>0</v>
      </c>
      <c r="SXI76" s="70">
        <v>0</v>
      </c>
      <c r="SXJ76" s="70">
        <v>0</v>
      </c>
      <c r="SXK76" s="70">
        <v>0</v>
      </c>
      <c r="SXL76" s="70">
        <v>0</v>
      </c>
      <c r="SXM76" s="70">
        <v>0</v>
      </c>
      <c r="SXN76" s="70">
        <v>0</v>
      </c>
      <c r="SXO76" s="70">
        <v>0</v>
      </c>
      <c r="SXP76" s="70">
        <v>0</v>
      </c>
      <c r="SXQ76" s="70">
        <v>0</v>
      </c>
      <c r="SXR76" s="70">
        <v>0</v>
      </c>
      <c r="SXS76" s="70">
        <v>0</v>
      </c>
      <c r="SXT76" s="70">
        <v>0</v>
      </c>
      <c r="SXU76" s="70">
        <v>0</v>
      </c>
      <c r="SXV76" s="70">
        <v>0</v>
      </c>
      <c r="SXW76" s="70">
        <v>0</v>
      </c>
      <c r="SXX76" s="70">
        <v>0</v>
      </c>
      <c r="SXY76" s="70">
        <v>0</v>
      </c>
      <c r="SXZ76" s="70">
        <v>0</v>
      </c>
      <c r="SYA76" s="70">
        <v>0</v>
      </c>
      <c r="SYB76" s="70">
        <v>0</v>
      </c>
      <c r="SYC76" s="70">
        <v>0</v>
      </c>
      <c r="SYD76" s="70">
        <v>0</v>
      </c>
      <c r="SYE76" s="70">
        <v>0</v>
      </c>
      <c r="SYF76" s="70">
        <v>0</v>
      </c>
      <c r="SYG76" s="70">
        <v>0</v>
      </c>
      <c r="SYH76" s="70">
        <v>0</v>
      </c>
      <c r="SYI76" s="70">
        <v>0</v>
      </c>
      <c r="SYJ76" s="70">
        <v>0</v>
      </c>
      <c r="SYK76" s="70">
        <v>0</v>
      </c>
      <c r="SYL76" s="70">
        <v>0</v>
      </c>
      <c r="SYM76" s="70">
        <v>0</v>
      </c>
      <c r="SYN76" s="70">
        <v>0</v>
      </c>
      <c r="SYO76" s="70">
        <v>0</v>
      </c>
      <c r="SYP76" s="70">
        <v>0</v>
      </c>
      <c r="SYQ76" s="70">
        <v>0</v>
      </c>
      <c r="SYR76" s="70">
        <v>0</v>
      </c>
      <c r="SYS76" s="70">
        <v>0</v>
      </c>
      <c r="SYT76" s="70">
        <v>0</v>
      </c>
      <c r="SYU76" s="70">
        <v>0</v>
      </c>
      <c r="SYV76" s="70">
        <v>0</v>
      </c>
      <c r="SYW76" s="70">
        <v>0</v>
      </c>
      <c r="SYX76" s="70">
        <v>0</v>
      </c>
      <c r="SYY76" s="70">
        <v>0</v>
      </c>
      <c r="SYZ76" s="70">
        <v>0</v>
      </c>
      <c r="SZA76" s="70">
        <v>0</v>
      </c>
      <c r="SZB76" s="70">
        <v>0</v>
      </c>
      <c r="SZC76" s="70">
        <v>0</v>
      </c>
      <c r="SZD76" s="70">
        <v>0</v>
      </c>
      <c r="SZE76" s="70">
        <v>0</v>
      </c>
      <c r="SZF76" s="70">
        <v>0</v>
      </c>
      <c r="SZG76" s="70">
        <v>0</v>
      </c>
      <c r="SZH76" s="70">
        <v>0</v>
      </c>
      <c r="SZI76" s="70">
        <v>0</v>
      </c>
      <c r="SZJ76" s="70">
        <v>0</v>
      </c>
      <c r="SZK76" s="70">
        <v>0</v>
      </c>
      <c r="SZL76" s="70">
        <v>0</v>
      </c>
      <c r="SZM76" s="70">
        <v>0</v>
      </c>
      <c r="SZN76" s="70">
        <v>0</v>
      </c>
      <c r="SZO76" s="70">
        <v>0</v>
      </c>
      <c r="SZP76" s="70">
        <v>0</v>
      </c>
      <c r="SZQ76" s="70">
        <v>0</v>
      </c>
      <c r="SZR76" s="70">
        <v>0</v>
      </c>
      <c r="SZS76" s="70">
        <v>0</v>
      </c>
      <c r="SZT76" s="70">
        <v>0</v>
      </c>
      <c r="SZU76" s="70">
        <v>0</v>
      </c>
      <c r="SZV76" s="70">
        <v>0</v>
      </c>
      <c r="SZW76" s="70">
        <v>0</v>
      </c>
      <c r="SZX76" s="70">
        <v>0</v>
      </c>
      <c r="SZY76" s="70">
        <v>0</v>
      </c>
      <c r="SZZ76" s="70">
        <v>0</v>
      </c>
      <c r="TAA76" s="70">
        <v>0</v>
      </c>
      <c r="TAB76" s="70">
        <v>0</v>
      </c>
      <c r="TAC76" s="70">
        <v>0</v>
      </c>
      <c r="TAD76" s="70">
        <v>0</v>
      </c>
      <c r="TAE76" s="70">
        <v>0</v>
      </c>
      <c r="TAF76" s="70">
        <v>0</v>
      </c>
      <c r="TAG76" s="70">
        <v>0</v>
      </c>
      <c r="TAH76" s="70">
        <v>0</v>
      </c>
      <c r="TAI76" s="70">
        <v>0</v>
      </c>
      <c r="TAJ76" s="70">
        <v>0</v>
      </c>
      <c r="TAK76" s="70">
        <v>0</v>
      </c>
      <c r="TAL76" s="70">
        <v>0</v>
      </c>
      <c r="TAM76" s="70">
        <v>0</v>
      </c>
      <c r="TAN76" s="70">
        <v>0</v>
      </c>
      <c r="TAO76" s="70">
        <v>0</v>
      </c>
      <c r="TAP76" s="70">
        <v>0</v>
      </c>
      <c r="TAQ76" s="70">
        <v>0</v>
      </c>
      <c r="TAR76" s="70">
        <v>0</v>
      </c>
      <c r="TAS76" s="70">
        <v>0</v>
      </c>
      <c r="TAT76" s="70">
        <v>0</v>
      </c>
      <c r="TAU76" s="70">
        <v>0</v>
      </c>
      <c r="TAV76" s="70">
        <v>0</v>
      </c>
      <c r="TAW76" s="70">
        <v>0</v>
      </c>
      <c r="TAX76" s="70">
        <v>0</v>
      </c>
      <c r="TAY76" s="70">
        <v>0</v>
      </c>
      <c r="TAZ76" s="70">
        <v>0</v>
      </c>
      <c r="TBA76" s="70">
        <v>0</v>
      </c>
      <c r="TBB76" s="70">
        <v>0</v>
      </c>
      <c r="TBC76" s="70">
        <v>0</v>
      </c>
      <c r="TBD76" s="70">
        <v>0</v>
      </c>
      <c r="TBE76" s="70">
        <v>0</v>
      </c>
      <c r="TBF76" s="70">
        <v>0</v>
      </c>
      <c r="TBG76" s="70">
        <v>0</v>
      </c>
      <c r="TBH76" s="70">
        <v>0</v>
      </c>
      <c r="TBI76" s="70">
        <v>0</v>
      </c>
      <c r="TBJ76" s="70">
        <v>0</v>
      </c>
      <c r="TBK76" s="70">
        <v>0</v>
      </c>
      <c r="TBL76" s="70">
        <v>0</v>
      </c>
      <c r="TBM76" s="70">
        <v>0</v>
      </c>
      <c r="TBN76" s="70">
        <v>0</v>
      </c>
      <c r="TBO76" s="70">
        <v>0</v>
      </c>
      <c r="TBP76" s="70">
        <v>0</v>
      </c>
      <c r="TBQ76" s="70">
        <v>0</v>
      </c>
      <c r="TBR76" s="70">
        <v>0</v>
      </c>
      <c r="TBS76" s="70">
        <v>0</v>
      </c>
      <c r="TBT76" s="70">
        <v>0</v>
      </c>
      <c r="TBU76" s="70">
        <v>0</v>
      </c>
      <c r="TBV76" s="70">
        <v>0</v>
      </c>
      <c r="TBW76" s="70">
        <v>0</v>
      </c>
      <c r="TBX76" s="70">
        <v>0</v>
      </c>
      <c r="TBY76" s="70">
        <v>0</v>
      </c>
      <c r="TBZ76" s="70">
        <v>0</v>
      </c>
      <c r="TCA76" s="70">
        <v>0</v>
      </c>
      <c r="TCB76" s="70">
        <v>0</v>
      </c>
      <c r="TCC76" s="70">
        <v>0</v>
      </c>
      <c r="TCD76" s="70">
        <v>0</v>
      </c>
      <c r="TCE76" s="70">
        <v>0</v>
      </c>
      <c r="TCF76" s="70">
        <v>0</v>
      </c>
      <c r="TCG76" s="70">
        <v>0</v>
      </c>
      <c r="TCH76" s="70">
        <v>0</v>
      </c>
      <c r="TCI76" s="70">
        <v>0</v>
      </c>
      <c r="TCJ76" s="70">
        <v>0</v>
      </c>
      <c r="TCK76" s="70">
        <v>0</v>
      </c>
      <c r="TCL76" s="70">
        <v>0</v>
      </c>
      <c r="TCM76" s="70">
        <v>0</v>
      </c>
      <c r="TCN76" s="70">
        <v>0</v>
      </c>
      <c r="TCO76" s="70">
        <v>0</v>
      </c>
      <c r="TCP76" s="70">
        <v>0</v>
      </c>
      <c r="TCQ76" s="70">
        <v>0</v>
      </c>
      <c r="TCR76" s="70">
        <v>0</v>
      </c>
      <c r="TCS76" s="70">
        <v>0</v>
      </c>
      <c r="TCT76" s="70">
        <v>0</v>
      </c>
      <c r="TCU76" s="70">
        <v>0</v>
      </c>
      <c r="TCV76" s="70">
        <v>0</v>
      </c>
      <c r="TCW76" s="70">
        <v>0</v>
      </c>
      <c r="TCX76" s="70">
        <v>0</v>
      </c>
      <c r="TCY76" s="70">
        <v>0</v>
      </c>
      <c r="TCZ76" s="70">
        <v>0</v>
      </c>
      <c r="TDA76" s="70">
        <v>0</v>
      </c>
      <c r="TDB76" s="70">
        <v>0</v>
      </c>
      <c r="TDC76" s="70">
        <v>0</v>
      </c>
      <c r="TDD76" s="70">
        <v>0</v>
      </c>
      <c r="TDE76" s="70">
        <v>0</v>
      </c>
      <c r="TDF76" s="70">
        <v>0</v>
      </c>
      <c r="TDG76" s="70">
        <v>0</v>
      </c>
      <c r="TDH76" s="70">
        <v>0</v>
      </c>
      <c r="TDI76" s="70">
        <v>0</v>
      </c>
      <c r="TDJ76" s="70">
        <v>0</v>
      </c>
      <c r="TDK76" s="70">
        <v>0</v>
      </c>
      <c r="TDL76" s="70">
        <v>0</v>
      </c>
      <c r="TDM76" s="70">
        <v>0</v>
      </c>
      <c r="TDN76" s="70">
        <v>0</v>
      </c>
      <c r="TDO76" s="70">
        <v>0</v>
      </c>
      <c r="TDP76" s="70">
        <v>0</v>
      </c>
      <c r="TDQ76" s="70">
        <v>0</v>
      </c>
      <c r="TDR76" s="70">
        <v>0</v>
      </c>
      <c r="TDS76" s="70">
        <v>0</v>
      </c>
      <c r="TDT76" s="70">
        <v>0</v>
      </c>
      <c r="TDU76" s="70">
        <v>0</v>
      </c>
      <c r="TDV76" s="70">
        <v>0</v>
      </c>
      <c r="TDW76" s="70">
        <v>0</v>
      </c>
      <c r="TDX76" s="70">
        <v>0</v>
      </c>
      <c r="TDY76" s="70">
        <v>0</v>
      </c>
      <c r="TDZ76" s="70">
        <v>0</v>
      </c>
      <c r="TEA76" s="70">
        <v>0</v>
      </c>
      <c r="TEB76" s="70">
        <v>0</v>
      </c>
      <c r="TEC76" s="70">
        <v>0</v>
      </c>
      <c r="TED76" s="70">
        <v>0</v>
      </c>
      <c r="TEE76" s="70">
        <v>0</v>
      </c>
      <c r="TEF76" s="70">
        <v>0</v>
      </c>
      <c r="TEG76" s="70">
        <v>0</v>
      </c>
      <c r="TEH76" s="70">
        <v>0</v>
      </c>
      <c r="TEI76" s="70">
        <v>0</v>
      </c>
      <c r="TEJ76" s="70">
        <v>0</v>
      </c>
      <c r="TEK76" s="70">
        <v>0</v>
      </c>
      <c r="TEL76" s="70">
        <v>0</v>
      </c>
      <c r="TEM76" s="70">
        <v>0</v>
      </c>
      <c r="TEN76" s="70">
        <v>0</v>
      </c>
      <c r="TEO76" s="70">
        <v>0</v>
      </c>
      <c r="TEP76" s="70">
        <v>0</v>
      </c>
      <c r="TEQ76" s="70">
        <v>0</v>
      </c>
      <c r="TER76" s="70">
        <v>0</v>
      </c>
      <c r="TES76" s="70">
        <v>0</v>
      </c>
      <c r="TET76" s="70">
        <v>0</v>
      </c>
      <c r="TEU76" s="70">
        <v>0</v>
      </c>
      <c r="TEV76" s="70">
        <v>0</v>
      </c>
      <c r="TEW76" s="70">
        <v>0</v>
      </c>
      <c r="TEX76" s="70">
        <v>0</v>
      </c>
      <c r="TEY76" s="70">
        <v>0</v>
      </c>
      <c r="TEZ76" s="70">
        <v>0</v>
      </c>
      <c r="TFA76" s="70">
        <v>0</v>
      </c>
      <c r="TFB76" s="70">
        <v>0</v>
      </c>
      <c r="TFC76" s="70">
        <v>0</v>
      </c>
      <c r="TFD76" s="70">
        <v>0</v>
      </c>
      <c r="TFE76" s="70">
        <v>0</v>
      </c>
      <c r="TFF76" s="70">
        <v>0</v>
      </c>
      <c r="TFG76" s="70">
        <v>0</v>
      </c>
      <c r="TFH76" s="70">
        <v>0</v>
      </c>
      <c r="TFI76" s="70">
        <v>0</v>
      </c>
      <c r="TFJ76" s="70">
        <v>0</v>
      </c>
      <c r="TFK76" s="70">
        <v>0</v>
      </c>
      <c r="TFL76" s="70">
        <v>0</v>
      </c>
      <c r="TFM76" s="70">
        <v>0</v>
      </c>
      <c r="TFN76" s="70">
        <v>0</v>
      </c>
      <c r="TFO76" s="70">
        <v>0</v>
      </c>
      <c r="TFP76" s="70">
        <v>0</v>
      </c>
      <c r="TFQ76" s="70">
        <v>0</v>
      </c>
      <c r="TFR76" s="70">
        <v>0</v>
      </c>
      <c r="TFS76" s="70">
        <v>0</v>
      </c>
      <c r="TFT76" s="70">
        <v>0</v>
      </c>
      <c r="TFU76" s="70">
        <v>0</v>
      </c>
      <c r="TFV76" s="70">
        <v>0</v>
      </c>
      <c r="TFW76" s="70">
        <v>0</v>
      </c>
      <c r="TFX76" s="70">
        <v>0</v>
      </c>
      <c r="TFY76" s="70">
        <v>0</v>
      </c>
      <c r="TFZ76" s="70">
        <v>0</v>
      </c>
      <c r="TGA76" s="70">
        <v>0</v>
      </c>
      <c r="TGB76" s="70">
        <v>0</v>
      </c>
      <c r="TGC76" s="70">
        <v>0</v>
      </c>
      <c r="TGD76" s="70">
        <v>0</v>
      </c>
      <c r="TGE76" s="70">
        <v>0</v>
      </c>
      <c r="TGF76" s="70">
        <v>0</v>
      </c>
      <c r="TGG76" s="70">
        <v>0</v>
      </c>
      <c r="TGH76" s="70">
        <v>0</v>
      </c>
      <c r="TGI76" s="70">
        <v>0</v>
      </c>
      <c r="TGJ76" s="70">
        <v>0</v>
      </c>
      <c r="TGK76" s="70">
        <v>0</v>
      </c>
      <c r="TGL76" s="70">
        <v>0</v>
      </c>
      <c r="TGM76" s="70">
        <v>0</v>
      </c>
      <c r="TGN76" s="70">
        <v>0</v>
      </c>
      <c r="TGO76" s="70">
        <v>0</v>
      </c>
      <c r="TGP76" s="70">
        <v>0</v>
      </c>
      <c r="TGQ76" s="70">
        <v>0</v>
      </c>
      <c r="TGR76" s="70">
        <v>0</v>
      </c>
      <c r="TGS76" s="70">
        <v>0</v>
      </c>
      <c r="TGT76" s="70">
        <v>0</v>
      </c>
      <c r="TGU76" s="70">
        <v>0</v>
      </c>
      <c r="TGV76" s="70">
        <v>0</v>
      </c>
      <c r="TGW76" s="70">
        <v>0</v>
      </c>
      <c r="TGX76" s="70">
        <v>0</v>
      </c>
      <c r="TGY76" s="70">
        <v>0</v>
      </c>
      <c r="TGZ76" s="70">
        <v>0</v>
      </c>
      <c r="THA76" s="70">
        <v>0</v>
      </c>
      <c r="THB76" s="70">
        <v>0</v>
      </c>
      <c r="THC76" s="70">
        <v>0</v>
      </c>
      <c r="THD76" s="70">
        <v>0</v>
      </c>
      <c r="THE76" s="70">
        <v>0</v>
      </c>
      <c r="THF76" s="70">
        <v>0</v>
      </c>
      <c r="THG76" s="70">
        <v>0</v>
      </c>
      <c r="THH76" s="70">
        <v>0</v>
      </c>
      <c r="THI76" s="70">
        <v>0</v>
      </c>
      <c r="THJ76" s="70">
        <v>0</v>
      </c>
      <c r="THK76" s="70">
        <v>0</v>
      </c>
      <c r="THL76" s="70">
        <v>0</v>
      </c>
      <c r="THM76" s="70">
        <v>0</v>
      </c>
      <c r="THN76" s="70">
        <v>0</v>
      </c>
      <c r="THO76" s="70">
        <v>0</v>
      </c>
      <c r="THP76" s="70">
        <v>0</v>
      </c>
      <c r="THQ76" s="70">
        <v>0</v>
      </c>
      <c r="THR76" s="70">
        <v>0</v>
      </c>
      <c r="THS76" s="70">
        <v>0</v>
      </c>
      <c r="THT76" s="70">
        <v>0</v>
      </c>
      <c r="THU76" s="70">
        <v>0</v>
      </c>
      <c r="THV76" s="70">
        <v>0</v>
      </c>
      <c r="THW76" s="70">
        <v>0</v>
      </c>
      <c r="THX76" s="70">
        <v>0</v>
      </c>
      <c r="THY76" s="70">
        <v>0</v>
      </c>
      <c r="THZ76" s="70">
        <v>0</v>
      </c>
      <c r="TIA76" s="70">
        <v>0</v>
      </c>
      <c r="TIB76" s="70">
        <v>0</v>
      </c>
      <c r="TIC76" s="70">
        <v>0</v>
      </c>
      <c r="TID76" s="70">
        <v>0</v>
      </c>
      <c r="TIE76" s="70">
        <v>0</v>
      </c>
      <c r="TIF76" s="70">
        <v>0</v>
      </c>
      <c r="TIG76" s="70">
        <v>0</v>
      </c>
      <c r="TIH76" s="70">
        <v>0</v>
      </c>
      <c r="TII76" s="70">
        <v>0</v>
      </c>
      <c r="TIJ76" s="70">
        <v>0</v>
      </c>
      <c r="TIK76" s="70">
        <v>0</v>
      </c>
      <c r="TIL76" s="70">
        <v>0</v>
      </c>
      <c r="TIM76" s="70">
        <v>0</v>
      </c>
      <c r="TIN76" s="70">
        <v>0</v>
      </c>
      <c r="TIO76" s="70">
        <v>0</v>
      </c>
      <c r="TIP76" s="70">
        <v>0</v>
      </c>
      <c r="TIQ76" s="70">
        <v>0</v>
      </c>
      <c r="TIR76" s="70">
        <v>0</v>
      </c>
      <c r="TIS76" s="70">
        <v>0</v>
      </c>
      <c r="TIT76" s="70">
        <v>0</v>
      </c>
      <c r="TIU76" s="70">
        <v>0</v>
      </c>
      <c r="TIV76" s="70">
        <v>0</v>
      </c>
      <c r="TIW76" s="70">
        <v>0</v>
      </c>
      <c r="TIX76" s="70">
        <v>0</v>
      </c>
      <c r="TIY76" s="70">
        <v>0</v>
      </c>
      <c r="TIZ76" s="70">
        <v>0</v>
      </c>
      <c r="TJA76" s="70">
        <v>0</v>
      </c>
      <c r="TJB76" s="70">
        <v>0</v>
      </c>
      <c r="TJC76" s="70">
        <v>0</v>
      </c>
      <c r="TJD76" s="70">
        <v>0</v>
      </c>
      <c r="TJE76" s="70">
        <v>0</v>
      </c>
      <c r="TJF76" s="70">
        <v>0</v>
      </c>
      <c r="TJG76" s="70">
        <v>0</v>
      </c>
      <c r="TJH76" s="70">
        <v>0</v>
      </c>
      <c r="TJI76" s="70">
        <v>0</v>
      </c>
      <c r="TJJ76" s="70">
        <v>0</v>
      </c>
      <c r="TJK76" s="70">
        <v>0</v>
      </c>
      <c r="TJL76" s="70">
        <v>0</v>
      </c>
      <c r="TJM76" s="70">
        <v>0</v>
      </c>
      <c r="TJN76" s="70">
        <v>0</v>
      </c>
      <c r="TJO76" s="70">
        <v>0</v>
      </c>
      <c r="TJP76" s="70">
        <v>0</v>
      </c>
      <c r="TJQ76" s="70">
        <v>0</v>
      </c>
      <c r="TJR76" s="70">
        <v>0</v>
      </c>
      <c r="TJS76" s="70">
        <v>0</v>
      </c>
      <c r="TJT76" s="70">
        <v>0</v>
      </c>
      <c r="TJU76" s="70">
        <v>0</v>
      </c>
      <c r="TJV76" s="70">
        <v>0</v>
      </c>
      <c r="TJW76" s="70">
        <v>0</v>
      </c>
      <c r="TJX76" s="70">
        <v>0</v>
      </c>
      <c r="TJY76" s="70">
        <v>0</v>
      </c>
      <c r="TJZ76" s="70">
        <v>0</v>
      </c>
      <c r="TKA76" s="70">
        <v>0</v>
      </c>
      <c r="TKB76" s="70">
        <v>0</v>
      </c>
      <c r="TKC76" s="70">
        <v>0</v>
      </c>
      <c r="TKD76" s="70">
        <v>0</v>
      </c>
      <c r="TKE76" s="70">
        <v>0</v>
      </c>
      <c r="TKF76" s="70">
        <v>0</v>
      </c>
      <c r="TKG76" s="70">
        <v>0</v>
      </c>
      <c r="TKH76" s="70">
        <v>0</v>
      </c>
      <c r="TKI76" s="70">
        <v>0</v>
      </c>
      <c r="TKJ76" s="70">
        <v>0</v>
      </c>
      <c r="TKK76" s="70">
        <v>0</v>
      </c>
      <c r="TKL76" s="70">
        <v>0</v>
      </c>
      <c r="TKM76" s="70">
        <v>0</v>
      </c>
      <c r="TKN76" s="70">
        <v>0</v>
      </c>
      <c r="TKO76" s="70">
        <v>0</v>
      </c>
      <c r="TKP76" s="70">
        <v>0</v>
      </c>
      <c r="TKQ76" s="70">
        <v>0</v>
      </c>
      <c r="TKR76" s="70">
        <v>0</v>
      </c>
      <c r="TKS76" s="70">
        <v>0</v>
      </c>
      <c r="TKT76" s="70">
        <v>0</v>
      </c>
      <c r="TKU76" s="70">
        <v>0</v>
      </c>
      <c r="TKV76" s="70">
        <v>0</v>
      </c>
      <c r="TKW76" s="70">
        <v>0</v>
      </c>
      <c r="TKX76" s="70">
        <v>0</v>
      </c>
      <c r="TKY76" s="70">
        <v>0</v>
      </c>
      <c r="TKZ76" s="70">
        <v>0</v>
      </c>
      <c r="TLA76" s="70">
        <v>0</v>
      </c>
      <c r="TLB76" s="70">
        <v>0</v>
      </c>
      <c r="TLC76" s="70">
        <v>0</v>
      </c>
      <c r="TLD76" s="70">
        <v>0</v>
      </c>
      <c r="TLE76" s="70">
        <v>0</v>
      </c>
      <c r="TLF76" s="70">
        <v>0</v>
      </c>
      <c r="TLG76" s="70">
        <v>0</v>
      </c>
      <c r="TLH76" s="70">
        <v>0</v>
      </c>
      <c r="TLI76" s="70">
        <v>0</v>
      </c>
      <c r="TLJ76" s="70">
        <v>0</v>
      </c>
      <c r="TLK76" s="70">
        <v>0</v>
      </c>
      <c r="TLL76" s="70">
        <v>0</v>
      </c>
      <c r="TLM76" s="70">
        <v>0</v>
      </c>
      <c r="TLN76" s="70">
        <v>0</v>
      </c>
      <c r="TLO76" s="70">
        <v>0</v>
      </c>
      <c r="TLP76" s="70">
        <v>0</v>
      </c>
      <c r="TLQ76" s="70">
        <v>0</v>
      </c>
      <c r="TLR76" s="70">
        <v>0</v>
      </c>
      <c r="TLS76" s="70">
        <v>0</v>
      </c>
      <c r="TLT76" s="70">
        <v>0</v>
      </c>
      <c r="TLU76" s="70">
        <v>0</v>
      </c>
      <c r="TLV76" s="70">
        <v>0</v>
      </c>
      <c r="TLW76" s="70">
        <v>0</v>
      </c>
      <c r="TLX76" s="70">
        <v>0</v>
      </c>
      <c r="TLY76" s="70">
        <v>0</v>
      </c>
      <c r="TLZ76" s="70">
        <v>0</v>
      </c>
      <c r="TMA76" s="70">
        <v>0</v>
      </c>
      <c r="TMB76" s="70">
        <v>0</v>
      </c>
      <c r="TMC76" s="70">
        <v>0</v>
      </c>
      <c r="TMD76" s="70">
        <v>0</v>
      </c>
      <c r="TME76" s="70">
        <v>0</v>
      </c>
      <c r="TMF76" s="70">
        <v>0</v>
      </c>
      <c r="TMG76" s="70">
        <v>0</v>
      </c>
      <c r="TMH76" s="70">
        <v>0</v>
      </c>
      <c r="TMI76" s="70">
        <v>0</v>
      </c>
      <c r="TMJ76" s="70">
        <v>0</v>
      </c>
      <c r="TMK76" s="70">
        <v>0</v>
      </c>
      <c r="TML76" s="70">
        <v>0</v>
      </c>
      <c r="TMM76" s="70">
        <v>0</v>
      </c>
      <c r="TMN76" s="70">
        <v>0</v>
      </c>
      <c r="TMO76" s="70">
        <v>0</v>
      </c>
      <c r="TMP76" s="70">
        <v>0</v>
      </c>
      <c r="TMQ76" s="70">
        <v>0</v>
      </c>
      <c r="TMR76" s="70">
        <v>0</v>
      </c>
      <c r="TMS76" s="70">
        <v>0</v>
      </c>
      <c r="TMT76" s="70">
        <v>0</v>
      </c>
      <c r="TMU76" s="70">
        <v>0</v>
      </c>
      <c r="TMV76" s="70">
        <v>0</v>
      </c>
      <c r="TMW76" s="70">
        <v>0</v>
      </c>
      <c r="TMX76" s="70">
        <v>0</v>
      </c>
      <c r="TMY76" s="70">
        <v>0</v>
      </c>
      <c r="TMZ76" s="70">
        <v>0</v>
      </c>
      <c r="TNA76" s="70">
        <v>0</v>
      </c>
      <c r="TNB76" s="70">
        <v>0</v>
      </c>
      <c r="TNC76" s="70">
        <v>0</v>
      </c>
      <c r="TND76" s="70">
        <v>0</v>
      </c>
      <c r="TNE76" s="70">
        <v>0</v>
      </c>
      <c r="TNF76" s="70">
        <v>0</v>
      </c>
      <c r="TNG76" s="70">
        <v>0</v>
      </c>
      <c r="TNH76" s="70">
        <v>0</v>
      </c>
      <c r="TNI76" s="70">
        <v>0</v>
      </c>
      <c r="TNJ76" s="70">
        <v>0</v>
      </c>
      <c r="TNK76" s="70">
        <v>0</v>
      </c>
      <c r="TNL76" s="70">
        <v>0</v>
      </c>
      <c r="TNM76" s="70">
        <v>0</v>
      </c>
      <c r="TNN76" s="70">
        <v>0</v>
      </c>
      <c r="TNO76" s="70">
        <v>0</v>
      </c>
      <c r="TNP76" s="70">
        <v>0</v>
      </c>
      <c r="TNQ76" s="70">
        <v>0</v>
      </c>
      <c r="TNR76" s="70">
        <v>0</v>
      </c>
      <c r="TNS76" s="70">
        <v>0</v>
      </c>
      <c r="TNT76" s="70">
        <v>0</v>
      </c>
      <c r="TNU76" s="70">
        <v>0</v>
      </c>
      <c r="TNV76" s="70">
        <v>0</v>
      </c>
      <c r="TNW76" s="70">
        <v>0</v>
      </c>
      <c r="TNX76" s="70">
        <v>0</v>
      </c>
      <c r="TNY76" s="70">
        <v>0</v>
      </c>
      <c r="TNZ76" s="70">
        <v>0</v>
      </c>
      <c r="TOA76" s="70">
        <v>0</v>
      </c>
      <c r="TOB76" s="70">
        <v>0</v>
      </c>
      <c r="TOC76" s="70">
        <v>0</v>
      </c>
      <c r="TOD76" s="70">
        <v>0</v>
      </c>
      <c r="TOE76" s="70">
        <v>0</v>
      </c>
      <c r="TOF76" s="70">
        <v>0</v>
      </c>
      <c r="TOG76" s="70">
        <v>0</v>
      </c>
      <c r="TOH76" s="70">
        <v>0</v>
      </c>
      <c r="TOI76" s="70">
        <v>0</v>
      </c>
      <c r="TOJ76" s="70">
        <v>0</v>
      </c>
      <c r="TOK76" s="70">
        <v>0</v>
      </c>
      <c r="TOL76" s="70">
        <v>0</v>
      </c>
      <c r="TOM76" s="70">
        <v>0</v>
      </c>
      <c r="TON76" s="70">
        <v>0</v>
      </c>
      <c r="TOO76" s="70">
        <v>0</v>
      </c>
      <c r="TOP76" s="70">
        <v>0</v>
      </c>
      <c r="TOQ76" s="70">
        <v>0</v>
      </c>
      <c r="TOR76" s="70">
        <v>0</v>
      </c>
      <c r="TOS76" s="70">
        <v>0</v>
      </c>
      <c r="TOT76" s="70">
        <v>0</v>
      </c>
      <c r="TOU76" s="70">
        <v>0</v>
      </c>
      <c r="TOV76" s="70">
        <v>0</v>
      </c>
      <c r="TOW76" s="70">
        <v>0</v>
      </c>
      <c r="TOX76" s="70">
        <v>0</v>
      </c>
      <c r="TOY76" s="70">
        <v>0</v>
      </c>
      <c r="TOZ76" s="70">
        <v>0</v>
      </c>
      <c r="TPA76" s="70">
        <v>0</v>
      </c>
      <c r="TPB76" s="70">
        <v>0</v>
      </c>
      <c r="TPC76" s="70">
        <v>0</v>
      </c>
      <c r="TPD76" s="70">
        <v>0</v>
      </c>
      <c r="TPE76" s="70">
        <v>0</v>
      </c>
      <c r="TPF76" s="70">
        <v>0</v>
      </c>
      <c r="TPG76" s="70">
        <v>0</v>
      </c>
      <c r="TPH76" s="70">
        <v>0</v>
      </c>
      <c r="TPI76" s="70">
        <v>0</v>
      </c>
      <c r="TPJ76" s="70">
        <v>0</v>
      </c>
      <c r="TPK76" s="70">
        <v>0</v>
      </c>
      <c r="TPL76" s="70">
        <v>0</v>
      </c>
      <c r="TPM76" s="70">
        <v>0</v>
      </c>
      <c r="TPN76" s="70">
        <v>0</v>
      </c>
      <c r="TPO76" s="70">
        <v>0</v>
      </c>
      <c r="TPP76" s="70">
        <v>0</v>
      </c>
      <c r="TPQ76" s="70">
        <v>0</v>
      </c>
      <c r="TPR76" s="70">
        <v>0</v>
      </c>
      <c r="TPS76" s="70">
        <v>0</v>
      </c>
      <c r="TPT76" s="70">
        <v>0</v>
      </c>
      <c r="TPU76" s="70">
        <v>0</v>
      </c>
      <c r="TPV76" s="70">
        <v>0</v>
      </c>
      <c r="TPW76" s="70">
        <v>0</v>
      </c>
      <c r="TPX76" s="70">
        <v>0</v>
      </c>
      <c r="TPY76" s="70">
        <v>0</v>
      </c>
      <c r="TPZ76" s="70">
        <v>0</v>
      </c>
      <c r="TQA76" s="70">
        <v>0</v>
      </c>
      <c r="TQB76" s="70">
        <v>0</v>
      </c>
      <c r="TQC76" s="70">
        <v>0</v>
      </c>
      <c r="TQD76" s="70">
        <v>0</v>
      </c>
      <c r="TQE76" s="70">
        <v>0</v>
      </c>
      <c r="TQF76" s="70">
        <v>0</v>
      </c>
      <c r="TQG76" s="70">
        <v>0</v>
      </c>
      <c r="TQH76" s="70">
        <v>0</v>
      </c>
      <c r="TQI76" s="70">
        <v>0</v>
      </c>
      <c r="TQJ76" s="70">
        <v>0</v>
      </c>
      <c r="TQK76" s="70">
        <v>0</v>
      </c>
      <c r="TQL76" s="70">
        <v>0</v>
      </c>
      <c r="TQM76" s="70">
        <v>0</v>
      </c>
      <c r="TQN76" s="70">
        <v>0</v>
      </c>
      <c r="TQO76" s="70">
        <v>0</v>
      </c>
      <c r="TQP76" s="70">
        <v>0</v>
      </c>
      <c r="TQQ76" s="70">
        <v>0</v>
      </c>
      <c r="TQR76" s="70">
        <v>0</v>
      </c>
      <c r="TQS76" s="70">
        <v>0</v>
      </c>
      <c r="TQT76" s="70">
        <v>0</v>
      </c>
      <c r="TQU76" s="70">
        <v>0</v>
      </c>
      <c r="TQV76" s="70">
        <v>0</v>
      </c>
      <c r="TQW76" s="70">
        <v>0</v>
      </c>
      <c r="TQX76" s="70">
        <v>0</v>
      </c>
      <c r="TQY76" s="70">
        <v>0</v>
      </c>
      <c r="TQZ76" s="70">
        <v>0</v>
      </c>
      <c r="TRA76" s="70">
        <v>0</v>
      </c>
      <c r="TRB76" s="70">
        <v>0</v>
      </c>
      <c r="TRC76" s="70">
        <v>0</v>
      </c>
      <c r="TRD76" s="70">
        <v>0</v>
      </c>
      <c r="TRE76" s="70">
        <v>0</v>
      </c>
      <c r="TRF76" s="70">
        <v>0</v>
      </c>
      <c r="TRG76" s="70">
        <v>0</v>
      </c>
      <c r="TRH76" s="70">
        <v>0</v>
      </c>
      <c r="TRI76" s="70">
        <v>0</v>
      </c>
      <c r="TRJ76" s="70">
        <v>0</v>
      </c>
      <c r="TRK76" s="70">
        <v>0</v>
      </c>
      <c r="TRL76" s="70">
        <v>0</v>
      </c>
      <c r="TRM76" s="70">
        <v>0</v>
      </c>
      <c r="TRN76" s="70">
        <v>0</v>
      </c>
      <c r="TRO76" s="70">
        <v>0</v>
      </c>
      <c r="TRP76" s="70">
        <v>0</v>
      </c>
      <c r="TRQ76" s="70">
        <v>0</v>
      </c>
      <c r="TRR76" s="70">
        <v>0</v>
      </c>
      <c r="TRS76" s="70">
        <v>0</v>
      </c>
      <c r="TRT76" s="70">
        <v>0</v>
      </c>
      <c r="TRU76" s="70">
        <v>0</v>
      </c>
      <c r="TRV76" s="70">
        <v>0</v>
      </c>
      <c r="TRW76" s="70">
        <v>0</v>
      </c>
      <c r="TRX76" s="70">
        <v>0</v>
      </c>
      <c r="TRY76" s="70">
        <v>0</v>
      </c>
      <c r="TRZ76" s="70">
        <v>0</v>
      </c>
      <c r="TSA76" s="70">
        <v>0</v>
      </c>
      <c r="TSB76" s="70">
        <v>0</v>
      </c>
      <c r="TSC76" s="70">
        <v>0</v>
      </c>
      <c r="TSD76" s="70">
        <v>0</v>
      </c>
      <c r="TSE76" s="70">
        <v>0</v>
      </c>
      <c r="TSF76" s="70">
        <v>0</v>
      </c>
      <c r="TSG76" s="70">
        <v>0</v>
      </c>
      <c r="TSH76" s="70">
        <v>0</v>
      </c>
      <c r="TSI76" s="70">
        <v>0</v>
      </c>
      <c r="TSJ76" s="70">
        <v>0</v>
      </c>
      <c r="TSK76" s="70">
        <v>0</v>
      </c>
      <c r="TSL76" s="70">
        <v>0</v>
      </c>
      <c r="TSM76" s="70">
        <v>0</v>
      </c>
      <c r="TSN76" s="70">
        <v>0</v>
      </c>
      <c r="TSO76" s="70">
        <v>0</v>
      </c>
      <c r="TSP76" s="70">
        <v>0</v>
      </c>
      <c r="TSQ76" s="70">
        <v>0</v>
      </c>
      <c r="TSR76" s="70">
        <v>0</v>
      </c>
      <c r="TSS76" s="70">
        <v>0</v>
      </c>
      <c r="TST76" s="70">
        <v>0</v>
      </c>
      <c r="TSU76" s="70">
        <v>0</v>
      </c>
      <c r="TSV76" s="70">
        <v>0</v>
      </c>
      <c r="TSW76" s="70">
        <v>0</v>
      </c>
      <c r="TSX76" s="70">
        <v>0</v>
      </c>
      <c r="TSY76" s="70">
        <v>0</v>
      </c>
      <c r="TSZ76" s="70">
        <v>0</v>
      </c>
      <c r="TTA76" s="70">
        <v>0</v>
      </c>
      <c r="TTB76" s="70">
        <v>0</v>
      </c>
      <c r="TTC76" s="70">
        <v>0</v>
      </c>
      <c r="TTD76" s="70">
        <v>0</v>
      </c>
      <c r="TTE76" s="70">
        <v>0</v>
      </c>
      <c r="TTF76" s="70">
        <v>0</v>
      </c>
      <c r="TTG76" s="70">
        <v>0</v>
      </c>
      <c r="TTH76" s="70">
        <v>0</v>
      </c>
      <c r="TTI76" s="70">
        <v>0</v>
      </c>
      <c r="TTJ76" s="70">
        <v>0</v>
      </c>
      <c r="TTK76" s="70">
        <v>0</v>
      </c>
      <c r="TTL76" s="70">
        <v>0</v>
      </c>
      <c r="TTM76" s="70">
        <v>0</v>
      </c>
      <c r="TTN76" s="70">
        <v>0</v>
      </c>
      <c r="TTO76" s="70">
        <v>0</v>
      </c>
      <c r="TTP76" s="70">
        <v>0</v>
      </c>
      <c r="TTQ76" s="70">
        <v>0</v>
      </c>
      <c r="TTR76" s="70">
        <v>0</v>
      </c>
      <c r="TTS76" s="70">
        <v>0</v>
      </c>
      <c r="TTT76" s="70">
        <v>0</v>
      </c>
      <c r="TTU76" s="70">
        <v>0</v>
      </c>
      <c r="TTV76" s="70">
        <v>0</v>
      </c>
      <c r="TTW76" s="70">
        <v>0</v>
      </c>
      <c r="TTX76" s="70">
        <v>0</v>
      </c>
      <c r="TTY76" s="70">
        <v>0</v>
      </c>
      <c r="TTZ76" s="70">
        <v>0</v>
      </c>
      <c r="TUA76" s="70">
        <v>0</v>
      </c>
      <c r="TUB76" s="70">
        <v>0</v>
      </c>
      <c r="TUC76" s="70">
        <v>0</v>
      </c>
      <c r="TUD76" s="70">
        <v>0</v>
      </c>
      <c r="TUE76" s="70">
        <v>0</v>
      </c>
      <c r="TUF76" s="70">
        <v>0</v>
      </c>
      <c r="TUG76" s="70">
        <v>0</v>
      </c>
      <c r="TUH76" s="70">
        <v>0</v>
      </c>
      <c r="TUI76" s="70">
        <v>0</v>
      </c>
      <c r="TUJ76" s="70">
        <v>0</v>
      </c>
      <c r="TUK76" s="70">
        <v>0</v>
      </c>
      <c r="TUL76" s="70">
        <v>0</v>
      </c>
      <c r="TUM76" s="70">
        <v>0</v>
      </c>
      <c r="TUN76" s="70">
        <v>0</v>
      </c>
      <c r="TUO76" s="70">
        <v>0</v>
      </c>
      <c r="TUP76" s="70">
        <v>0</v>
      </c>
      <c r="TUQ76" s="70">
        <v>0</v>
      </c>
      <c r="TUR76" s="70">
        <v>0</v>
      </c>
      <c r="TUS76" s="70">
        <v>0</v>
      </c>
      <c r="TUT76" s="70">
        <v>0</v>
      </c>
      <c r="TUU76" s="70">
        <v>0</v>
      </c>
      <c r="TUV76" s="70">
        <v>0</v>
      </c>
      <c r="TUW76" s="70">
        <v>0</v>
      </c>
      <c r="TUX76" s="70">
        <v>0</v>
      </c>
      <c r="TUY76" s="70">
        <v>0</v>
      </c>
      <c r="TUZ76" s="70">
        <v>0</v>
      </c>
      <c r="TVA76" s="70">
        <v>0</v>
      </c>
      <c r="TVB76" s="70">
        <v>0</v>
      </c>
      <c r="TVC76" s="70">
        <v>0</v>
      </c>
      <c r="TVD76" s="70">
        <v>0</v>
      </c>
      <c r="TVE76" s="70">
        <v>0</v>
      </c>
      <c r="TVF76" s="70">
        <v>0</v>
      </c>
      <c r="TVG76" s="70">
        <v>0</v>
      </c>
      <c r="TVH76" s="70">
        <v>0</v>
      </c>
      <c r="TVI76" s="70">
        <v>0</v>
      </c>
      <c r="TVJ76" s="70">
        <v>0</v>
      </c>
      <c r="TVK76" s="70">
        <v>0</v>
      </c>
      <c r="TVL76" s="70">
        <v>0</v>
      </c>
      <c r="TVM76" s="70">
        <v>0</v>
      </c>
      <c r="TVN76" s="70">
        <v>0</v>
      </c>
      <c r="TVO76" s="70">
        <v>0</v>
      </c>
      <c r="TVP76" s="70">
        <v>0</v>
      </c>
      <c r="TVQ76" s="70">
        <v>0</v>
      </c>
      <c r="TVR76" s="70">
        <v>0</v>
      </c>
      <c r="TVS76" s="70">
        <v>0</v>
      </c>
      <c r="TVT76" s="70">
        <v>0</v>
      </c>
      <c r="TVU76" s="70">
        <v>0</v>
      </c>
      <c r="TVV76" s="70">
        <v>0</v>
      </c>
      <c r="TVW76" s="70">
        <v>0</v>
      </c>
      <c r="TVX76" s="70">
        <v>0</v>
      </c>
      <c r="TVY76" s="70">
        <v>0</v>
      </c>
      <c r="TVZ76" s="70">
        <v>0</v>
      </c>
      <c r="TWA76" s="70">
        <v>0</v>
      </c>
      <c r="TWB76" s="70">
        <v>0</v>
      </c>
      <c r="TWC76" s="70">
        <v>0</v>
      </c>
      <c r="TWD76" s="70">
        <v>0</v>
      </c>
      <c r="TWE76" s="70">
        <v>0</v>
      </c>
      <c r="TWF76" s="70">
        <v>0</v>
      </c>
      <c r="TWG76" s="70">
        <v>0</v>
      </c>
      <c r="TWH76" s="70">
        <v>0</v>
      </c>
      <c r="TWI76" s="70">
        <v>0</v>
      </c>
      <c r="TWJ76" s="70">
        <v>0</v>
      </c>
      <c r="TWK76" s="70">
        <v>0</v>
      </c>
      <c r="TWL76" s="70">
        <v>0</v>
      </c>
      <c r="TWM76" s="70">
        <v>0</v>
      </c>
      <c r="TWN76" s="70">
        <v>0</v>
      </c>
      <c r="TWO76" s="70">
        <v>0</v>
      </c>
      <c r="TWP76" s="70">
        <v>0</v>
      </c>
      <c r="TWQ76" s="70">
        <v>0</v>
      </c>
      <c r="TWR76" s="70">
        <v>0</v>
      </c>
      <c r="TWS76" s="70">
        <v>0</v>
      </c>
      <c r="TWT76" s="70">
        <v>0</v>
      </c>
      <c r="TWU76" s="70">
        <v>0</v>
      </c>
      <c r="TWV76" s="70">
        <v>0</v>
      </c>
      <c r="TWW76" s="70">
        <v>0</v>
      </c>
      <c r="TWX76" s="70">
        <v>0</v>
      </c>
      <c r="TWY76" s="70">
        <v>0</v>
      </c>
      <c r="TWZ76" s="70">
        <v>0</v>
      </c>
      <c r="TXA76" s="70">
        <v>0</v>
      </c>
      <c r="TXB76" s="70">
        <v>0</v>
      </c>
      <c r="TXC76" s="70">
        <v>0</v>
      </c>
      <c r="TXD76" s="70">
        <v>0</v>
      </c>
      <c r="TXE76" s="70">
        <v>0</v>
      </c>
      <c r="TXF76" s="70">
        <v>0</v>
      </c>
      <c r="TXG76" s="70">
        <v>0</v>
      </c>
      <c r="TXH76" s="70">
        <v>0</v>
      </c>
      <c r="TXI76" s="70">
        <v>0</v>
      </c>
      <c r="TXJ76" s="70">
        <v>0</v>
      </c>
      <c r="TXK76" s="70">
        <v>0</v>
      </c>
      <c r="TXL76" s="70">
        <v>0</v>
      </c>
      <c r="TXM76" s="70">
        <v>0</v>
      </c>
      <c r="TXN76" s="70">
        <v>0</v>
      </c>
      <c r="TXO76" s="70">
        <v>0</v>
      </c>
      <c r="TXP76" s="70">
        <v>0</v>
      </c>
      <c r="TXQ76" s="70">
        <v>0</v>
      </c>
      <c r="TXR76" s="70">
        <v>0</v>
      </c>
      <c r="TXS76" s="70">
        <v>0</v>
      </c>
      <c r="TXT76" s="70">
        <v>0</v>
      </c>
      <c r="TXU76" s="70">
        <v>0</v>
      </c>
      <c r="TXV76" s="70">
        <v>0</v>
      </c>
      <c r="TXW76" s="70">
        <v>0</v>
      </c>
      <c r="TXX76" s="70">
        <v>0</v>
      </c>
      <c r="TXY76" s="70">
        <v>0</v>
      </c>
      <c r="TXZ76" s="70">
        <v>0</v>
      </c>
      <c r="TYA76" s="70">
        <v>0</v>
      </c>
      <c r="TYB76" s="70">
        <v>0</v>
      </c>
      <c r="TYC76" s="70">
        <v>0</v>
      </c>
      <c r="TYD76" s="70">
        <v>0</v>
      </c>
      <c r="TYE76" s="70">
        <v>0</v>
      </c>
      <c r="TYF76" s="70">
        <v>0</v>
      </c>
      <c r="TYG76" s="70">
        <v>0</v>
      </c>
      <c r="TYH76" s="70">
        <v>0</v>
      </c>
      <c r="TYI76" s="70">
        <v>0</v>
      </c>
      <c r="TYJ76" s="70">
        <v>0</v>
      </c>
      <c r="TYK76" s="70">
        <v>0</v>
      </c>
      <c r="TYL76" s="70">
        <v>0</v>
      </c>
      <c r="TYM76" s="70">
        <v>0</v>
      </c>
      <c r="TYN76" s="70">
        <v>0</v>
      </c>
      <c r="TYO76" s="70">
        <v>0</v>
      </c>
      <c r="TYP76" s="70">
        <v>0</v>
      </c>
      <c r="TYQ76" s="70">
        <v>0</v>
      </c>
      <c r="TYR76" s="70">
        <v>0</v>
      </c>
      <c r="TYS76" s="70">
        <v>0</v>
      </c>
      <c r="TYT76" s="70">
        <v>0</v>
      </c>
      <c r="TYU76" s="70">
        <v>0</v>
      </c>
      <c r="TYV76" s="70">
        <v>0</v>
      </c>
      <c r="TYW76" s="70">
        <v>0</v>
      </c>
      <c r="TYX76" s="70">
        <v>0</v>
      </c>
      <c r="TYY76" s="70">
        <v>0</v>
      </c>
      <c r="TYZ76" s="70">
        <v>0</v>
      </c>
      <c r="TZA76" s="70">
        <v>0</v>
      </c>
      <c r="TZB76" s="70">
        <v>0</v>
      </c>
      <c r="TZC76" s="70">
        <v>0</v>
      </c>
      <c r="TZD76" s="70">
        <v>0</v>
      </c>
      <c r="TZE76" s="70">
        <v>0</v>
      </c>
      <c r="TZF76" s="70">
        <v>0</v>
      </c>
      <c r="TZG76" s="70">
        <v>0</v>
      </c>
      <c r="TZH76" s="70">
        <v>0</v>
      </c>
      <c r="TZI76" s="70">
        <v>0</v>
      </c>
      <c r="TZJ76" s="70">
        <v>0</v>
      </c>
      <c r="TZK76" s="70">
        <v>0</v>
      </c>
      <c r="TZL76" s="70">
        <v>0</v>
      </c>
      <c r="TZM76" s="70">
        <v>0</v>
      </c>
      <c r="TZN76" s="70">
        <v>0</v>
      </c>
      <c r="TZO76" s="70">
        <v>0</v>
      </c>
      <c r="TZP76" s="70">
        <v>0</v>
      </c>
      <c r="TZQ76" s="70">
        <v>0</v>
      </c>
      <c r="TZR76" s="70">
        <v>0</v>
      </c>
      <c r="TZS76" s="70">
        <v>0</v>
      </c>
      <c r="TZT76" s="70">
        <v>0</v>
      </c>
      <c r="TZU76" s="70">
        <v>0</v>
      </c>
      <c r="TZV76" s="70">
        <v>0</v>
      </c>
      <c r="TZW76" s="70">
        <v>0</v>
      </c>
      <c r="TZX76" s="70">
        <v>0</v>
      </c>
      <c r="TZY76" s="70">
        <v>0</v>
      </c>
      <c r="TZZ76" s="70">
        <v>0</v>
      </c>
      <c r="UAA76" s="70">
        <v>0</v>
      </c>
      <c r="UAB76" s="70">
        <v>0</v>
      </c>
      <c r="UAC76" s="70">
        <v>0</v>
      </c>
      <c r="UAD76" s="70">
        <v>0</v>
      </c>
      <c r="UAE76" s="70">
        <v>0</v>
      </c>
      <c r="UAF76" s="70">
        <v>0</v>
      </c>
      <c r="UAG76" s="70">
        <v>0</v>
      </c>
      <c r="UAH76" s="70">
        <v>0</v>
      </c>
      <c r="UAI76" s="70">
        <v>0</v>
      </c>
      <c r="UAJ76" s="70">
        <v>0</v>
      </c>
      <c r="UAK76" s="70">
        <v>0</v>
      </c>
      <c r="UAL76" s="70">
        <v>0</v>
      </c>
      <c r="UAM76" s="70">
        <v>0</v>
      </c>
      <c r="UAN76" s="70">
        <v>0</v>
      </c>
      <c r="UAO76" s="70">
        <v>0</v>
      </c>
      <c r="UAP76" s="70">
        <v>0</v>
      </c>
      <c r="UAQ76" s="70">
        <v>0</v>
      </c>
      <c r="UAR76" s="70">
        <v>0</v>
      </c>
      <c r="UAS76" s="70">
        <v>0</v>
      </c>
      <c r="UAT76" s="70">
        <v>0</v>
      </c>
      <c r="UAU76" s="70">
        <v>0</v>
      </c>
      <c r="UAV76" s="70">
        <v>0</v>
      </c>
      <c r="UAW76" s="70">
        <v>0</v>
      </c>
      <c r="UAX76" s="70">
        <v>0</v>
      </c>
      <c r="UAY76" s="70">
        <v>0</v>
      </c>
      <c r="UAZ76" s="70">
        <v>0</v>
      </c>
      <c r="UBA76" s="70">
        <v>0</v>
      </c>
      <c r="UBB76" s="70">
        <v>0</v>
      </c>
      <c r="UBC76" s="70">
        <v>0</v>
      </c>
      <c r="UBD76" s="70">
        <v>0</v>
      </c>
      <c r="UBE76" s="70">
        <v>0</v>
      </c>
      <c r="UBF76" s="70">
        <v>0</v>
      </c>
      <c r="UBG76" s="70">
        <v>0</v>
      </c>
      <c r="UBH76" s="70">
        <v>0</v>
      </c>
      <c r="UBI76" s="70">
        <v>0</v>
      </c>
      <c r="UBJ76" s="70">
        <v>0</v>
      </c>
      <c r="UBK76" s="70">
        <v>0</v>
      </c>
      <c r="UBL76" s="70">
        <v>0</v>
      </c>
      <c r="UBM76" s="70">
        <v>0</v>
      </c>
      <c r="UBN76" s="70">
        <v>0</v>
      </c>
      <c r="UBO76" s="70">
        <v>0</v>
      </c>
      <c r="UBP76" s="70">
        <v>0</v>
      </c>
      <c r="UBQ76" s="70">
        <v>0</v>
      </c>
      <c r="UBR76" s="70">
        <v>0</v>
      </c>
      <c r="UBS76" s="70">
        <v>0</v>
      </c>
      <c r="UBT76" s="70">
        <v>0</v>
      </c>
      <c r="UBU76" s="70">
        <v>0</v>
      </c>
      <c r="UBV76" s="70">
        <v>0</v>
      </c>
      <c r="UBW76" s="70">
        <v>0</v>
      </c>
      <c r="UBX76" s="70">
        <v>0</v>
      </c>
      <c r="UBY76" s="70">
        <v>0</v>
      </c>
      <c r="UBZ76" s="70">
        <v>0</v>
      </c>
      <c r="UCA76" s="70">
        <v>0</v>
      </c>
      <c r="UCB76" s="70">
        <v>0</v>
      </c>
      <c r="UCC76" s="70">
        <v>0</v>
      </c>
      <c r="UCD76" s="70">
        <v>0</v>
      </c>
      <c r="UCE76" s="70">
        <v>0</v>
      </c>
      <c r="UCF76" s="70">
        <v>0</v>
      </c>
      <c r="UCG76" s="70">
        <v>0</v>
      </c>
      <c r="UCH76" s="70">
        <v>0</v>
      </c>
      <c r="UCI76" s="70">
        <v>0</v>
      </c>
      <c r="UCJ76" s="70">
        <v>0</v>
      </c>
      <c r="UCK76" s="70">
        <v>0</v>
      </c>
      <c r="UCL76" s="70">
        <v>0</v>
      </c>
      <c r="UCM76" s="70">
        <v>0</v>
      </c>
      <c r="UCN76" s="70">
        <v>0</v>
      </c>
      <c r="UCO76" s="70">
        <v>0</v>
      </c>
      <c r="UCP76" s="70">
        <v>0</v>
      </c>
      <c r="UCQ76" s="70">
        <v>0</v>
      </c>
      <c r="UCR76" s="70">
        <v>0</v>
      </c>
      <c r="UCS76" s="70">
        <v>0</v>
      </c>
      <c r="UCT76" s="70">
        <v>0</v>
      </c>
      <c r="UCU76" s="70">
        <v>0</v>
      </c>
      <c r="UCV76" s="70">
        <v>0</v>
      </c>
      <c r="UCW76" s="70">
        <v>0</v>
      </c>
      <c r="UCX76" s="70">
        <v>0</v>
      </c>
      <c r="UCY76" s="70">
        <v>0</v>
      </c>
      <c r="UCZ76" s="70">
        <v>0</v>
      </c>
      <c r="UDA76" s="70">
        <v>0</v>
      </c>
      <c r="UDB76" s="70">
        <v>0</v>
      </c>
      <c r="UDC76" s="70">
        <v>0</v>
      </c>
      <c r="UDD76" s="70">
        <v>0</v>
      </c>
      <c r="UDE76" s="70">
        <v>0</v>
      </c>
      <c r="UDF76" s="70">
        <v>0</v>
      </c>
      <c r="UDG76" s="70">
        <v>0</v>
      </c>
      <c r="UDH76" s="70">
        <v>0</v>
      </c>
      <c r="UDI76" s="70">
        <v>0</v>
      </c>
      <c r="UDJ76" s="70">
        <v>0</v>
      </c>
      <c r="UDK76" s="70">
        <v>0</v>
      </c>
      <c r="UDL76" s="70">
        <v>0</v>
      </c>
      <c r="UDM76" s="70">
        <v>0</v>
      </c>
      <c r="UDN76" s="70">
        <v>0</v>
      </c>
      <c r="UDO76" s="70">
        <v>0</v>
      </c>
      <c r="UDP76" s="70">
        <v>0</v>
      </c>
      <c r="UDQ76" s="70">
        <v>0</v>
      </c>
      <c r="UDR76" s="70">
        <v>0</v>
      </c>
      <c r="UDS76" s="70">
        <v>0</v>
      </c>
      <c r="UDT76" s="70">
        <v>0</v>
      </c>
      <c r="UDU76" s="70">
        <v>0</v>
      </c>
      <c r="UDV76" s="70">
        <v>0</v>
      </c>
      <c r="UDW76" s="70">
        <v>0</v>
      </c>
      <c r="UDX76" s="70">
        <v>0</v>
      </c>
      <c r="UDY76" s="70">
        <v>0</v>
      </c>
      <c r="UDZ76" s="70">
        <v>0</v>
      </c>
      <c r="UEA76" s="70">
        <v>0</v>
      </c>
      <c r="UEB76" s="70">
        <v>0</v>
      </c>
      <c r="UEC76" s="70">
        <v>0</v>
      </c>
      <c r="UED76" s="70">
        <v>0</v>
      </c>
      <c r="UEE76" s="70">
        <v>0</v>
      </c>
      <c r="UEF76" s="70">
        <v>0</v>
      </c>
      <c r="UEG76" s="70">
        <v>0</v>
      </c>
      <c r="UEH76" s="70">
        <v>0</v>
      </c>
      <c r="UEI76" s="70">
        <v>0</v>
      </c>
      <c r="UEJ76" s="70">
        <v>0</v>
      </c>
      <c r="UEK76" s="70">
        <v>0</v>
      </c>
      <c r="UEL76" s="70">
        <v>0</v>
      </c>
      <c r="UEM76" s="70">
        <v>0</v>
      </c>
      <c r="UEN76" s="70">
        <v>0</v>
      </c>
      <c r="UEO76" s="70">
        <v>0</v>
      </c>
      <c r="UEP76" s="70">
        <v>0</v>
      </c>
      <c r="UEQ76" s="70">
        <v>0</v>
      </c>
      <c r="UER76" s="70">
        <v>0</v>
      </c>
      <c r="UES76" s="70">
        <v>0</v>
      </c>
      <c r="UET76" s="70">
        <v>0</v>
      </c>
      <c r="UEU76" s="70">
        <v>0</v>
      </c>
      <c r="UEV76" s="70">
        <v>0</v>
      </c>
      <c r="UEW76" s="70">
        <v>0</v>
      </c>
      <c r="UEX76" s="70">
        <v>0</v>
      </c>
      <c r="UEY76" s="70">
        <v>0</v>
      </c>
      <c r="UEZ76" s="70">
        <v>0</v>
      </c>
      <c r="UFA76" s="70">
        <v>0</v>
      </c>
      <c r="UFB76" s="70">
        <v>0</v>
      </c>
      <c r="UFC76" s="70">
        <v>0</v>
      </c>
      <c r="UFD76" s="70">
        <v>0</v>
      </c>
      <c r="UFE76" s="70">
        <v>0</v>
      </c>
      <c r="UFF76" s="70">
        <v>0</v>
      </c>
      <c r="UFG76" s="70">
        <v>0</v>
      </c>
      <c r="UFH76" s="70">
        <v>0</v>
      </c>
      <c r="UFI76" s="70">
        <v>0</v>
      </c>
      <c r="UFJ76" s="70">
        <v>0</v>
      </c>
      <c r="UFK76" s="70">
        <v>0</v>
      </c>
      <c r="UFL76" s="70">
        <v>0</v>
      </c>
      <c r="UFM76" s="70">
        <v>0</v>
      </c>
      <c r="UFN76" s="70">
        <v>0</v>
      </c>
      <c r="UFO76" s="70">
        <v>0</v>
      </c>
      <c r="UFP76" s="70">
        <v>0</v>
      </c>
      <c r="UFQ76" s="70">
        <v>0</v>
      </c>
      <c r="UFR76" s="70">
        <v>0</v>
      </c>
      <c r="UFS76" s="70">
        <v>0</v>
      </c>
      <c r="UFT76" s="70">
        <v>0</v>
      </c>
      <c r="UFU76" s="70">
        <v>0</v>
      </c>
      <c r="UFV76" s="70">
        <v>0</v>
      </c>
      <c r="UFW76" s="70">
        <v>0</v>
      </c>
      <c r="UFX76" s="70">
        <v>0</v>
      </c>
      <c r="UFY76" s="70">
        <v>0</v>
      </c>
      <c r="UFZ76" s="70">
        <v>0</v>
      </c>
      <c r="UGA76" s="70">
        <v>0</v>
      </c>
      <c r="UGB76" s="70">
        <v>0</v>
      </c>
      <c r="UGC76" s="70">
        <v>0</v>
      </c>
      <c r="UGD76" s="70">
        <v>0</v>
      </c>
      <c r="UGE76" s="70">
        <v>0</v>
      </c>
      <c r="UGF76" s="70">
        <v>0</v>
      </c>
      <c r="UGG76" s="70">
        <v>0</v>
      </c>
      <c r="UGH76" s="70">
        <v>0</v>
      </c>
      <c r="UGI76" s="70">
        <v>0</v>
      </c>
      <c r="UGJ76" s="70">
        <v>0</v>
      </c>
      <c r="UGK76" s="70">
        <v>0</v>
      </c>
      <c r="UGL76" s="70">
        <v>0</v>
      </c>
      <c r="UGM76" s="70">
        <v>0</v>
      </c>
      <c r="UGN76" s="70">
        <v>0</v>
      </c>
      <c r="UGO76" s="70">
        <v>0</v>
      </c>
      <c r="UGP76" s="70">
        <v>0</v>
      </c>
      <c r="UGQ76" s="70">
        <v>0</v>
      </c>
      <c r="UGR76" s="70">
        <v>0</v>
      </c>
      <c r="UGS76" s="70">
        <v>0</v>
      </c>
      <c r="UGT76" s="70">
        <v>0</v>
      </c>
      <c r="UGU76" s="70">
        <v>0</v>
      </c>
      <c r="UGV76" s="70">
        <v>0</v>
      </c>
      <c r="UGW76" s="70">
        <v>0</v>
      </c>
      <c r="UGX76" s="70">
        <v>0</v>
      </c>
      <c r="UGY76" s="70">
        <v>0</v>
      </c>
      <c r="UGZ76" s="70">
        <v>0</v>
      </c>
      <c r="UHA76" s="70">
        <v>0</v>
      </c>
      <c r="UHB76" s="70">
        <v>0</v>
      </c>
      <c r="UHC76" s="70">
        <v>0</v>
      </c>
      <c r="UHD76" s="70">
        <v>0</v>
      </c>
      <c r="UHE76" s="70">
        <v>0</v>
      </c>
      <c r="UHF76" s="70">
        <v>0</v>
      </c>
      <c r="UHG76" s="70">
        <v>0</v>
      </c>
      <c r="UHH76" s="70">
        <v>0</v>
      </c>
      <c r="UHI76" s="70">
        <v>0</v>
      </c>
      <c r="UHJ76" s="70">
        <v>0</v>
      </c>
      <c r="UHK76" s="70">
        <v>0</v>
      </c>
      <c r="UHL76" s="70">
        <v>0</v>
      </c>
      <c r="UHM76" s="70">
        <v>0</v>
      </c>
      <c r="UHN76" s="70">
        <v>0</v>
      </c>
      <c r="UHO76" s="70">
        <v>0</v>
      </c>
      <c r="UHP76" s="70">
        <v>0</v>
      </c>
      <c r="UHQ76" s="70">
        <v>0</v>
      </c>
      <c r="UHR76" s="70">
        <v>0</v>
      </c>
      <c r="UHS76" s="70">
        <v>0</v>
      </c>
      <c r="UHT76" s="70">
        <v>0</v>
      </c>
      <c r="UHU76" s="70">
        <v>0</v>
      </c>
      <c r="UHV76" s="70">
        <v>0</v>
      </c>
      <c r="UHW76" s="70">
        <v>0</v>
      </c>
      <c r="UHX76" s="70">
        <v>0</v>
      </c>
      <c r="UHY76" s="70">
        <v>0</v>
      </c>
      <c r="UHZ76" s="70">
        <v>0</v>
      </c>
      <c r="UIA76" s="70">
        <v>0</v>
      </c>
      <c r="UIB76" s="70">
        <v>0</v>
      </c>
      <c r="UIC76" s="70">
        <v>0</v>
      </c>
      <c r="UID76" s="70">
        <v>0</v>
      </c>
      <c r="UIE76" s="70">
        <v>0</v>
      </c>
      <c r="UIF76" s="70">
        <v>0</v>
      </c>
      <c r="UIG76" s="70">
        <v>0</v>
      </c>
      <c r="UIH76" s="70">
        <v>0</v>
      </c>
      <c r="UII76" s="70">
        <v>0</v>
      </c>
      <c r="UIJ76" s="70">
        <v>0</v>
      </c>
      <c r="UIK76" s="70">
        <v>0</v>
      </c>
      <c r="UIL76" s="70">
        <v>0</v>
      </c>
      <c r="UIM76" s="70">
        <v>0</v>
      </c>
      <c r="UIN76" s="70">
        <v>0</v>
      </c>
      <c r="UIO76" s="70">
        <v>0</v>
      </c>
      <c r="UIP76" s="70">
        <v>0</v>
      </c>
      <c r="UIQ76" s="70">
        <v>0</v>
      </c>
      <c r="UIR76" s="70">
        <v>0</v>
      </c>
      <c r="UIS76" s="70">
        <v>0</v>
      </c>
      <c r="UIT76" s="70">
        <v>0</v>
      </c>
      <c r="UIU76" s="70">
        <v>0</v>
      </c>
      <c r="UIV76" s="70">
        <v>0</v>
      </c>
      <c r="UIW76" s="70">
        <v>0</v>
      </c>
      <c r="UIX76" s="70">
        <v>0</v>
      </c>
      <c r="UIY76" s="70">
        <v>0</v>
      </c>
      <c r="UIZ76" s="70">
        <v>0</v>
      </c>
      <c r="UJA76" s="70">
        <v>0</v>
      </c>
      <c r="UJB76" s="70">
        <v>0</v>
      </c>
      <c r="UJC76" s="70">
        <v>0</v>
      </c>
      <c r="UJD76" s="70">
        <v>0</v>
      </c>
      <c r="UJE76" s="70">
        <v>0</v>
      </c>
      <c r="UJF76" s="70">
        <v>0</v>
      </c>
      <c r="UJG76" s="70">
        <v>0</v>
      </c>
      <c r="UJH76" s="70">
        <v>0</v>
      </c>
      <c r="UJI76" s="70">
        <v>0</v>
      </c>
      <c r="UJJ76" s="70">
        <v>0</v>
      </c>
      <c r="UJK76" s="70">
        <v>0</v>
      </c>
      <c r="UJL76" s="70">
        <v>0</v>
      </c>
      <c r="UJM76" s="70">
        <v>0</v>
      </c>
      <c r="UJN76" s="70">
        <v>0</v>
      </c>
      <c r="UJO76" s="70">
        <v>0</v>
      </c>
      <c r="UJP76" s="70">
        <v>0</v>
      </c>
      <c r="UJQ76" s="70">
        <v>0</v>
      </c>
      <c r="UJR76" s="70">
        <v>0</v>
      </c>
      <c r="UJS76" s="70">
        <v>0</v>
      </c>
      <c r="UJT76" s="70">
        <v>0</v>
      </c>
      <c r="UJU76" s="70">
        <v>0</v>
      </c>
      <c r="UJV76" s="70">
        <v>0</v>
      </c>
      <c r="UJW76" s="70">
        <v>0</v>
      </c>
      <c r="UJX76" s="70">
        <v>0</v>
      </c>
      <c r="UJY76" s="70">
        <v>0</v>
      </c>
      <c r="UJZ76" s="70">
        <v>0</v>
      </c>
      <c r="UKA76" s="70">
        <v>0</v>
      </c>
      <c r="UKB76" s="70">
        <v>0</v>
      </c>
      <c r="UKC76" s="70">
        <v>0</v>
      </c>
      <c r="UKD76" s="70">
        <v>0</v>
      </c>
      <c r="UKE76" s="70">
        <v>0</v>
      </c>
      <c r="UKF76" s="70">
        <v>0</v>
      </c>
      <c r="UKG76" s="70">
        <v>0</v>
      </c>
      <c r="UKH76" s="70">
        <v>0</v>
      </c>
      <c r="UKI76" s="70">
        <v>0</v>
      </c>
      <c r="UKJ76" s="70">
        <v>0</v>
      </c>
      <c r="UKK76" s="70">
        <v>0</v>
      </c>
      <c r="UKL76" s="70">
        <v>0</v>
      </c>
      <c r="UKM76" s="70">
        <v>0</v>
      </c>
      <c r="UKN76" s="70">
        <v>0</v>
      </c>
      <c r="UKO76" s="70">
        <v>0</v>
      </c>
      <c r="UKP76" s="70">
        <v>0</v>
      </c>
      <c r="UKQ76" s="70">
        <v>0</v>
      </c>
      <c r="UKR76" s="70">
        <v>0</v>
      </c>
      <c r="UKS76" s="70">
        <v>0</v>
      </c>
      <c r="UKT76" s="70">
        <v>0</v>
      </c>
      <c r="UKU76" s="70">
        <v>0</v>
      </c>
      <c r="UKV76" s="70">
        <v>0</v>
      </c>
      <c r="UKW76" s="70">
        <v>0</v>
      </c>
      <c r="UKX76" s="70">
        <v>0</v>
      </c>
      <c r="UKY76" s="70">
        <v>0</v>
      </c>
      <c r="UKZ76" s="70">
        <v>0</v>
      </c>
      <c r="ULA76" s="70">
        <v>0</v>
      </c>
      <c r="ULB76" s="70">
        <v>0</v>
      </c>
      <c r="ULC76" s="70">
        <v>0</v>
      </c>
      <c r="ULD76" s="70">
        <v>0</v>
      </c>
      <c r="ULE76" s="70">
        <v>0</v>
      </c>
      <c r="ULF76" s="70">
        <v>0</v>
      </c>
      <c r="ULG76" s="70">
        <v>0</v>
      </c>
      <c r="ULH76" s="70">
        <v>0</v>
      </c>
      <c r="ULI76" s="70">
        <v>0</v>
      </c>
      <c r="ULJ76" s="70">
        <v>0</v>
      </c>
      <c r="ULK76" s="70">
        <v>0</v>
      </c>
      <c r="ULL76" s="70">
        <v>0</v>
      </c>
      <c r="ULM76" s="70">
        <v>0</v>
      </c>
      <c r="ULN76" s="70">
        <v>0</v>
      </c>
      <c r="ULO76" s="70">
        <v>0</v>
      </c>
      <c r="ULP76" s="70">
        <v>0</v>
      </c>
      <c r="ULQ76" s="70">
        <v>0</v>
      </c>
      <c r="ULR76" s="70">
        <v>0</v>
      </c>
      <c r="ULS76" s="70">
        <v>0</v>
      </c>
      <c r="ULT76" s="70">
        <v>0</v>
      </c>
      <c r="ULU76" s="70">
        <v>0</v>
      </c>
      <c r="ULV76" s="70">
        <v>0</v>
      </c>
      <c r="ULW76" s="70">
        <v>0</v>
      </c>
      <c r="ULX76" s="70">
        <v>0</v>
      </c>
      <c r="ULY76" s="70">
        <v>0</v>
      </c>
      <c r="ULZ76" s="70">
        <v>0</v>
      </c>
      <c r="UMA76" s="70">
        <v>0</v>
      </c>
      <c r="UMB76" s="70">
        <v>0</v>
      </c>
      <c r="UMC76" s="70">
        <v>0</v>
      </c>
      <c r="UMD76" s="70">
        <v>0</v>
      </c>
      <c r="UME76" s="70">
        <v>0</v>
      </c>
      <c r="UMF76" s="70">
        <v>0</v>
      </c>
      <c r="UMG76" s="70">
        <v>0</v>
      </c>
      <c r="UMH76" s="70">
        <v>0</v>
      </c>
      <c r="UMI76" s="70">
        <v>0</v>
      </c>
      <c r="UMJ76" s="70">
        <v>0</v>
      </c>
      <c r="UMK76" s="70">
        <v>0</v>
      </c>
      <c r="UML76" s="70">
        <v>0</v>
      </c>
      <c r="UMM76" s="70">
        <v>0</v>
      </c>
      <c r="UMN76" s="70">
        <v>0</v>
      </c>
      <c r="UMO76" s="70">
        <v>0</v>
      </c>
      <c r="UMP76" s="70">
        <v>0</v>
      </c>
      <c r="UMQ76" s="70">
        <v>0</v>
      </c>
      <c r="UMR76" s="70">
        <v>0</v>
      </c>
      <c r="UMS76" s="70">
        <v>0</v>
      </c>
      <c r="UMT76" s="70">
        <v>0</v>
      </c>
      <c r="UMU76" s="70">
        <v>0</v>
      </c>
      <c r="UMV76" s="70">
        <v>0</v>
      </c>
      <c r="UMW76" s="70">
        <v>0</v>
      </c>
      <c r="UMX76" s="70">
        <v>0</v>
      </c>
      <c r="UMY76" s="70">
        <v>0</v>
      </c>
      <c r="UMZ76" s="70">
        <v>0</v>
      </c>
      <c r="UNA76" s="70">
        <v>0</v>
      </c>
      <c r="UNB76" s="70">
        <v>0</v>
      </c>
      <c r="UNC76" s="70">
        <v>0</v>
      </c>
      <c r="UND76" s="70">
        <v>0</v>
      </c>
      <c r="UNE76" s="70">
        <v>0</v>
      </c>
      <c r="UNF76" s="70">
        <v>0</v>
      </c>
      <c r="UNG76" s="70">
        <v>0</v>
      </c>
      <c r="UNH76" s="70">
        <v>0</v>
      </c>
      <c r="UNI76" s="70">
        <v>0</v>
      </c>
      <c r="UNJ76" s="70">
        <v>0</v>
      </c>
      <c r="UNK76" s="70">
        <v>0</v>
      </c>
      <c r="UNL76" s="70">
        <v>0</v>
      </c>
      <c r="UNM76" s="70">
        <v>0</v>
      </c>
      <c r="UNN76" s="70">
        <v>0</v>
      </c>
      <c r="UNO76" s="70">
        <v>0</v>
      </c>
      <c r="UNP76" s="70">
        <v>0</v>
      </c>
      <c r="UNQ76" s="70">
        <v>0</v>
      </c>
      <c r="UNR76" s="70">
        <v>0</v>
      </c>
      <c r="UNS76" s="70">
        <v>0</v>
      </c>
      <c r="UNT76" s="70">
        <v>0</v>
      </c>
      <c r="UNU76" s="70">
        <v>0</v>
      </c>
      <c r="UNV76" s="70">
        <v>0</v>
      </c>
      <c r="UNW76" s="70">
        <v>0</v>
      </c>
      <c r="UNX76" s="70">
        <v>0</v>
      </c>
      <c r="UNY76" s="70">
        <v>0</v>
      </c>
      <c r="UNZ76" s="70">
        <v>0</v>
      </c>
      <c r="UOA76" s="70">
        <v>0</v>
      </c>
      <c r="UOB76" s="70">
        <v>0</v>
      </c>
      <c r="UOC76" s="70">
        <v>0</v>
      </c>
      <c r="UOD76" s="70">
        <v>0</v>
      </c>
      <c r="UOE76" s="70">
        <v>0</v>
      </c>
      <c r="UOF76" s="70">
        <v>0</v>
      </c>
      <c r="UOG76" s="70">
        <v>0</v>
      </c>
      <c r="UOH76" s="70">
        <v>0</v>
      </c>
      <c r="UOI76" s="70">
        <v>0</v>
      </c>
      <c r="UOJ76" s="70">
        <v>0</v>
      </c>
      <c r="UOK76" s="70">
        <v>0</v>
      </c>
      <c r="UOL76" s="70">
        <v>0</v>
      </c>
      <c r="UOM76" s="70">
        <v>0</v>
      </c>
      <c r="UON76" s="70">
        <v>0</v>
      </c>
      <c r="UOO76" s="70">
        <v>0</v>
      </c>
      <c r="UOP76" s="70">
        <v>0</v>
      </c>
      <c r="UOQ76" s="70">
        <v>0</v>
      </c>
      <c r="UOR76" s="70">
        <v>0</v>
      </c>
      <c r="UOS76" s="70">
        <v>0</v>
      </c>
      <c r="UOT76" s="70">
        <v>0</v>
      </c>
      <c r="UOU76" s="70">
        <v>0</v>
      </c>
      <c r="UOV76" s="70">
        <v>0</v>
      </c>
      <c r="UOW76" s="70">
        <v>0</v>
      </c>
      <c r="UOX76" s="70">
        <v>0</v>
      </c>
      <c r="UOY76" s="70">
        <v>0</v>
      </c>
      <c r="UOZ76" s="70">
        <v>0</v>
      </c>
      <c r="UPA76" s="70">
        <v>0</v>
      </c>
      <c r="UPB76" s="70">
        <v>0</v>
      </c>
      <c r="UPC76" s="70">
        <v>0</v>
      </c>
      <c r="UPD76" s="70">
        <v>0</v>
      </c>
      <c r="UPE76" s="70">
        <v>0</v>
      </c>
      <c r="UPF76" s="70">
        <v>0</v>
      </c>
      <c r="UPG76" s="70">
        <v>0</v>
      </c>
      <c r="UPH76" s="70">
        <v>0</v>
      </c>
      <c r="UPI76" s="70">
        <v>0</v>
      </c>
      <c r="UPJ76" s="70">
        <v>0</v>
      </c>
      <c r="UPK76" s="70">
        <v>0</v>
      </c>
      <c r="UPL76" s="70">
        <v>0</v>
      </c>
      <c r="UPM76" s="70">
        <v>0</v>
      </c>
      <c r="UPN76" s="70">
        <v>0</v>
      </c>
      <c r="UPO76" s="70">
        <v>0</v>
      </c>
      <c r="UPP76" s="70">
        <v>0</v>
      </c>
      <c r="UPQ76" s="70">
        <v>0</v>
      </c>
      <c r="UPR76" s="70">
        <v>0</v>
      </c>
      <c r="UPS76" s="70">
        <v>0</v>
      </c>
      <c r="UPT76" s="70">
        <v>0</v>
      </c>
      <c r="UPU76" s="70">
        <v>0</v>
      </c>
      <c r="UPV76" s="70">
        <v>0</v>
      </c>
      <c r="UPW76" s="70">
        <v>0</v>
      </c>
      <c r="UPX76" s="70">
        <v>0</v>
      </c>
      <c r="UPY76" s="70">
        <v>0</v>
      </c>
      <c r="UPZ76" s="70">
        <v>0</v>
      </c>
      <c r="UQA76" s="70">
        <v>0</v>
      </c>
      <c r="UQB76" s="70">
        <v>0</v>
      </c>
      <c r="UQC76" s="70">
        <v>0</v>
      </c>
      <c r="UQD76" s="70">
        <v>0</v>
      </c>
      <c r="UQE76" s="70">
        <v>0</v>
      </c>
      <c r="UQF76" s="70">
        <v>0</v>
      </c>
      <c r="UQG76" s="70">
        <v>0</v>
      </c>
      <c r="UQH76" s="70">
        <v>0</v>
      </c>
      <c r="UQI76" s="70">
        <v>0</v>
      </c>
      <c r="UQJ76" s="70">
        <v>0</v>
      </c>
      <c r="UQK76" s="70">
        <v>0</v>
      </c>
      <c r="UQL76" s="70">
        <v>0</v>
      </c>
      <c r="UQM76" s="70">
        <v>0</v>
      </c>
      <c r="UQN76" s="70">
        <v>0</v>
      </c>
      <c r="UQO76" s="70">
        <v>0</v>
      </c>
      <c r="UQP76" s="70">
        <v>0</v>
      </c>
      <c r="UQQ76" s="70">
        <v>0</v>
      </c>
      <c r="UQR76" s="70">
        <v>0</v>
      </c>
      <c r="UQS76" s="70">
        <v>0</v>
      </c>
      <c r="UQT76" s="70">
        <v>0</v>
      </c>
      <c r="UQU76" s="70">
        <v>0</v>
      </c>
      <c r="UQV76" s="70">
        <v>0</v>
      </c>
      <c r="UQW76" s="70">
        <v>0</v>
      </c>
      <c r="UQX76" s="70">
        <v>0</v>
      </c>
      <c r="UQY76" s="70">
        <v>0</v>
      </c>
      <c r="UQZ76" s="70">
        <v>0</v>
      </c>
      <c r="URA76" s="70">
        <v>0</v>
      </c>
      <c r="URB76" s="70">
        <v>0</v>
      </c>
      <c r="URC76" s="70">
        <v>0</v>
      </c>
      <c r="URD76" s="70">
        <v>0</v>
      </c>
      <c r="URE76" s="70">
        <v>0</v>
      </c>
      <c r="URF76" s="70">
        <v>0</v>
      </c>
      <c r="URG76" s="70">
        <v>0</v>
      </c>
      <c r="URH76" s="70">
        <v>0</v>
      </c>
      <c r="URI76" s="70">
        <v>0</v>
      </c>
      <c r="URJ76" s="70">
        <v>0</v>
      </c>
      <c r="URK76" s="70">
        <v>0</v>
      </c>
      <c r="URL76" s="70">
        <v>0</v>
      </c>
      <c r="URM76" s="70">
        <v>0</v>
      </c>
      <c r="URN76" s="70">
        <v>0</v>
      </c>
      <c r="URO76" s="70">
        <v>0</v>
      </c>
      <c r="URP76" s="70">
        <v>0</v>
      </c>
      <c r="URQ76" s="70">
        <v>0</v>
      </c>
      <c r="URR76" s="70">
        <v>0</v>
      </c>
      <c r="URS76" s="70">
        <v>0</v>
      </c>
      <c r="URT76" s="70">
        <v>0</v>
      </c>
      <c r="URU76" s="70">
        <v>0</v>
      </c>
      <c r="URV76" s="70">
        <v>0</v>
      </c>
      <c r="URW76" s="70">
        <v>0</v>
      </c>
      <c r="URX76" s="70">
        <v>0</v>
      </c>
      <c r="URY76" s="70">
        <v>0</v>
      </c>
      <c r="URZ76" s="70">
        <v>0</v>
      </c>
      <c r="USA76" s="70">
        <v>0</v>
      </c>
      <c r="USB76" s="70">
        <v>0</v>
      </c>
      <c r="USC76" s="70">
        <v>0</v>
      </c>
      <c r="USD76" s="70">
        <v>0</v>
      </c>
      <c r="USE76" s="70">
        <v>0</v>
      </c>
      <c r="USF76" s="70">
        <v>0</v>
      </c>
      <c r="USG76" s="70">
        <v>0</v>
      </c>
      <c r="USH76" s="70">
        <v>0</v>
      </c>
      <c r="USI76" s="70">
        <v>0</v>
      </c>
      <c r="USJ76" s="70">
        <v>0</v>
      </c>
      <c r="USK76" s="70">
        <v>0</v>
      </c>
      <c r="USL76" s="70">
        <v>0</v>
      </c>
      <c r="USM76" s="70">
        <v>0</v>
      </c>
      <c r="USN76" s="70">
        <v>0</v>
      </c>
      <c r="USO76" s="70">
        <v>0</v>
      </c>
      <c r="USP76" s="70">
        <v>0</v>
      </c>
      <c r="USQ76" s="70">
        <v>0</v>
      </c>
      <c r="USR76" s="70">
        <v>0</v>
      </c>
      <c r="USS76" s="70">
        <v>0</v>
      </c>
      <c r="UST76" s="70">
        <v>0</v>
      </c>
      <c r="USU76" s="70">
        <v>0</v>
      </c>
      <c r="USV76" s="70">
        <v>0</v>
      </c>
      <c r="USW76" s="70">
        <v>0</v>
      </c>
      <c r="USX76" s="70">
        <v>0</v>
      </c>
      <c r="USY76" s="70">
        <v>0</v>
      </c>
      <c r="USZ76" s="70">
        <v>0</v>
      </c>
      <c r="UTA76" s="70">
        <v>0</v>
      </c>
      <c r="UTB76" s="70">
        <v>0</v>
      </c>
      <c r="UTC76" s="70">
        <v>0</v>
      </c>
      <c r="UTD76" s="70">
        <v>0</v>
      </c>
      <c r="UTE76" s="70">
        <v>0</v>
      </c>
      <c r="UTF76" s="70">
        <v>0</v>
      </c>
      <c r="UTG76" s="70">
        <v>0</v>
      </c>
      <c r="UTH76" s="70">
        <v>0</v>
      </c>
      <c r="UTI76" s="70">
        <v>0</v>
      </c>
      <c r="UTJ76" s="70">
        <v>0</v>
      </c>
      <c r="UTK76" s="70">
        <v>0</v>
      </c>
      <c r="UTL76" s="70">
        <v>0</v>
      </c>
      <c r="UTM76" s="70">
        <v>0</v>
      </c>
      <c r="UTN76" s="70">
        <v>0</v>
      </c>
      <c r="UTO76" s="70">
        <v>0</v>
      </c>
      <c r="UTP76" s="70">
        <v>0</v>
      </c>
      <c r="UTQ76" s="70">
        <v>0</v>
      </c>
      <c r="UTR76" s="70">
        <v>0</v>
      </c>
      <c r="UTS76" s="70">
        <v>0</v>
      </c>
      <c r="UTT76" s="70">
        <v>0</v>
      </c>
      <c r="UTU76" s="70">
        <v>0</v>
      </c>
      <c r="UTV76" s="70">
        <v>0</v>
      </c>
      <c r="UTW76" s="70">
        <v>0</v>
      </c>
      <c r="UTX76" s="70">
        <v>0</v>
      </c>
      <c r="UTY76" s="70">
        <v>0</v>
      </c>
      <c r="UTZ76" s="70">
        <v>0</v>
      </c>
      <c r="UUA76" s="70">
        <v>0</v>
      </c>
      <c r="UUB76" s="70">
        <v>0</v>
      </c>
      <c r="UUC76" s="70">
        <v>0</v>
      </c>
      <c r="UUD76" s="70">
        <v>0</v>
      </c>
      <c r="UUE76" s="70">
        <v>0</v>
      </c>
      <c r="UUF76" s="70">
        <v>0</v>
      </c>
      <c r="UUG76" s="70">
        <v>0</v>
      </c>
      <c r="UUH76" s="70">
        <v>0</v>
      </c>
      <c r="UUI76" s="70">
        <v>0</v>
      </c>
      <c r="UUJ76" s="70">
        <v>0</v>
      </c>
      <c r="UUK76" s="70">
        <v>0</v>
      </c>
      <c r="UUL76" s="70">
        <v>0</v>
      </c>
      <c r="UUM76" s="70">
        <v>0</v>
      </c>
      <c r="UUN76" s="70">
        <v>0</v>
      </c>
      <c r="UUO76" s="70">
        <v>0</v>
      </c>
      <c r="UUP76" s="70">
        <v>0</v>
      </c>
      <c r="UUQ76" s="70">
        <v>0</v>
      </c>
      <c r="UUR76" s="70">
        <v>0</v>
      </c>
      <c r="UUS76" s="70">
        <v>0</v>
      </c>
      <c r="UUT76" s="70">
        <v>0</v>
      </c>
      <c r="UUU76" s="70">
        <v>0</v>
      </c>
      <c r="UUV76" s="70">
        <v>0</v>
      </c>
      <c r="UUW76" s="70">
        <v>0</v>
      </c>
      <c r="UUX76" s="70">
        <v>0</v>
      </c>
      <c r="UUY76" s="70">
        <v>0</v>
      </c>
      <c r="UUZ76" s="70">
        <v>0</v>
      </c>
      <c r="UVA76" s="70">
        <v>0</v>
      </c>
      <c r="UVB76" s="70">
        <v>0</v>
      </c>
      <c r="UVC76" s="70">
        <v>0</v>
      </c>
      <c r="UVD76" s="70">
        <v>0</v>
      </c>
      <c r="UVE76" s="70">
        <v>0</v>
      </c>
      <c r="UVF76" s="70">
        <v>0</v>
      </c>
      <c r="UVG76" s="70">
        <v>0</v>
      </c>
      <c r="UVH76" s="70">
        <v>0</v>
      </c>
      <c r="UVI76" s="70">
        <v>0</v>
      </c>
      <c r="UVJ76" s="70">
        <v>0</v>
      </c>
      <c r="UVK76" s="70">
        <v>0</v>
      </c>
      <c r="UVL76" s="70">
        <v>0</v>
      </c>
      <c r="UVM76" s="70">
        <v>0</v>
      </c>
      <c r="UVN76" s="70">
        <v>0</v>
      </c>
      <c r="UVO76" s="70">
        <v>0</v>
      </c>
      <c r="UVP76" s="70">
        <v>0</v>
      </c>
      <c r="UVQ76" s="70">
        <v>0</v>
      </c>
      <c r="UVR76" s="70">
        <v>0</v>
      </c>
      <c r="UVS76" s="70">
        <v>0</v>
      </c>
      <c r="UVT76" s="70">
        <v>0</v>
      </c>
      <c r="UVU76" s="70">
        <v>0</v>
      </c>
      <c r="UVV76" s="70">
        <v>0</v>
      </c>
      <c r="UVW76" s="70">
        <v>0</v>
      </c>
      <c r="UVX76" s="70">
        <v>0</v>
      </c>
      <c r="UVY76" s="70">
        <v>0</v>
      </c>
      <c r="UVZ76" s="70">
        <v>0</v>
      </c>
      <c r="UWA76" s="70">
        <v>0</v>
      </c>
      <c r="UWB76" s="70">
        <v>0</v>
      </c>
      <c r="UWC76" s="70">
        <v>0</v>
      </c>
      <c r="UWD76" s="70">
        <v>0</v>
      </c>
      <c r="UWE76" s="70">
        <v>0</v>
      </c>
      <c r="UWF76" s="70">
        <v>0</v>
      </c>
      <c r="UWG76" s="70">
        <v>0</v>
      </c>
      <c r="UWH76" s="70">
        <v>0</v>
      </c>
      <c r="UWI76" s="70">
        <v>0</v>
      </c>
      <c r="UWJ76" s="70">
        <v>0</v>
      </c>
      <c r="UWK76" s="70">
        <v>0</v>
      </c>
      <c r="UWL76" s="70">
        <v>0</v>
      </c>
      <c r="UWM76" s="70">
        <v>0</v>
      </c>
      <c r="UWN76" s="70">
        <v>0</v>
      </c>
      <c r="UWO76" s="70">
        <v>0</v>
      </c>
      <c r="UWP76" s="70">
        <v>0</v>
      </c>
      <c r="UWQ76" s="70">
        <v>0</v>
      </c>
      <c r="UWR76" s="70">
        <v>0</v>
      </c>
      <c r="UWS76" s="70">
        <v>0</v>
      </c>
      <c r="UWT76" s="70">
        <v>0</v>
      </c>
      <c r="UWU76" s="70">
        <v>0</v>
      </c>
      <c r="UWV76" s="70">
        <v>0</v>
      </c>
      <c r="UWW76" s="70">
        <v>0</v>
      </c>
      <c r="UWX76" s="70">
        <v>0</v>
      </c>
      <c r="UWY76" s="70">
        <v>0</v>
      </c>
      <c r="UWZ76" s="70">
        <v>0</v>
      </c>
      <c r="UXA76" s="70">
        <v>0</v>
      </c>
      <c r="UXB76" s="70">
        <v>0</v>
      </c>
      <c r="UXC76" s="70">
        <v>0</v>
      </c>
      <c r="UXD76" s="70">
        <v>0</v>
      </c>
      <c r="UXE76" s="70">
        <v>0</v>
      </c>
      <c r="UXF76" s="70">
        <v>0</v>
      </c>
      <c r="UXG76" s="70">
        <v>0</v>
      </c>
      <c r="UXH76" s="70">
        <v>0</v>
      </c>
      <c r="UXI76" s="70">
        <v>0</v>
      </c>
      <c r="UXJ76" s="70">
        <v>0</v>
      </c>
      <c r="UXK76" s="70">
        <v>0</v>
      </c>
      <c r="UXL76" s="70">
        <v>0</v>
      </c>
      <c r="UXM76" s="70">
        <v>0</v>
      </c>
      <c r="UXN76" s="70">
        <v>0</v>
      </c>
      <c r="UXO76" s="70">
        <v>0</v>
      </c>
      <c r="UXP76" s="70">
        <v>0</v>
      </c>
      <c r="UXQ76" s="70">
        <v>0</v>
      </c>
      <c r="UXR76" s="70">
        <v>0</v>
      </c>
      <c r="UXS76" s="70">
        <v>0</v>
      </c>
      <c r="UXT76" s="70">
        <v>0</v>
      </c>
      <c r="UXU76" s="70">
        <v>0</v>
      </c>
      <c r="UXV76" s="70">
        <v>0</v>
      </c>
      <c r="UXW76" s="70">
        <v>0</v>
      </c>
      <c r="UXX76" s="70">
        <v>0</v>
      </c>
      <c r="UXY76" s="70">
        <v>0</v>
      </c>
      <c r="UXZ76" s="70">
        <v>0</v>
      </c>
      <c r="UYA76" s="70">
        <v>0</v>
      </c>
      <c r="UYB76" s="70">
        <v>0</v>
      </c>
      <c r="UYC76" s="70">
        <v>0</v>
      </c>
      <c r="UYD76" s="70">
        <v>0</v>
      </c>
      <c r="UYE76" s="70">
        <v>0</v>
      </c>
      <c r="UYF76" s="70">
        <v>0</v>
      </c>
      <c r="UYG76" s="70">
        <v>0</v>
      </c>
      <c r="UYH76" s="70">
        <v>0</v>
      </c>
      <c r="UYI76" s="70">
        <v>0</v>
      </c>
      <c r="UYJ76" s="70">
        <v>0</v>
      </c>
      <c r="UYK76" s="70">
        <v>0</v>
      </c>
      <c r="UYL76" s="70">
        <v>0</v>
      </c>
      <c r="UYM76" s="70">
        <v>0</v>
      </c>
      <c r="UYN76" s="70">
        <v>0</v>
      </c>
      <c r="UYO76" s="70">
        <v>0</v>
      </c>
      <c r="UYP76" s="70">
        <v>0</v>
      </c>
      <c r="UYQ76" s="70">
        <v>0</v>
      </c>
      <c r="UYR76" s="70">
        <v>0</v>
      </c>
      <c r="UYS76" s="70">
        <v>0</v>
      </c>
      <c r="UYT76" s="70">
        <v>0</v>
      </c>
      <c r="UYU76" s="70">
        <v>0</v>
      </c>
      <c r="UYV76" s="70">
        <v>0</v>
      </c>
      <c r="UYW76" s="70">
        <v>0</v>
      </c>
      <c r="UYX76" s="70">
        <v>0</v>
      </c>
      <c r="UYY76" s="70">
        <v>0</v>
      </c>
      <c r="UYZ76" s="70">
        <v>0</v>
      </c>
      <c r="UZA76" s="70">
        <v>0</v>
      </c>
      <c r="UZB76" s="70">
        <v>0</v>
      </c>
      <c r="UZC76" s="70">
        <v>0</v>
      </c>
      <c r="UZD76" s="70">
        <v>0</v>
      </c>
      <c r="UZE76" s="70">
        <v>0</v>
      </c>
      <c r="UZF76" s="70">
        <v>0</v>
      </c>
      <c r="UZG76" s="70">
        <v>0</v>
      </c>
      <c r="UZH76" s="70">
        <v>0</v>
      </c>
      <c r="UZI76" s="70">
        <v>0</v>
      </c>
      <c r="UZJ76" s="70">
        <v>0</v>
      </c>
      <c r="UZK76" s="70">
        <v>0</v>
      </c>
      <c r="UZL76" s="70">
        <v>0</v>
      </c>
      <c r="UZM76" s="70">
        <v>0</v>
      </c>
      <c r="UZN76" s="70">
        <v>0</v>
      </c>
      <c r="UZO76" s="70">
        <v>0</v>
      </c>
      <c r="UZP76" s="70">
        <v>0</v>
      </c>
      <c r="UZQ76" s="70">
        <v>0</v>
      </c>
      <c r="UZR76" s="70">
        <v>0</v>
      </c>
      <c r="UZS76" s="70">
        <v>0</v>
      </c>
      <c r="UZT76" s="70">
        <v>0</v>
      </c>
      <c r="UZU76" s="70">
        <v>0</v>
      </c>
      <c r="UZV76" s="70">
        <v>0</v>
      </c>
      <c r="UZW76" s="70">
        <v>0</v>
      </c>
      <c r="UZX76" s="70">
        <v>0</v>
      </c>
      <c r="UZY76" s="70">
        <v>0</v>
      </c>
      <c r="UZZ76" s="70">
        <v>0</v>
      </c>
      <c r="VAA76" s="70">
        <v>0</v>
      </c>
      <c r="VAB76" s="70">
        <v>0</v>
      </c>
      <c r="VAC76" s="70">
        <v>0</v>
      </c>
      <c r="VAD76" s="70">
        <v>0</v>
      </c>
      <c r="VAE76" s="70">
        <v>0</v>
      </c>
      <c r="VAF76" s="70">
        <v>0</v>
      </c>
      <c r="VAG76" s="70">
        <v>0</v>
      </c>
      <c r="VAH76" s="70">
        <v>0</v>
      </c>
      <c r="VAI76" s="70">
        <v>0</v>
      </c>
      <c r="VAJ76" s="70">
        <v>0</v>
      </c>
      <c r="VAK76" s="70">
        <v>0</v>
      </c>
      <c r="VAL76" s="70">
        <v>0</v>
      </c>
      <c r="VAM76" s="70">
        <v>0</v>
      </c>
      <c r="VAN76" s="70">
        <v>0</v>
      </c>
      <c r="VAO76" s="70">
        <v>0</v>
      </c>
      <c r="VAP76" s="70">
        <v>0</v>
      </c>
      <c r="VAQ76" s="70">
        <v>0</v>
      </c>
      <c r="VAR76" s="70">
        <v>0</v>
      </c>
      <c r="VAS76" s="70">
        <v>0</v>
      </c>
      <c r="VAT76" s="70">
        <v>0</v>
      </c>
      <c r="VAU76" s="70">
        <v>0</v>
      </c>
      <c r="VAV76" s="70">
        <v>0</v>
      </c>
      <c r="VAW76" s="70">
        <v>0</v>
      </c>
      <c r="VAX76" s="70">
        <v>0</v>
      </c>
      <c r="VAY76" s="70">
        <v>0</v>
      </c>
      <c r="VAZ76" s="70">
        <v>0</v>
      </c>
      <c r="VBA76" s="70">
        <v>0</v>
      </c>
      <c r="VBB76" s="70">
        <v>0</v>
      </c>
      <c r="VBC76" s="70">
        <v>0</v>
      </c>
      <c r="VBD76" s="70">
        <v>0</v>
      </c>
      <c r="VBE76" s="70">
        <v>0</v>
      </c>
      <c r="VBF76" s="70">
        <v>0</v>
      </c>
      <c r="VBG76" s="70">
        <v>0</v>
      </c>
      <c r="VBH76" s="70">
        <v>0</v>
      </c>
      <c r="VBI76" s="70">
        <v>0</v>
      </c>
      <c r="VBJ76" s="70">
        <v>0</v>
      </c>
      <c r="VBK76" s="70">
        <v>0</v>
      </c>
      <c r="VBL76" s="70">
        <v>0</v>
      </c>
      <c r="VBM76" s="70">
        <v>0</v>
      </c>
      <c r="VBN76" s="70">
        <v>0</v>
      </c>
      <c r="VBO76" s="70">
        <v>0</v>
      </c>
      <c r="VBP76" s="70">
        <v>0</v>
      </c>
      <c r="VBQ76" s="70">
        <v>0</v>
      </c>
      <c r="VBR76" s="70">
        <v>0</v>
      </c>
      <c r="VBS76" s="70">
        <v>0</v>
      </c>
      <c r="VBT76" s="70">
        <v>0</v>
      </c>
      <c r="VBU76" s="70">
        <v>0</v>
      </c>
      <c r="VBV76" s="70">
        <v>0</v>
      </c>
      <c r="VBW76" s="70">
        <v>0</v>
      </c>
      <c r="VBX76" s="70">
        <v>0</v>
      </c>
      <c r="VBY76" s="70">
        <v>0</v>
      </c>
      <c r="VBZ76" s="70">
        <v>0</v>
      </c>
      <c r="VCA76" s="70">
        <v>0</v>
      </c>
      <c r="VCB76" s="70">
        <v>0</v>
      </c>
      <c r="VCC76" s="70">
        <v>0</v>
      </c>
      <c r="VCD76" s="70">
        <v>0</v>
      </c>
      <c r="VCE76" s="70">
        <v>0</v>
      </c>
      <c r="VCF76" s="70">
        <v>0</v>
      </c>
      <c r="VCG76" s="70">
        <v>0</v>
      </c>
      <c r="VCH76" s="70">
        <v>0</v>
      </c>
      <c r="VCI76" s="70">
        <v>0</v>
      </c>
      <c r="VCJ76" s="70">
        <v>0</v>
      </c>
      <c r="VCK76" s="70">
        <v>0</v>
      </c>
      <c r="VCL76" s="70">
        <v>0</v>
      </c>
      <c r="VCM76" s="70">
        <v>0</v>
      </c>
      <c r="VCN76" s="70">
        <v>0</v>
      </c>
      <c r="VCO76" s="70">
        <v>0</v>
      </c>
      <c r="VCP76" s="70">
        <v>0</v>
      </c>
      <c r="VCQ76" s="70">
        <v>0</v>
      </c>
      <c r="VCR76" s="70">
        <v>0</v>
      </c>
      <c r="VCS76" s="70">
        <v>0</v>
      </c>
      <c r="VCT76" s="70">
        <v>0</v>
      </c>
      <c r="VCU76" s="70">
        <v>0</v>
      </c>
      <c r="VCV76" s="70">
        <v>0</v>
      </c>
      <c r="VCW76" s="70">
        <v>0</v>
      </c>
      <c r="VCX76" s="70">
        <v>0</v>
      </c>
      <c r="VCY76" s="70">
        <v>0</v>
      </c>
      <c r="VCZ76" s="70">
        <v>0</v>
      </c>
      <c r="VDA76" s="70">
        <v>0</v>
      </c>
      <c r="VDB76" s="70">
        <v>0</v>
      </c>
      <c r="VDC76" s="70">
        <v>0</v>
      </c>
      <c r="VDD76" s="70">
        <v>0</v>
      </c>
      <c r="VDE76" s="70">
        <v>0</v>
      </c>
      <c r="VDF76" s="70">
        <v>0</v>
      </c>
      <c r="VDG76" s="70">
        <v>0</v>
      </c>
      <c r="VDH76" s="70">
        <v>0</v>
      </c>
      <c r="VDI76" s="70">
        <v>0</v>
      </c>
      <c r="VDJ76" s="70">
        <v>0</v>
      </c>
      <c r="VDK76" s="70">
        <v>0</v>
      </c>
      <c r="VDL76" s="70">
        <v>0</v>
      </c>
      <c r="VDM76" s="70">
        <v>0</v>
      </c>
      <c r="VDN76" s="70">
        <v>0</v>
      </c>
      <c r="VDO76" s="70">
        <v>0</v>
      </c>
      <c r="VDP76" s="70">
        <v>0</v>
      </c>
      <c r="VDQ76" s="70">
        <v>0</v>
      </c>
      <c r="VDR76" s="70">
        <v>0</v>
      </c>
      <c r="VDS76" s="70">
        <v>0</v>
      </c>
      <c r="VDT76" s="70">
        <v>0</v>
      </c>
      <c r="VDU76" s="70">
        <v>0</v>
      </c>
      <c r="VDV76" s="70">
        <v>0</v>
      </c>
      <c r="VDW76" s="70">
        <v>0</v>
      </c>
      <c r="VDX76" s="70">
        <v>0</v>
      </c>
      <c r="VDY76" s="70">
        <v>0</v>
      </c>
      <c r="VDZ76" s="70">
        <v>0</v>
      </c>
      <c r="VEA76" s="70">
        <v>0</v>
      </c>
      <c r="VEB76" s="70">
        <v>0</v>
      </c>
      <c r="VEC76" s="70">
        <v>0</v>
      </c>
      <c r="VED76" s="70">
        <v>0</v>
      </c>
      <c r="VEE76" s="70">
        <v>0</v>
      </c>
      <c r="VEF76" s="70">
        <v>0</v>
      </c>
      <c r="VEG76" s="70">
        <v>0</v>
      </c>
      <c r="VEH76" s="70">
        <v>0</v>
      </c>
      <c r="VEI76" s="70">
        <v>0</v>
      </c>
      <c r="VEJ76" s="70">
        <v>0</v>
      </c>
      <c r="VEK76" s="70">
        <v>0</v>
      </c>
      <c r="VEL76" s="70">
        <v>0</v>
      </c>
      <c r="VEM76" s="70">
        <v>0</v>
      </c>
      <c r="VEN76" s="70">
        <v>0</v>
      </c>
      <c r="VEO76" s="70">
        <v>0</v>
      </c>
      <c r="VEP76" s="70">
        <v>0</v>
      </c>
      <c r="VEQ76" s="70">
        <v>0</v>
      </c>
      <c r="VER76" s="70">
        <v>0</v>
      </c>
      <c r="VES76" s="70">
        <v>0</v>
      </c>
      <c r="VET76" s="70">
        <v>0</v>
      </c>
      <c r="VEU76" s="70">
        <v>0</v>
      </c>
      <c r="VEV76" s="70">
        <v>0</v>
      </c>
      <c r="VEW76" s="70">
        <v>0</v>
      </c>
      <c r="VEX76" s="70">
        <v>0</v>
      </c>
      <c r="VEY76" s="70">
        <v>0</v>
      </c>
      <c r="VEZ76" s="70">
        <v>0</v>
      </c>
      <c r="VFA76" s="70">
        <v>0</v>
      </c>
      <c r="VFB76" s="70">
        <v>0</v>
      </c>
      <c r="VFC76" s="70">
        <v>0</v>
      </c>
      <c r="VFD76" s="70">
        <v>0</v>
      </c>
      <c r="VFE76" s="70">
        <v>0</v>
      </c>
      <c r="VFF76" s="70">
        <v>0</v>
      </c>
      <c r="VFG76" s="70">
        <v>0</v>
      </c>
      <c r="VFH76" s="70">
        <v>0</v>
      </c>
      <c r="VFI76" s="70">
        <v>0</v>
      </c>
      <c r="VFJ76" s="70">
        <v>0</v>
      </c>
      <c r="VFK76" s="70">
        <v>0</v>
      </c>
      <c r="VFL76" s="70">
        <v>0</v>
      </c>
      <c r="VFM76" s="70">
        <v>0</v>
      </c>
      <c r="VFN76" s="70">
        <v>0</v>
      </c>
      <c r="VFO76" s="70">
        <v>0</v>
      </c>
      <c r="VFP76" s="70">
        <v>0</v>
      </c>
      <c r="VFQ76" s="70">
        <v>0</v>
      </c>
      <c r="VFR76" s="70">
        <v>0</v>
      </c>
      <c r="VFS76" s="70">
        <v>0</v>
      </c>
      <c r="VFT76" s="70">
        <v>0</v>
      </c>
      <c r="VFU76" s="70">
        <v>0</v>
      </c>
      <c r="VFV76" s="70">
        <v>0</v>
      </c>
      <c r="VFW76" s="70">
        <v>0</v>
      </c>
      <c r="VFX76" s="70">
        <v>0</v>
      </c>
      <c r="VFY76" s="70">
        <v>0</v>
      </c>
      <c r="VFZ76" s="70">
        <v>0</v>
      </c>
      <c r="VGA76" s="70">
        <v>0</v>
      </c>
      <c r="VGB76" s="70">
        <v>0</v>
      </c>
      <c r="VGC76" s="70">
        <v>0</v>
      </c>
      <c r="VGD76" s="70">
        <v>0</v>
      </c>
      <c r="VGE76" s="70">
        <v>0</v>
      </c>
      <c r="VGF76" s="70">
        <v>0</v>
      </c>
      <c r="VGG76" s="70">
        <v>0</v>
      </c>
      <c r="VGH76" s="70">
        <v>0</v>
      </c>
      <c r="VGI76" s="70">
        <v>0</v>
      </c>
      <c r="VGJ76" s="70">
        <v>0</v>
      </c>
      <c r="VGK76" s="70">
        <v>0</v>
      </c>
      <c r="VGL76" s="70">
        <v>0</v>
      </c>
      <c r="VGM76" s="70">
        <v>0</v>
      </c>
      <c r="VGN76" s="70">
        <v>0</v>
      </c>
      <c r="VGO76" s="70">
        <v>0</v>
      </c>
      <c r="VGP76" s="70">
        <v>0</v>
      </c>
      <c r="VGQ76" s="70">
        <v>0</v>
      </c>
      <c r="VGR76" s="70">
        <v>0</v>
      </c>
      <c r="VGS76" s="70">
        <v>0</v>
      </c>
      <c r="VGT76" s="70">
        <v>0</v>
      </c>
      <c r="VGU76" s="70">
        <v>0</v>
      </c>
      <c r="VGV76" s="70">
        <v>0</v>
      </c>
      <c r="VGW76" s="70">
        <v>0</v>
      </c>
      <c r="VGX76" s="70">
        <v>0</v>
      </c>
      <c r="VGY76" s="70">
        <v>0</v>
      </c>
      <c r="VGZ76" s="70">
        <v>0</v>
      </c>
      <c r="VHA76" s="70">
        <v>0</v>
      </c>
      <c r="VHB76" s="70">
        <v>0</v>
      </c>
      <c r="VHC76" s="70">
        <v>0</v>
      </c>
      <c r="VHD76" s="70">
        <v>0</v>
      </c>
      <c r="VHE76" s="70">
        <v>0</v>
      </c>
      <c r="VHF76" s="70">
        <v>0</v>
      </c>
      <c r="VHG76" s="70">
        <v>0</v>
      </c>
      <c r="VHH76" s="70">
        <v>0</v>
      </c>
      <c r="VHI76" s="70">
        <v>0</v>
      </c>
      <c r="VHJ76" s="70">
        <v>0</v>
      </c>
      <c r="VHK76" s="70">
        <v>0</v>
      </c>
      <c r="VHL76" s="70">
        <v>0</v>
      </c>
      <c r="VHM76" s="70">
        <v>0</v>
      </c>
      <c r="VHN76" s="70">
        <v>0</v>
      </c>
      <c r="VHO76" s="70">
        <v>0</v>
      </c>
      <c r="VHP76" s="70">
        <v>0</v>
      </c>
      <c r="VHQ76" s="70">
        <v>0</v>
      </c>
      <c r="VHR76" s="70">
        <v>0</v>
      </c>
      <c r="VHS76" s="70">
        <v>0</v>
      </c>
      <c r="VHT76" s="70">
        <v>0</v>
      </c>
      <c r="VHU76" s="70">
        <v>0</v>
      </c>
      <c r="VHV76" s="70">
        <v>0</v>
      </c>
      <c r="VHW76" s="70">
        <v>0</v>
      </c>
      <c r="VHX76" s="70">
        <v>0</v>
      </c>
      <c r="VHY76" s="70">
        <v>0</v>
      </c>
      <c r="VHZ76" s="70">
        <v>0</v>
      </c>
      <c r="VIA76" s="70">
        <v>0</v>
      </c>
      <c r="VIB76" s="70">
        <v>0</v>
      </c>
      <c r="VIC76" s="70">
        <v>0</v>
      </c>
      <c r="VID76" s="70">
        <v>0</v>
      </c>
      <c r="VIE76" s="70">
        <v>0</v>
      </c>
      <c r="VIF76" s="70">
        <v>0</v>
      </c>
      <c r="VIG76" s="70">
        <v>0</v>
      </c>
      <c r="VIH76" s="70">
        <v>0</v>
      </c>
      <c r="VII76" s="70">
        <v>0</v>
      </c>
      <c r="VIJ76" s="70">
        <v>0</v>
      </c>
      <c r="VIK76" s="70">
        <v>0</v>
      </c>
      <c r="VIL76" s="70">
        <v>0</v>
      </c>
      <c r="VIM76" s="70">
        <v>0</v>
      </c>
      <c r="VIN76" s="70">
        <v>0</v>
      </c>
      <c r="VIO76" s="70">
        <v>0</v>
      </c>
      <c r="VIP76" s="70">
        <v>0</v>
      </c>
      <c r="VIQ76" s="70">
        <v>0</v>
      </c>
      <c r="VIR76" s="70">
        <v>0</v>
      </c>
      <c r="VIS76" s="70">
        <v>0</v>
      </c>
      <c r="VIT76" s="70">
        <v>0</v>
      </c>
      <c r="VIU76" s="70">
        <v>0</v>
      </c>
      <c r="VIV76" s="70">
        <v>0</v>
      </c>
      <c r="VIW76" s="70">
        <v>0</v>
      </c>
      <c r="VIX76" s="70">
        <v>0</v>
      </c>
      <c r="VIY76" s="70">
        <v>0</v>
      </c>
      <c r="VIZ76" s="70">
        <v>0</v>
      </c>
      <c r="VJA76" s="70">
        <v>0</v>
      </c>
      <c r="VJB76" s="70">
        <v>0</v>
      </c>
      <c r="VJC76" s="70">
        <v>0</v>
      </c>
      <c r="VJD76" s="70">
        <v>0</v>
      </c>
      <c r="VJE76" s="70">
        <v>0</v>
      </c>
      <c r="VJF76" s="70">
        <v>0</v>
      </c>
      <c r="VJG76" s="70">
        <v>0</v>
      </c>
      <c r="VJH76" s="70">
        <v>0</v>
      </c>
      <c r="VJI76" s="70">
        <v>0</v>
      </c>
      <c r="VJJ76" s="70">
        <v>0</v>
      </c>
      <c r="VJK76" s="70">
        <v>0</v>
      </c>
      <c r="VJL76" s="70">
        <v>0</v>
      </c>
      <c r="VJM76" s="70">
        <v>0</v>
      </c>
      <c r="VJN76" s="70">
        <v>0</v>
      </c>
      <c r="VJO76" s="70">
        <v>0</v>
      </c>
      <c r="VJP76" s="70">
        <v>0</v>
      </c>
      <c r="VJQ76" s="70">
        <v>0</v>
      </c>
      <c r="VJR76" s="70">
        <v>0</v>
      </c>
      <c r="VJS76" s="70">
        <v>0</v>
      </c>
      <c r="VJT76" s="70">
        <v>0</v>
      </c>
      <c r="VJU76" s="70">
        <v>0</v>
      </c>
      <c r="VJV76" s="70">
        <v>0</v>
      </c>
      <c r="VJW76" s="70">
        <v>0</v>
      </c>
      <c r="VJX76" s="70">
        <v>0</v>
      </c>
      <c r="VJY76" s="70">
        <v>0</v>
      </c>
      <c r="VJZ76" s="70">
        <v>0</v>
      </c>
      <c r="VKA76" s="70">
        <v>0</v>
      </c>
      <c r="VKB76" s="70">
        <v>0</v>
      </c>
      <c r="VKC76" s="70">
        <v>0</v>
      </c>
      <c r="VKD76" s="70">
        <v>0</v>
      </c>
      <c r="VKE76" s="70">
        <v>0</v>
      </c>
      <c r="VKF76" s="70">
        <v>0</v>
      </c>
      <c r="VKG76" s="70">
        <v>0</v>
      </c>
      <c r="VKH76" s="70">
        <v>0</v>
      </c>
      <c r="VKI76" s="70">
        <v>0</v>
      </c>
      <c r="VKJ76" s="70">
        <v>0</v>
      </c>
      <c r="VKK76" s="70">
        <v>0</v>
      </c>
      <c r="VKL76" s="70">
        <v>0</v>
      </c>
      <c r="VKM76" s="70">
        <v>0</v>
      </c>
      <c r="VKN76" s="70">
        <v>0</v>
      </c>
      <c r="VKO76" s="70">
        <v>0</v>
      </c>
      <c r="VKP76" s="70">
        <v>0</v>
      </c>
      <c r="VKQ76" s="70">
        <v>0</v>
      </c>
      <c r="VKR76" s="70">
        <v>0</v>
      </c>
      <c r="VKS76" s="70">
        <v>0</v>
      </c>
      <c r="VKT76" s="70">
        <v>0</v>
      </c>
      <c r="VKU76" s="70">
        <v>0</v>
      </c>
      <c r="VKV76" s="70">
        <v>0</v>
      </c>
      <c r="VKW76" s="70">
        <v>0</v>
      </c>
      <c r="VKX76" s="70">
        <v>0</v>
      </c>
      <c r="VKY76" s="70">
        <v>0</v>
      </c>
      <c r="VKZ76" s="70">
        <v>0</v>
      </c>
      <c r="VLA76" s="70">
        <v>0</v>
      </c>
      <c r="VLB76" s="70">
        <v>0</v>
      </c>
      <c r="VLC76" s="70">
        <v>0</v>
      </c>
      <c r="VLD76" s="70">
        <v>0</v>
      </c>
      <c r="VLE76" s="70">
        <v>0</v>
      </c>
      <c r="VLF76" s="70">
        <v>0</v>
      </c>
      <c r="VLG76" s="70">
        <v>0</v>
      </c>
      <c r="VLH76" s="70">
        <v>0</v>
      </c>
      <c r="VLI76" s="70">
        <v>0</v>
      </c>
      <c r="VLJ76" s="70">
        <v>0</v>
      </c>
      <c r="VLK76" s="70">
        <v>0</v>
      </c>
      <c r="VLL76" s="70">
        <v>0</v>
      </c>
      <c r="VLM76" s="70">
        <v>0</v>
      </c>
      <c r="VLN76" s="70">
        <v>0</v>
      </c>
      <c r="VLO76" s="70">
        <v>0</v>
      </c>
      <c r="VLP76" s="70">
        <v>0</v>
      </c>
      <c r="VLQ76" s="70">
        <v>0</v>
      </c>
      <c r="VLR76" s="70">
        <v>0</v>
      </c>
      <c r="VLS76" s="70">
        <v>0</v>
      </c>
      <c r="VLT76" s="70">
        <v>0</v>
      </c>
      <c r="VLU76" s="70">
        <v>0</v>
      </c>
      <c r="VLV76" s="70">
        <v>0</v>
      </c>
      <c r="VLW76" s="70">
        <v>0</v>
      </c>
      <c r="VLX76" s="70">
        <v>0</v>
      </c>
      <c r="VLY76" s="70">
        <v>0</v>
      </c>
      <c r="VLZ76" s="70">
        <v>0</v>
      </c>
      <c r="VMA76" s="70">
        <v>0</v>
      </c>
      <c r="VMB76" s="70">
        <v>0</v>
      </c>
      <c r="VMC76" s="70">
        <v>0</v>
      </c>
      <c r="VMD76" s="70">
        <v>0</v>
      </c>
      <c r="VME76" s="70">
        <v>0</v>
      </c>
      <c r="VMF76" s="70">
        <v>0</v>
      </c>
      <c r="VMG76" s="70">
        <v>0</v>
      </c>
      <c r="VMH76" s="70">
        <v>0</v>
      </c>
      <c r="VMI76" s="70">
        <v>0</v>
      </c>
      <c r="VMJ76" s="70">
        <v>0</v>
      </c>
      <c r="VMK76" s="70">
        <v>0</v>
      </c>
      <c r="VML76" s="70">
        <v>0</v>
      </c>
      <c r="VMM76" s="70">
        <v>0</v>
      </c>
      <c r="VMN76" s="70">
        <v>0</v>
      </c>
      <c r="VMO76" s="70">
        <v>0</v>
      </c>
      <c r="VMP76" s="70">
        <v>0</v>
      </c>
      <c r="VMQ76" s="70">
        <v>0</v>
      </c>
      <c r="VMR76" s="70">
        <v>0</v>
      </c>
      <c r="VMS76" s="70">
        <v>0</v>
      </c>
      <c r="VMT76" s="70">
        <v>0</v>
      </c>
      <c r="VMU76" s="70">
        <v>0</v>
      </c>
      <c r="VMV76" s="70">
        <v>0</v>
      </c>
      <c r="VMW76" s="70">
        <v>0</v>
      </c>
      <c r="VMX76" s="70">
        <v>0</v>
      </c>
      <c r="VMY76" s="70">
        <v>0</v>
      </c>
      <c r="VMZ76" s="70">
        <v>0</v>
      </c>
      <c r="VNA76" s="70">
        <v>0</v>
      </c>
      <c r="VNB76" s="70">
        <v>0</v>
      </c>
      <c r="VNC76" s="70">
        <v>0</v>
      </c>
      <c r="VND76" s="70">
        <v>0</v>
      </c>
      <c r="VNE76" s="70">
        <v>0</v>
      </c>
      <c r="VNF76" s="70">
        <v>0</v>
      </c>
      <c r="VNG76" s="70">
        <v>0</v>
      </c>
      <c r="VNH76" s="70">
        <v>0</v>
      </c>
      <c r="VNI76" s="70">
        <v>0</v>
      </c>
      <c r="VNJ76" s="70">
        <v>0</v>
      </c>
      <c r="VNK76" s="70">
        <v>0</v>
      </c>
      <c r="VNL76" s="70">
        <v>0</v>
      </c>
      <c r="VNM76" s="70">
        <v>0</v>
      </c>
      <c r="VNN76" s="70">
        <v>0</v>
      </c>
      <c r="VNO76" s="70">
        <v>0</v>
      </c>
      <c r="VNP76" s="70">
        <v>0</v>
      </c>
      <c r="VNQ76" s="70">
        <v>0</v>
      </c>
      <c r="VNR76" s="70">
        <v>0</v>
      </c>
      <c r="VNS76" s="70">
        <v>0</v>
      </c>
      <c r="VNT76" s="70">
        <v>0</v>
      </c>
      <c r="VNU76" s="70">
        <v>0</v>
      </c>
      <c r="VNV76" s="70">
        <v>0</v>
      </c>
      <c r="VNW76" s="70">
        <v>0</v>
      </c>
      <c r="VNX76" s="70">
        <v>0</v>
      </c>
      <c r="VNY76" s="70">
        <v>0</v>
      </c>
      <c r="VNZ76" s="70">
        <v>0</v>
      </c>
      <c r="VOA76" s="70">
        <v>0</v>
      </c>
      <c r="VOB76" s="70">
        <v>0</v>
      </c>
      <c r="VOC76" s="70">
        <v>0</v>
      </c>
      <c r="VOD76" s="70">
        <v>0</v>
      </c>
      <c r="VOE76" s="70">
        <v>0</v>
      </c>
      <c r="VOF76" s="70">
        <v>0</v>
      </c>
      <c r="VOG76" s="70">
        <v>0</v>
      </c>
      <c r="VOH76" s="70">
        <v>0</v>
      </c>
      <c r="VOI76" s="70">
        <v>0</v>
      </c>
      <c r="VOJ76" s="70">
        <v>0</v>
      </c>
      <c r="VOK76" s="70">
        <v>0</v>
      </c>
      <c r="VOL76" s="70">
        <v>0</v>
      </c>
      <c r="VOM76" s="70">
        <v>0</v>
      </c>
      <c r="VON76" s="70">
        <v>0</v>
      </c>
      <c r="VOO76" s="70">
        <v>0</v>
      </c>
      <c r="VOP76" s="70">
        <v>0</v>
      </c>
      <c r="VOQ76" s="70">
        <v>0</v>
      </c>
      <c r="VOR76" s="70">
        <v>0</v>
      </c>
      <c r="VOS76" s="70">
        <v>0</v>
      </c>
      <c r="VOT76" s="70">
        <v>0</v>
      </c>
      <c r="VOU76" s="70">
        <v>0</v>
      </c>
      <c r="VOV76" s="70">
        <v>0</v>
      </c>
      <c r="VOW76" s="70">
        <v>0</v>
      </c>
      <c r="VOX76" s="70">
        <v>0</v>
      </c>
      <c r="VOY76" s="70">
        <v>0</v>
      </c>
      <c r="VOZ76" s="70">
        <v>0</v>
      </c>
      <c r="VPA76" s="70">
        <v>0</v>
      </c>
      <c r="VPB76" s="70">
        <v>0</v>
      </c>
      <c r="VPC76" s="70">
        <v>0</v>
      </c>
      <c r="VPD76" s="70">
        <v>0</v>
      </c>
      <c r="VPE76" s="70">
        <v>0</v>
      </c>
      <c r="VPF76" s="70">
        <v>0</v>
      </c>
      <c r="VPG76" s="70">
        <v>0</v>
      </c>
      <c r="VPH76" s="70">
        <v>0</v>
      </c>
      <c r="VPI76" s="70">
        <v>0</v>
      </c>
      <c r="VPJ76" s="70">
        <v>0</v>
      </c>
      <c r="VPK76" s="70">
        <v>0</v>
      </c>
      <c r="VPL76" s="70">
        <v>0</v>
      </c>
      <c r="VPM76" s="70">
        <v>0</v>
      </c>
      <c r="VPN76" s="70">
        <v>0</v>
      </c>
      <c r="VPO76" s="70">
        <v>0</v>
      </c>
      <c r="VPP76" s="70">
        <v>0</v>
      </c>
      <c r="VPQ76" s="70">
        <v>0</v>
      </c>
      <c r="VPR76" s="70">
        <v>0</v>
      </c>
      <c r="VPS76" s="70">
        <v>0</v>
      </c>
      <c r="VPT76" s="70">
        <v>0</v>
      </c>
      <c r="VPU76" s="70">
        <v>0</v>
      </c>
      <c r="VPV76" s="70">
        <v>0</v>
      </c>
      <c r="VPW76" s="70">
        <v>0</v>
      </c>
      <c r="VPX76" s="70">
        <v>0</v>
      </c>
      <c r="VPY76" s="70">
        <v>0</v>
      </c>
      <c r="VPZ76" s="70">
        <v>0</v>
      </c>
      <c r="VQA76" s="70">
        <v>0</v>
      </c>
      <c r="VQB76" s="70">
        <v>0</v>
      </c>
      <c r="VQC76" s="70">
        <v>0</v>
      </c>
      <c r="VQD76" s="70">
        <v>0</v>
      </c>
      <c r="VQE76" s="70">
        <v>0</v>
      </c>
      <c r="VQF76" s="70">
        <v>0</v>
      </c>
      <c r="VQG76" s="70">
        <v>0</v>
      </c>
      <c r="VQH76" s="70">
        <v>0</v>
      </c>
      <c r="VQI76" s="70">
        <v>0</v>
      </c>
      <c r="VQJ76" s="70">
        <v>0</v>
      </c>
      <c r="VQK76" s="70">
        <v>0</v>
      </c>
      <c r="VQL76" s="70">
        <v>0</v>
      </c>
      <c r="VQM76" s="70">
        <v>0</v>
      </c>
      <c r="VQN76" s="70">
        <v>0</v>
      </c>
      <c r="VQO76" s="70">
        <v>0</v>
      </c>
      <c r="VQP76" s="70">
        <v>0</v>
      </c>
      <c r="VQQ76" s="70">
        <v>0</v>
      </c>
      <c r="VQR76" s="70">
        <v>0</v>
      </c>
      <c r="VQS76" s="70">
        <v>0</v>
      </c>
      <c r="VQT76" s="70">
        <v>0</v>
      </c>
      <c r="VQU76" s="70">
        <v>0</v>
      </c>
      <c r="VQV76" s="70">
        <v>0</v>
      </c>
      <c r="VQW76" s="70">
        <v>0</v>
      </c>
      <c r="VQX76" s="70">
        <v>0</v>
      </c>
      <c r="VQY76" s="70">
        <v>0</v>
      </c>
      <c r="VQZ76" s="70">
        <v>0</v>
      </c>
      <c r="VRA76" s="70">
        <v>0</v>
      </c>
      <c r="VRB76" s="70">
        <v>0</v>
      </c>
      <c r="VRC76" s="70">
        <v>0</v>
      </c>
      <c r="VRD76" s="70">
        <v>0</v>
      </c>
      <c r="VRE76" s="70">
        <v>0</v>
      </c>
      <c r="VRF76" s="70">
        <v>0</v>
      </c>
      <c r="VRG76" s="70">
        <v>0</v>
      </c>
      <c r="VRH76" s="70">
        <v>0</v>
      </c>
      <c r="VRI76" s="70">
        <v>0</v>
      </c>
      <c r="VRJ76" s="70">
        <v>0</v>
      </c>
      <c r="VRK76" s="70">
        <v>0</v>
      </c>
      <c r="VRL76" s="70">
        <v>0</v>
      </c>
      <c r="VRM76" s="70">
        <v>0</v>
      </c>
      <c r="VRN76" s="70">
        <v>0</v>
      </c>
      <c r="VRO76" s="70">
        <v>0</v>
      </c>
      <c r="VRP76" s="70">
        <v>0</v>
      </c>
      <c r="VRQ76" s="70">
        <v>0</v>
      </c>
      <c r="VRR76" s="70">
        <v>0</v>
      </c>
      <c r="VRS76" s="70">
        <v>0</v>
      </c>
      <c r="VRT76" s="70">
        <v>0</v>
      </c>
      <c r="VRU76" s="70">
        <v>0</v>
      </c>
      <c r="VRV76" s="70">
        <v>0</v>
      </c>
      <c r="VRW76" s="70">
        <v>0</v>
      </c>
      <c r="VRX76" s="70">
        <v>0</v>
      </c>
      <c r="VRY76" s="70">
        <v>0</v>
      </c>
      <c r="VRZ76" s="70">
        <v>0</v>
      </c>
      <c r="VSA76" s="70">
        <v>0</v>
      </c>
      <c r="VSB76" s="70">
        <v>0</v>
      </c>
      <c r="VSC76" s="70">
        <v>0</v>
      </c>
      <c r="VSD76" s="70">
        <v>0</v>
      </c>
      <c r="VSE76" s="70">
        <v>0</v>
      </c>
      <c r="VSF76" s="70">
        <v>0</v>
      </c>
      <c r="VSG76" s="70">
        <v>0</v>
      </c>
      <c r="VSH76" s="70">
        <v>0</v>
      </c>
      <c r="VSI76" s="70">
        <v>0</v>
      </c>
      <c r="VSJ76" s="70">
        <v>0</v>
      </c>
      <c r="VSK76" s="70">
        <v>0</v>
      </c>
      <c r="VSL76" s="70">
        <v>0</v>
      </c>
      <c r="VSM76" s="70">
        <v>0</v>
      </c>
      <c r="VSN76" s="70">
        <v>0</v>
      </c>
      <c r="VSO76" s="70">
        <v>0</v>
      </c>
      <c r="VSP76" s="70">
        <v>0</v>
      </c>
      <c r="VSQ76" s="70">
        <v>0</v>
      </c>
      <c r="VSR76" s="70">
        <v>0</v>
      </c>
      <c r="VSS76" s="70">
        <v>0</v>
      </c>
      <c r="VST76" s="70">
        <v>0</v>
      </c>
      <c r="VSU76" s="70">
        <v>0</v>
      </c>
      <c r="VSV76" s="70">
        <v>0</v>
      </c>
      <c r="VSW76" s="70">
        <v>0</v>
      </c>
      <c r="VSX76" s="70">
        <v>0</v>
      </c>
      <c r="VSY76" s="70">
        <v>0</v>
      </c>
      <c r="VSZ76" s="70">
        <v>0</v>
      </c>
      <c r="VTA76" s="70">
        <v>0</v>
      </c>
      <c r="VTB76" s="70">
        <v>0</v>
      </c>
      <c r="VTC76" s="70">
        <v>0</v>
      </c>
      <c r="VTD76" s="70">
        <v>0</v>
      </c>
      <c r="VTE76" s="70">
        <v>0</v>
      </c>
      <c r="VTF76" s="70">
        <v>0</v>
      </c>
      <c r="VTG76" s="70">
        <v>0</v>
      </c>
      <c r="VTH76" s="70">
        <v>0</v>
      </c>
      <c r="VTI76" s="70">
        <v>0</v>
      </c>
      <c r="VTJ76" s="70">
        <v>0</v>
      </c>
      <c r="VTK76" s="70">
        <v>0</v>
      </c>
      <c r="VTL76" s="70">
        <v>0</v>
      </c>
      <c r="VTM76" s="70">
        <v>0</v>
      </c>
      <c r="VTN76" s="70">
        <v>0</v>
      </c>
      <c r="VTO76" s="70">
        <v>0</v>
      </c>
      <c r="VTP76" s="70">
        <v>0</v>
      </c>
      <c r="VTQ76" s="70">
        <v>0</v>
      </c>
      <c r="VTR76" s="70">
        <v>0</v>
      </c>
      <c r="VTS76" s="70">
        <v>0</v>
      </c>
      <c r="VTT76" s="70">
        <v>0</v>
      </c>
      <c r="VTU76" s="70">
        <v>0</v>
      </c>
      <c r="VTV76" s="70">
        <v>0</v>
      </c>
      <c r="VTW76" s="70">
        <v>0</v>
      </c>
      <c r="VTX76" s="70">
        <v>0</v>
      </c>
      <c r="VTY76" s="70">
        <v>0</v>
      </c>
      <c r="VTZ76" s="70">
        <v>0</v>
      </c>
      <c r="VUA76" s="70">
        <v>0</v>
      </c>
      <c r="VUB76" s="70">
        <v>0</v>
      </c>
      <c r="VUC76" s="70">
        <v>0</v>
      </c>
      <c r="VUD76" s="70">
        <v>0</v>
      </c>
      <c r="VUE76" s="70">
        <v>0</v>
      </c>
      <c r="VUF76" s="70">
        <v>0</v>
      </c>
      <c r="VUG76" s="70">
        <v>0</v>
      </c>
      <c r="VUH76" s="70">
        <v>0</v>
      </c>
      <c r="VUI76" s="70">
        <v>0</v>
      </c>
      <c r="VUJ76" s="70">
        <v>0</v>
      </c>
      <c r="VUK76" s="70">
        <v>0</v>
      </c>
      <c r="VUL76" s="70">
        <v>0</v>
      </c>
      <c r="VUM76" s="70">
        <v>0</v>
      </c>
      <c r="VUN76" s="70">
        <v>0</v>
      </c>
      <c r="VUO76" s="70">
        <v>0</v>
      </c>
      <c r="VUP76" s="70">
        <v>0</v>
      </c>
      <c r="VUQ76" s="70">
        <v>0</v>
      </c>
      <c r="VUR76" s="70">
        <v>0</v>
      </c>
      <c r="VUS76" s="70">
        <v>0</v>
      </c>
      <c r="VUT76" s="70">
        <v>0</v>
      </c>
      <c r="VUU76" s="70">
        <v>0</v>
      </c>
      <c r="VUV76" s="70">
        <v>0</v>
      </c>
      <c r="VUW76" s="70">
        <v>0</v>
      </c>
      <c r="VUX76" s="70">
        <v>0</v>
      </c>
      <c r="VUY76" s="70">
        <v>0</v>
      </c>
      <c r="VUZ76" s="70">
        <v>0</v>
      </c>
      <c r="VVA76" s="70">
        <v>0</v>
      </c>
      <c r="VVB76" s="70">
        <v>0</v>
      </c>
      <c r="VVC76" s="70">
        <v>0</v>
      </c>
      <c r="VVD76" s="70">
        <v>0</v>
      </c>
      <c r="VVE76" s="70">
        <v>0</v>
      </c>
      <c r="VVF76" s="70">
        <v>0</v>
      </c>
      <c r="VVG76" s="70">
        <v>0</v>
      </c>
      <c r="VVH76" s="70">
        <v>0</v>
      </c>
      <c r="VVI76" s="70">
        <v>0</v>
      </c>
      <c r="VVJ76" s="70">
        <v>0</v>
      </c>
      <c r="VVK76" s="70">
        <v>0</v>
      </c>
      <c r="VVL76" s="70">
        <v>0</v>
      </c>
      <c r="VVM76" s="70">
        <v>0</v>
      </c>
      <c r="VVN76" s="70">
        <v>0</v>
      </c>
      <c r="VVO76" s="70">
        <v>0</v>
      </c>
      <c r="VVP76" s="70">
        <v>0</v>
      </c>
      <c r="VVQ76" s="70">
        <v>0</v>
      </c>
      <c r="VVR76" s="70">
        <v>0</v>
      </c>
      <c r="VVS76" s="70">
        <v>0</v>
      </c>
      <c r="VVT76" s="70">
        <v>0</v>
      </c>
      <c r="VVU76" s="70">
        <v>0</v>
      </c>
      <c r="VVV76" s="70">
        <v>0</v>
      </c>
      <c r="VVW76" s="70">
        <v>0</v>
      </c>
      <c r="VVX76" s="70">
        <v>0</v>
      </c>
      <c r="VVY76" s="70">
        <v>0</v>
      </c>
      <c r="VVZ76" s="70">
        <v>0</v>
      </c>
      <c r="VWA76" s="70">
        <v>0</v>
      </c>
      <c r="VWB76" s="70">
        <v>0</v>
      </c>
      <c r="VWC76" s="70">
        <v>0</v>
      </c>
      <c r="VWD76" s="70">
        <v>0</v>
      </c>
      <c r="VWE76" s="70">
        <v>0</v>
      </c>
      <c r="VWF76" s="70">
        <v>0</v>
      </c>
      <c r="VWG76" s="70">
        <v>0</v>
      </c>
      <c r="VWH76" s="70">
        <v>0</v>
      </c>
      <c r="VWI76" s="70">
        <v>0</v>
      </c>
      <c r="VWJ76" s="70">
        <v>0</v>
      </c>
      <c r="VWK76" s="70">
        <v>0</v>
      </c>
      <c r="VWL76" s="70">
        <v>0</v>
      </c>
      <c r="VWM76" s="70">
        <v>0</v>
      </c>
      <c r="VWN76" s="70">
        <v>0</v>
      </c>
      <c r="VWO76" s="70">
        <v>0</v>
      </c>
      <c r="VWP76" s="70">
        <v>0</v>
      </c>
      <c r="VWQ76" s="70">
        <v>0</v>
      </c>
      <c r="VWR76" s="70">
        <v>0</v>
      </c>
      <c r="VWS76" s="70">
        <v>0</v>
      </c>
      <c r="VWT76" s="70">
        <v>0</v>
      </c>
      <c r="VWU76" s="70">
        <v>0</v>
      </c>
      <c r="VWV76" s="70">
        <v>0</v>
      </c>
      <c r="VWW76" s="70">
        <v>0</v>
      </c>
      <c r="VWX76" s="70">
        <v>0</v>
      </c>
      <c r="VWY76" s="70">
        <v>0</v>
      </c>
      <c r="VWZ76" s="70">
        <v>0</v>
      </c>
      <c r="VXA76" s="70">
        <v>0</v>
      </c>
      <c r="VXB76" s="70">
        <v>0</v>
      </c>
      <c r="VXC76" s="70">
        <v>0</v>
      </c>
      <c r="VXD76" s="70">
        <v>0</v>
      </c>
      <c r="VXE76" s="70">
        <v>0</v>
      </c>
      <c r="VXF76" s="70">
        <v>0</v>
      </c>
      <c r="VXG76" s="70">
        <v>0</v>
      </c>
      <c r="VXH76" s="70">
        <v>0</v>
      </c>
      <c r="VXI76" s="70">
        <v>0</v>
      </c>
      <c r="VXJ76" s="70">
        <v>0</v>
      </c>
      <c r="VXK76" s="70">
        <v>0</v>
      </c>
      <c r="VXL76" s="70">
        <v>0</v>
      </c>
      <c r="VXM76" s="70">
        <v>0</v>
      </c>
      <c r="VXN76" s="70">
        <v>0</v>
      </c>
      <c r="VXO76" s="70">
        <v>0</v>
      </c>
      <c r="VXP76" s="70">
        <v>0</v>
      </c>
      <c r="VXQ76" s="70">
        <v>0</v>
      </c>
      <c r="VXR76" s="70">
        <v>0</v>
      </c>
      <c r="VXS76" s="70">
        <v>0</v>
      </c>
      <c r="VXT76" s="70">
        <v>0</v>
      </c>
      <c r="VXU76" s="70">
        <v>0</v>
      </c>
      <c r="VXV76" s="70">
        <v>0</v>
      </c>
      <c r="VXW76" s="70">
        <v>0</v>
      </c>
      <c r="VXX76" s="70">
        <v>0</v>
      </c>
      <c r="VXY76" s="70">
        <v>0</v>
      </c>
      <c r="VXZ76" s="70">
        <v>0</v>
      </c>
      <c r="VYA76" s="70">
        <v>0</v>
      </c>
      <c r="VYB76" s="70">
        <v>0</v>
      </c>
      <c r="VYC76" s="70">
        <v>0</v>
      </c>
      <c r="VYD76" s="70">
        <v>0</v>
      </c>
      <c r="VYE76" s="70">
        <v>0</v>
      </c>
      <c r="VYF76" s="70">
        <v>0</v>
      </c>
      <c r="VYG76" s="70">
        <v>0</v>
      </c>
      <c r="VYH76" s="70">
        <v>0</v>
      </c>
      <c r="VYI76" s="70">
        <v>0</v>
      </c>
      <c r="VYJ76" s="70">
        <v>0</v>
      </c>
      <c r="VYK76" s="70">
        <v>0</v>
      </c>
      <c r="VYL76" s="70">
        <v>0</v>
      </c>
      <c r="VYM76" s="70">
        <v>0</v>
      </c>
      <c r="VYN76" s="70">
        <v>0</v>
      </c>
      <c r="VYO76" s="70">
        <v>0</v>
      </c>
      <c r="VYP76" s="70">
        <v>0</v>
      </c>
      <c r="VYQ76" s="70">
        <v>0</v>
      </c>
      <c r="VYR76" s="70">
        <v>0</v>
      </c>
      <c r="VYS76" s="70">
        <v>0</v>
      </c>
      <c r="VYT76" s="70">
        <v>0</v>
      </c>
      <c r="VYU76" s="70">
        <v>0</v>
      </c>
      <c r="VYV76" s="70">
        <v>0</v>
      </c>
      <c r="VYW76" s="70">
        <v>0</v>
      </c>
      <c r="VYX76" s="70">
        <v>0</v>
      </c>
      <c r="VYY76" s="70">
        <v>0</v>
      </c>
      <c r="VYZ76" s="70">
        <v>0</v>
      </c>
      <c r="VZA76" s="70">
        <v>0</v>
      </c>
      <c r="VZB76" s="70">
        <v>0</v>
      </c>
      <c r="VZC76" s="70">
        <v>0</v>
      </c>
      <c r="VZD76" s="70">
        <v>0</v>
      </c>
      <c r="VZE76" s="70">
        <v>0</v>
      </c>
      <c r="VZF76" s="70">
        <v>0</v>
      </c>
      <c r="VZG76" s="70">
        <v>0</v>
      </c>
      <c r="VZH76" s="70">
        <v>0</v>
      </c>
      <c r="VZI76" s="70">
        <v>0</v>
      </c>
      <c r="VZJ76" s="70">
        <v>0</v>
      </c>
      <c r="VZK76" s="70">
        <v>0</v>
      </c>
      <c r="VZL76" s="70">
        <v>0</v>
      </c>
      <c r="VZM76" s="70">
        <v>0</v>
      </c>
      <c r="VZN76" s="70">
        <v>0</v>
      </c>
      <c r="VZO76" s="70">
        <v>0</v>
      </c>
      <c r="VZP76" s="70">
        <v>0</v>
      </c>
      <c r="VZQ76" s="70">
        <v>0</v>
      </c>
      <c r="VZR76" s="70">
        <v>0</v>
      </c>
      <c r="VZS76" s="70">
        <v>0</v>
      </c>
      <c r="VZT76" s="70">
        <v>0</v>
      </c>
      <c r="VZU76" s="70">
        <v>0</v>
      </c>
      <c r="VZV76" s="70">
        <v>0</v>
      </c>
      <c r="VZW76" s="70">
        <v>0</v>
      </c>
      <c r="VZX76" s="70">
        <v>0</v>
      </c>
      <c r="VZY76" s="70">
        <v>0</v>
      </c>
      <c r="VZZ76" s="70">
        <v>0</v>
      </c>
      <c r="WAA76" s="70">
        <v>0</v>
      </c>
      <c r="WAB76" s="70">
        <v>0</v>
      </c>
      <c r="WAC76" s="70">
        <v>0</v>
      </c>
      <c r="WAD76" s="70">
        <v>0</v>
      </c>
      <c r="WAE76" s="70">
        <v>0</v>
      </c>
      <c r="WAF76" s="70">
        <v>0</v>
      </c>
      <c r="WAG76" s="70">
        <v>0</v>
      </c>
      <c r="WAH76" s="70">
        <v>0</v>
      </c>
      <c r="WAI76" s="70">
        <v>0</v>
      </c>
      <c r="WAJ76" s="70">
        <v>0</v>
      </c>
      <c r="WAK76" s="70">
        <v>0</v>
      </c>
      <c r="WAL76" s="70">
        <v>0</v>
      </c>
      <c r="WAM76" s="70">
        <v>0</v>
      </c>
      <c r="WAN76" s="70">
        <v>0</v>
      </c>
      <c r="WAO76" s="70">
        <v>0</v>
      </c>
      <c r="WAP76" s="70">
        <v>0</v>
      </c>
      <c r="WAQ76" s="70">
        <v>0</v>
      </c>
      <c r="WAR76" s="70">
        <v>0</v>
      </c>
      <c r="WAS76" s="70">
        <v>0</v>
      </c>
      <c r="WAT76" s="70">
        <v>0</v>
      </c>
      <c r="WAU76" s="70">
        <v>0</v>
      </c>
      <c r="WAV76" s="70">
        <v>0</v>
      </c>
      <c r="WAW76" s="70">
        <v>0</v>
      </c>
      <c r="WAX76" s="70">
        <v>0</v>
      </c>
      <c r="WAY76" s="70">
        <v>0</v>
      </c>
      <c r="WAZ76" s="70">
        <v>0</v>
      </c>
      <c r="WBA76" s="70">
        <v>0</v>
      </c>
      <c r="WBB76" s="70">
        <v>0</v>
      </c>
      <c r="WBC76" s="70">
        <v>0</v>
      </c>
      <c r="WBD76" s="70">
        <v>0</v>
      </c>
      <c r="WBE76" s="70">
        <v>0</v>
      </c>
      <c r="WBF76" s="70">
        <v>0</v>
      </c>
      <c r="WBG76" s="70">
        <v>0</v>
      </c>
      <c r="WBH76" s="70">
        <v>0</v>
      </c>
      <c r="WBI76" s="70">
        <v>0</v>
      </c>
      <c r="WBJ76" s="70">
        <v>0</v>
      </c>
      <c r="WBK76" s="70">
        <v>0</v>
      </c>
      <c r="WBL76" s="70">
        <v>0</v>
      </c>
      <c r="WBM76" s="70">
        <v>0</v>
      </c>
      <c r="WBN76" s="70">
        <v>0</v>
      </c>
      <c r="WBO76" s="70">
        <v>0</v>
      </c>
      <c r="WBP76" s="70">
        <v>0</v>
      </c>
      <c r="WBQ76" s="70">
        <v>0</v>
      </c>
      <c r="WBR76" s="70">
        <v>0</v>
      </c>
      <c r="WBS76" s="70">
        <v>0</v>
      </c>
      <c r="WBT76" s="70">
        <v>0</v>
      </c>
      <c r="WBU76" s="70">
        <v>0</v>
      </c>
      <c r="WBV76" s="70">
        <v>0</v>
      </c>
      <c r="WBW76" s="70">
        <v>0</v>
      </c>
      <c r="WBX76" s="70">
        <v>0</v>
      </c>
      <c r="WBY76" s="70">
        <v>0</v>
      </c>
      <c r="WBZ76" s="70">
        <v>0</v>
      </c>
      <c r="WCA76" s="70">
        <v>0</v>
      </c>
      <c r="WCB76" s="70">
        <v>0</v>
      </c>
      <c r="WCC76" s="70">
        <v>0</v>
      </c>
      <c r="WCD76" s="70">
        <v>0</v>
      </c>
      <c r="WCE76" s="70">
        <v>0</v>
      </c>
      <c r="WCF76" s="70">
        <v>0</v>
      </c>
      <c r="WCG76" s="70">
        <v>0</v>
      </c>
      <c r="WCH76" s="70">
        <v>0</v>
      </c>
      <c r="WCI76" s="70">
        <v>0</v>
      </c>
      <c r="WCJ76" s="70">
        <v>0</v>
      </c>
      <c r="WCK76" s="70">
        <v>0</v>
      </c>
      <c r="WCL76" s="70">
        <v>0</v>
      </c>
      <c r="WCM76" s="70">
        <v>0</v>
      </c>
      <c r="WCN76" s="70">
        <v>0</v>
      </c>
      <c r="WCO76" s="70">
        <v>0</v>
      </c>
      <c r="WCP76" s="70">
        <v>0</v>
      </c>
      <c r="WCQ76" s="70">
        <v>0</v>
      </c>
      <c r="WCR76" s="70">
        <v>0</v>
      </c>
      <c r="WCS76" s="70">
        <v>0</v>
      </c>
      <c r="WCT76" s="70">
        <v>0</v>
      </c>
      <c r="WCU76" s="70">
        <v>0</v>
      </c>
      <c r="WCV76" s="70">
        <v>0</v>
      </c>
      <c r="WCW76" s="70">
        <v>0</v>
      </c>
      <c r="WCX76" s="70">
        <v>0</v>
      </c>
      <c r="WCY76" s="70">
        <v>0</v>
      </c>
      <c r="WCZ76" s="70">
        <v>0</v>
      </c>
      <c r="WDA76" s="70">
        <v>0</v>
      </c>
      <c r="WDB76" s="70">
        <v>0</v>
      </c>
      <c r="WDC76" s="70">
        <v>0</v>
      </c>
      <c r="WDD76" s="70">
        <v>0</v>
      </c>
      <c r="WDE76" s="70">
        <v>0</v>
      </c>
      <c r="WDF76" s="70">
        <v>0</v>
      </c>
      <c r="WDG76" s="70">
        <v>0</v>
      </c>
      <c r="WDH76" s="70">
        <v>0</v>
      </c>
      <c r="WDI76" s="70">
        <v>0</v>
      </c>
      <c r="WDJ76" s="70">
        <v>0</v>
      </c>
      <c r="WDK76" s="70">
        <v>0</v>
      </c>
      <c r="WDL76" s="70">
        <v>0</v>
      </c>
      <c r="WDM76" s="70">
        <v>0</v>
      </c>
      <c r="WDN76" s="70">
        <v>0</v>
      </c>
      <c r="WDO76" s="70">
        <v>0</v>
      </c>
      <c r="WDP76" s="70">
        <v>0</v>
      </c>
      <c r="WDQ76" s="70">
        <v>0</v>
      </c>
      <c r="WDR76" s="70">
        <v>0</v>
      </c>
      <c r="WDS76" s="70">
        <v>0</v>
      </c>
      <c r="WDT76" s="70">
        <v>0</v>
      </c>
      <c r="WDU76" s="70">
        <v>0</v>
      </c>
      <c r="WDV76" s="70">
        <v>0</v>
      </c>
      <c r="WDW76" s="70">
        <v>0</v>
      </c>
      <c r="WDX76" s="70">
        <v>0</v>
      </c>
      <c r="WDY76" s="70">
        <v>0</v>
      </c>
      <c r="WDZ76" s="70">
        <v>0</v>
      </c>
      <c r="WEA76" s="70">
        <v>0</v>
      </c>
      <c r="WEB76" s="70">
        <v>0</v>
      </c>
      <c r="WEC76" s="70">
        <v>0</v>
      </c>
      <c r="WED76" s="70">
        <v>0</v>
      </c>
      <c r="WEE76" s="70">
        <v>0</v>
      </c>
      <c r="WEF76" s="70">
        <v>0</v>
      </c>
      <c r="WEG76" s="70">
        <v>0</v>
      </c>
      <c r="WEH76" s="70">
        <v>0</v>
      </c>
      <c r="WEI76" s="70">
        <v>0</v>
      </c>
      <c r="WEJ76" s="70">
        <v>0</v>
      </c>
      <c r="WEK76" s="70">
        <v>0</v>
      </c>
      <c r="WEL76" s="70">
        <v>0</v>
      </c>
      <c r="WEM76" s="70">
        <v>0</v>
      </c>
      <c r="WEN76" s="70">
        <v>0</v>
      </c>
      <c r="WEO76" s="70">
        <v>0</v>
      </c>
      <c r="WEP76" s="70">
        <v>0</v>
      </c>
      <c r="WEQ76" s="70">
        <v>0</v>
      </c>
      <c r="WER76" s="70">
        <v>0</v>
      </c>
      <c r="WES76" s="70">
        <v>0</v>
      </c>
      <c r="WET76" s="70">
        <v>0</v>
      </c>
      <c r="WEU76" s="70">
        <v>0</v>
      </c>
      <c r="WEV76" s="70">
        <v>0</v>
      </c>
      <c r="WEW76" s="70">
        <v>0</v>
      </c>
      <c r="WEX76" s="70">
        <v>0</v>
      </c>
      <c r="WEY76" s="70">
        <v>0</v>
      </c>
      <c r="WEZ76" s="70">
        <v>0</v>
      </c>
      <c r="WFA76" s="70">
        <v>0</v>
      </c>
      <c r="WFB76" s="70">
        <v>0</v>
      </c>
      <c r="WFC76" s="70">
        <v>0</v>
      </c>
      <c r="WFD76" s="70">
        <v>0</v>
      </c>
      <c r="WFE76" s="70">
        <v>0</v>
      </c>
      <c r="WFF76" s="70">
        <v>0</v>
      </c>
      <c r="WFG76" s="70">
        <v>0</v>
      </c>
      <c r="WFH76" s="70">
        <v>0</v>
      </c>
      <c r="WFI76" s="70">
        <v>0</v>
      </c>
      <c r="WFJ76" s="70">
        <v>0</v>
      </c>
      <c r="WFK76" s="70">
        <v>0</v>
      </c>
      <c r="WFL76" s="70">
        <v>0</v>
      </c>
      <c r="WFM76" s="70">
        <v>0</v>
      </c>
      <c r="WFN76" s="70">
        <v>0</v>
      </c>
      <c r="WFO76" s="70">
        <v>0</v>
      </c>
      <c r="WFP76" s="70">
        <v>0</v>
      </c>
      <c r="WFQ76" s="70">
        <v>0</v>
      </c>
      <c r="WFR76" s="70">
        <v>0</v>
      </c>
      <c r="WFS76" s="70">
        <v>0</v>
      </c>
      <c r="WFT76" s="70">
        <v>0</v>
      </c>
      <c r="WFU76" s="70">
        <v>0</v>
      </c>
      <c r="WFV76" s="70">
        <v>0</v>
      </c>
      <c r="WFW76" s="70">
        <v>0</v>
      </c>
      <c r="WFX76" s="70">
        <v>0</v>
      </c>
      <c r="WFY76" s="70">
        <v>0</v>
      </c>
      <c r="WFZ76" s="70">
        <v>0</v>
      </c>
      <c r="WGA76" s="70">
        <v>0</v>
      </c>
      <c r="WGB76" s="70">
        <v>0</v>
      </c>
      <c r="WGC76" s="70">
        <v>0</v>
      </c>
      <c r="WGD76" s="70">
        <v>0</v>
      </c>
      <c r="WGE76" s="70">
        <v>0</v>
      </c>
      <c r="WGF76" s="70">
        <v>0</v>
      </c>
      <c r="WGG76" s="70">
        <v>0</v>
      </c>
      <c r="WGH76" s="70">
        <v>0</v>
      </c>
      <c r="WGI76" s="70">
        <v>0</v>
      </c>
      <c r="WGJ76" s="70">
        <v>0</v>
      </c>
      <c r="WGK76" s="70">
        <v>0</v>
      </c>
      <c r="WGL76" s="70">
        <v>0</v>
      </c>
      <c r="WGM76" s="70">
        <v>0</v>
      </c>
      <c r="WGN76" s="70">
        <v>0</v>
      </c>
      <c r="WGO76" s="70">
        <v>0</v>
      </c>
      <c r="WGP76" s="70">
        <v>0</v>
      </c>
      <c r="WGQ76" s="70">
        <v>0</v>
      </c>
      <c r="WGR76" s="70">
        <v>0</v>
      </c>
      <c r="WGS76" s="70">
        <v>0</v>
      </c>
      <c r="WGT76" s="70">
        <v>0</v>
      </c>
      <c r="WGU76" s="70">
        <v>0</v>
      </c>
      <c r="WGV76" s="70">
        <v>0</v>
      </c>
      <c r="WGW76" s="70">
        <v>0</v>
      </c>
      <c r="WGX76" s="70">
        <v>0</v>
      </c>
      <c r="WGY76" s="70">
        <v>0</v>
      </c>
      <c r="WGZ76" s="70">
        <v>0</v>
      </c>
      <c r="WHA76" s="70">
        <v>0</v>
      </c>
      <c r="WHB76" s="70">
        <v>0</v>
      </c>
      <c r="WHC76" s="70">
        <v>0</v>
      </c>
      <c r="WHD76" s="70">
        <v>0</v>
      </c>
      <c r="WHE76" s="70">
        <v>0</v>
      </c>
      <c r="WHF76" s="70">
        <v>0</v>
      </c>
      <c r="WHG76" s="70">
        <v>0</v>
      </c>
      <c r="WHH76" s="70">
        <v>0</v>
      </c>
      <c r="WHI76" s="70">
        <v>0</v>
      </c>
      <c r="WHJ76" s="70">
        <v>0</v>
      </c>
      <c r="WHK76" s="70">
        <v>0</v>
      </c>
      <c r="WHL76" s="70">
        <v>0</v>
      </c>
      <c r="WHM76" s="70">
        <v>0</v>
      </c>
      <c r="WHN76" s="70">
        <v>0</v>
      </c>
      <c r="WHO76" s="70">
        <v>0</v>
      </c>
      <c r="WHP76" s="70">
        <v>0</v>
      </c>
      <c r="WHQ76" s="70">
        <v>0</v>
      </c>
      <c r="WHR76" s="70">
        <v>0</v>
      </c>
      <c r="WHS76" s="70">
        <v>0</v>
      </c>
      <c r="WHT76" s="70">
        <v>0</v>
      </c>
      <c r="WHU76" s="70">
        <v>0</v>
      </c>
      <c r="WHV76" s="70">
        <v>0</v>
      </c>
      <c r="WHW76" s="70">
        <v>0</v>
      </c>
      <c r="WHX76" s="70">
        <v>0</v>
      </c>
      <c r="WHY76" s="70">
        <v>0</v>
      </c>
      <c r="WHZ76" s="70">
        <v>0</v>
      </c>
      <c r="WIA76" s="70">
        <v>0</v>
      </c>
      <c r="WIB76" s="70">
        <v>0</v>
      </c>
      <c r="WIC76" s="70">
        <v>0</v>
      </c>
      <c r="WID76" s="70">
        <v>0</v>
      </c>
      <c r="WIE76" s="70">
        <v>0</v>
      </c>
      <c r="WIF76" s="70">
        <v>0</v>
      </c>
      <c r="WIG76" s="70">
        <v>0</v>
      </c>
      <c r="WIH76" s="70">
        <v>0</v>
      </c>
      <c r="WII76" s="70">
        <v>0</v>
      </c>
      <c r="WIJ76" s="70">
        <v>0</v>
      </c>
      <c r="WIK76" s="70">
        <v>0</v>
      </c>
      <c r="WIL76" s="70">
        <v>0</v>
      </c>
      <c r="WIM76" s="70">
        <v>0</v>
      </c>
      <c r="WIN76" s="70">
        <v>0</v>
      </c>
      <c r="WIO76" s="70">
        <v>0</v>
      </c>
      <c r="WIP76" s="70">
        <v>0</v>
      </c>
      <c r="WIQ76" s="70">
        <v>0</v>
      </c>
      <c r="WIR76" s="70">
        <v>0</v>
      </c>
      <c r="WIS76" s="70">
        <v>0</v>
      </c>
      <c r="WIT76" s="70">
        <v>0</v>
      </c>
      <c r="WIU76" s="70">
        <v>0</v>
      </c>
      <c r="WIV76" s="70">
        <v>0</v>
      </c>
      <c r="WIW76" s="70">
        <v>0</v>
      </c>
      <c r="WIX76" s="70">
        <v>0</v>
      </c>
      <c r="WIY76" s="70">
        <v>0</v>
      </c>
      <c r="WIZ76" s="70">
        <v>0</v>
      </c>
      <c r="WJA76" s="70">
        <v>0</v>
      </c>
      <c r="WJB76" s="70">
        <v>0</v>
      </c>
      <c r="WJC76" s="70">
        <v>0</v>
      </c>
      <c r="WJD76" s="70">
        <v>0</v>
      </c>
      <c r="WJE76" s="70">
        <v>0</v>
      </c>
      <c r="WJF76" s="70">
        <v>0</v>
      </c>
      <c r="WJG76" s="70">
        <v>0</v>
      </c>
      <c r="WJH76" s="70">
        <v>0</v>
      </c>
      <c r="WJI76" s="70">
        <v>0</v>
      </c>
      <c r="WJJ76" s="70">
        <v>0</v>
      </c>
      <c r="WJK76" s="70">
        <v>0</v>
      </c>
      <c r="WJL76" s="70">
        <v>0</v>
      </c>
      <c r="WJM76" s="70">
        <v>0</v>
      </c>
      <c r="WJN76" s="70">
        <v>0</v>
      </c>
      <c r="WJO76" s="70">
        <v>0</v>
      </c>
      <c r="WJP76" s="70">
        <v>0</v>
      </c>
      <c r="WJQ76" s="70">
        <v>0</v>
      </c>
      <c r="WJR76" s="70">
        <v>0</v>
      </c>
      <c r="WJS76" s="70">
        <v>0</v>
      </c>
      <c r="WJT76" s="70">
        <v>0</v>
      </c>
      <c r="WJU76" s="70">
        <v>0</v>
      </c>
      <c r="WJV76" s="70">
        <v>0</v>
      </c>
      <c r="WJW76" s="70">
        <v>0</v>
      </c>
      <c r="WJX76" s="70">
        <v>0</v>
      </c>
      <c r="WJY76" s="70">
        <v>0</v>
      </c>
      <c r="WJZ76" s="70">
        <v>0</v>
      </c>
      <c r="WKA76" s="70">
        <v>0</v>
      </c>
      <c r="WKB76" s="70">
        <v>0</v>
      </c>
      <c r="WKC76" s="70">
        <v>0</v>
      </c>
      <c r="WKD76" s="70">
        <v>0</v>
      </c>
      <c r="WKE76" s="70">
        <v>0</v>
      </c>
      <c r="WKF76" s="70">
        <v>0</v>
      </c>
      <c r="WKG76" s="70">
        <v>0</v>
      </c>
      <c r="WKH76" s="70">
        <v>0</v>
      </c>
      <c r="WKI76" s="70">
        <v>0</v>
      </c>
      <c r="WKJ76" s="70">
        <v>0</v>
      </c>
      <c r="WKK76" s="70">
        <v>0</v>
      </c>
      <c r="WKL76" s="70">
        <v>0</v>
      </c>
      <c r="WKM76" s="70">
        <v>0</v>
      </c>
      <c r="WKN76" s="70">
        <v>0</v>
      </c>
      <c r="WKO76" s="70">
        <v>0</v>
      </c>
      <c r="WKP76" s="70">
        <v>0</v>
      </c>
      <c r="WKQ76" s="70">
        <v>0</v>
      </c>
      <c r="WKR76" s="70">
        <v>0</v>
      </c>
      <c r="WKS76" s="70">
        <v>0</v>
      </c>
      <c r="WKT76" s="70">
        <v>0</v>
      </c>
      <c r="WKU76" s="70">
        <v>0</v>
      </c>
      <c r="WKV76" s="70">
        <v>0</v>
      </c>
      <c r="WKW76" s="70">
        <v>0</v>
      </c>
      <c r="WKX76" s="70">
        <v>0</v>
      </c>
      <c r="WKY76" s="70">
        <v>0</v>
      </c>
      <c r="WKZ76" s="70">
        <v>0</v>
      </c>
      <c r="WLA76" s="70">
        <v>0</v>
      </c>
      <c r="WLB76" s="70">
        <v>0</v>
      </c>
      <c r="WLC76" s="70">
        <v>0</v>
      </c>
      <c r="WLD76" s="70">
        <v>0</v>
      </c>
      <c r="WLE76" s="70">
        <v>0</v>
      </c>
      <c r="WLF76" s="70">
        <v>0</v>
      </c>
      <c r="WLG76" s="70">
        <v>0</v>
      </c>
      <c r="WLH76" s="70">
        <v>0</v>
      </c>
      <c r="WLI76" s="70">
        <v>0</v>
      </c>
      <c r="WLJ76" s="70">
        <v>0</v>
      </c>
      <c r="WLK76" s="70">
        <v>0</v>
      </c>
      <c r="WLL76" s="70">
        <v>0</v>
      </c>
      <c r="WLM76" s="70">
        <v>0</v>
      </c>
      <c r="WLN76" s="70">
        <v>0</v>
      </c>
      <c r="WLO76" s="70">
        <v>0</v>
      </c>
      <c r="WLP76" s="70">
        <v>0</v>
      </c>
      <c r="WLQ76" s="70">
        <v>0</v>
      </c>
      <c r="WLR76" s="70">
        <v>0</v>
      </c>
      <c r="WLS76" s="70">
        <v>0</v>
      </c>
      <c r="WLT76" s="70">
        <v>0</v>
      </c>
      <c r="WLU76" s="70">
        <v>0</v>
      </c>
      <c r="WLV76" s="70">
        <v>0</v>
      </c>
      <c r="WLW76" s="70">
        <v>0</v>
      </c>
      <c r="WLX76" s="70">
        <v>0</v>
      </c>
      <c r="WLY76" s="70">
        <v>0</v>
      </c>
      <c r="WLZ76" s="70">
        <v>0</v>
      </c>
      <c r="WMA76" s="70">
        <v>0</v>
      </c>
      <c r="WMB76" s="70">
        <v>0</v>
      </c>
      <c r="WMC76" s="70">
        <v>0</v>
      </c>
      <c r="WMD76" s="70">
        <v>0</v>
      </c>
      <c r="WME76" s="70">
        <v>0</v>
      </c>
      <c r="WMF76" s="70">
        <v>0</v>
      </c>
      <c r="WMG76" s="70">
        <v>0</v>
      </c>
      <c r="WMH76" s="70">
        <v>0</v>
      </c>
      <c r="WMI76" s="70">
        <v>0</v>
      </c>
      <c r="WMJ76" s="70">
        <v>0</v>
      </c>
      <c r="WMK76" s="70">
        <v>0</v>
      </c>
      <c r="WML76" s="70">
        <v>0</v>
      </c>
      <c r="WMM76" s="70">
        <v>0</v>
      </c>
      <c r="WMN76" s="70">
        <v>0</v>
      </c>
      <c r="WMO76" s="70">
        <v>0</v>
      </c>
      <c r="WMP76" s="70">
        <v>0</v>
      </c>
      <c r="WMQ76" s="70">
        <v>0</v>
      </c>
      <c r="WMR76" s="70">
        <v>0</v>
      </c>
      <c r="WMS76" s="70">
        <v>0</v>
      </c>
      <c r="WMT76" s="70">
        <v>0</v>
      </c>
      <c r="WMU76" s="70">
        <v>0</v>
      </c>
      <c r="WMV76" s="70">
        <v>0</v>
      </c>
      <c r="WMW76" s="70">
        <v>0</v>
      </c>
      <c r="WMX76" s="70">
        <v>0</v>
      </c>
      <c r="WMY76" s="70">
        <v>0</v>
      </c>
      <c r="WMZ76" s="70">
        <v>0</v>
      </c>
      <c r="WNA76" s="70">
        <v>0</v>
      </c>
      <c r="WNB76" s="70">
        <v>0</v>
      </c>
      <c r="WNC76" s="70">
        <v>0</v>
      </c>
      <c r="WND76" s="70">
        <v>0</v>
      </c>
      <c r="WNE76" s="70">
        <v>0</v>
      </c>
      <c r="WNF76" s="70">
        <v>0</v>
      </c>
      <c r="WNG76" s="70">
        <v>0</v>
      </c>
      <c r="WNH76" s="70">
        <v>0</v>
      </c>
      <c r="WNI76" s="70">
        <v>0</v>
      </c>
      <c r="WNJ76" s="70">
        <v>0</v>
      </c>
      <c r="WNK76" s="70">
        <v>0</v>
      </c>
      <c r="WNL76" s="70">
        <v>0</v>
      </c>
      <c r="WNM76" s="70">
        <v>0</v>
      </c>
      <c r="WNN76" s="70">
        <v>0</v>
      </c>
      <c r="WNO76" s="70">
        <v>0</v>
      </c>
      <c r="WNP76" s="70">
        <v>0</v>
      </c>
      <c r="WNQ76" s="70">
        <v>0</v>
      </c>
      <c r="WNR76" s="70">
        <v>0</v>
      </c>
      <c r="WNS76" s="70">
        <v>0</v>
      </c>
      <c r="WNT76" s="70">
        <v>0</v>
      </c>
      <c r="WNU76" s="70">
        <v>0</v>
      </c>
      <c r="WNV76" s="70">
        <v>0</v>
      </c>
      <c r="WNW76" s="70">
        <v>0</v>
      </c>
      <c r="WNX76" s="70">
        <v>0</v>
      </c>
      <c r="WNY76" s="70">
        <v>0</v>
      </c>
      <c r="WNZ76" s="70">
        <v>0</v>
      </c>
      <c r="WOA76" s="70">
        <v>0</v>
      </c>
      <c r="WOB76" s="70">
        <v>0</v>
      </c>
      <c r="WOC76" s="70">
        <v>0</v>
      </c>
      <c r="WOD76" s="70">
        <v>0</v>
      </c>
      <c r="WOE76" s="70">
        <v>0</v>
      </c>
      <c r="WOF76" s="70">
        <v>0</v>
      </c>
      <c r="WOG76" s="70">
        <v>0</v>
      </c>
      <c r="WOH76" s="70">
        <v>0</v>
      </c>
      <c r="WOI76" s="70">
        <v>0</v>
      </c>
      <c r="WOJ76" s="70">
        <v>0</v>
      </c>
      <c r="WOK76" s="70">
        <v>0</v>
      </c>
      <c r="WOL76" s="70">
        <v>0</v>
      </c>
      <c r="WOM76" s="70">
        <v>0</v>
      </c>
      <c r="WON76" s="70">
        <v>0</v>
      </c>
      <c r="WOO76" s="70">
        <v>0</v>
      </c>
      <c r="WOP76" s="70">
        <v>0</v>
      </c>
      <c r="WOQ76" s="70">
        <v>0</v>
      </c>
      <c r="WOR76" s="70">
        <v>0</v>
      </c>
      <c r="WOS76" s="70">
        <v>0</v>
      </c>
      <c r="WOT76" s="70">
        <v>0</v>
      </c>
      <c r="WOU76" s="70">
        <v>0</v>
      </c>
      <c r="WOV76" s="70">
        <v>0</v>
      </c>
      <c r="WOW76" s="70">
        <v>0</v>
      </c>
      <c r="WOX76" s="70">
        <v>0</v>
      </c>
      <c r="WOY76" s="70">
        <v>0</v>
      </c>
      <c r="WOZ76" s="70">
        <v>0</v>
      </c>
      <c r="WPA76" s="70">
        <v>0</v>
      </c>
      <c r="WPB76" s="70">
        <v>0</v>
      </c>
      <c r="WPC76" s="70">
        <v>0</v>
      </c>
      <c r="WPD76" s="70">
        <v>0</v>
      </c>
      <c r="WPE76" s="70">
        <v>0</v>
      </c>
      <c r="WPF76" s="70">
        <v>0</v>
      </c>
      <c r="WPG76" s="70">
        <v>0</v>
      </c>
      <c r="WPH76" s="70">
        <v>0</v>
      </c>
      <c r="WPI76" s="70">
        <v>0</v>
      </c>
      <c r="WPJ76" s="70">
        <v>0</v>
      </c>
      <c r="WPK76" s="70">
        <v>0</v>
      </c>
      <c r="WPL76" s="70">
        <v>0</v>
      </c>
      <c r="WPM76" s="70">
        <v>0</v>
      </c>
      <c r="WPN76" s="70">
        <v>0</v>
      </c>
      <c r="WPO76" s="70">
        <v>0</v>
      </c>
      <c r="WPP76" s="70">
        <v>0</v>
      </c>
      <c r="WPQ76" s="70">
        <v>0</v>
      </c>
      <c r="WPR76" s="70">
        <v>0</v>
      </c>
      <c r="WPS76" s="70">
        <v>0</v>
      </c>
      <c r="WPT76" s="70">
        <v>0</v>
      </c>
      <c r="WPU76" s="70">
        <v>0</v>
      </c>
      <c r="WPV76" s="70">
        <v>0</v>
      </c>
      <c r="WPW76" s="70">
        <v>0</v>
      </c>
      <c r="WPX76" s="70">
        <v>0</v>
      </c>
      <c r="WPY76" s="70">
        <v>0</v>
      </c>
      <c r="WPZ76" s="70">
        <v>0</v>
      </c>
      <c r="WQA76" s="70">
        <v>0</v>
      </c>
      <c r="WQB76" s="70">
        <v>0</v>
      </c>
      <c r="WQC76" s="70">
        <v>0</v>
      </c>
      <c r="WQD76" s="70">
        <v>0</v>
      </c>
      <c r="WQE76" s="70">
        <v>0</v>
      </c>
      <c r="WQF76" s="70">
        <v>0</v>
      </c>
      <c r="WQG76" s="70">
        <v>0</v>
      </c>
      <c r="WQH76" s="70">
        <v>0</v>
      </c>
      <c r="WQI76" s="70">
        <v>0</v>
      </c>
      <c r="WQJ76" s="70">
        <v>0</v>
      </c>
      <c r="WQK76" s="70">
        <v>0</v>
      </c>
      <c r="WQL76" s="70">
        <v>0</v>
      </c>
      <c r="WQM76" s="70">
        <v>0</v>
      </c>
      <c r="WQN76" s="70">
        <v>0</v>
      </c>
      <c r="WQO76" s="70">
        <v>0</v>
      </c>
      <c r="WQP76" s="70">
        <v>0</v>
      </c>
      <c r="WQQ76" s="70">
        <v>0</v>
      </c>
      <c r="WQR76" s="70">
        <v>0</v>
      </c>
      <c r="WQS76" s="70">
        <v>0</v>
      </c>
      <c r="WQT76" s="70">
        <v>0</v>
      </c>
      <c r="WQU76" s="70">
        <v>0</v>
      </c>
      <c r="WQV76" s="70">
        <v>0</v>
      </c>
      <c r="WQW76" s="70">
        <v>0</v>
      </c>
      <c r="WQX76" s="70">
        <v>0</v>
      </c>
      <c r="WQY76" s="70">
        <v>0</v>
      </c>
      <c r="WQZ76" s="70">
        <v>0</v>
      </c>
      <c r="WRA76" s="70">
        <v>0</v>
      </c>
      <c r="WRB76" s="70">
        <v>0</v>
      </c>
      <c r="WRC76" s="70">
        <v>0</v>
      </c>
      <c r="WRD76" s="70">
        <v>0</v>
      </c>
      <c r="WRE76" s="70">
        <v>0</v>
      </c>
      <c r="WRF76" s="70">
        <v>0</v>
      </c>
      <c r="WRG76" s="70">
        <v>0</v>
      </c>
      <c r="WRH76" s="70">
        <v>0</v>
      </c>
      <c r="WRI76" s="70">
        <v>0</v>
      </c>
      <c r="WRJ76" s="70">
        <v>0</v>
      </c>
      <c r="WRK76" s="70">
        <v>0</v>
      </c>
      <c r="WRL76" s="70">
        <v>0</v>
      </c>
      <c r="WRM76" s="70">
        <v>0</v>
      </c>
      <c r="WRN76" s="70">
        <v>0</v>
      </c>
      <c r="WRO76" s="70">
        <v>0</v>
      </c>
      <c r="WRP76" s="70">
        <v>0</v>
      </c>
      <c r="WRQ76" s="70">
        <v>0</v>
      </c>
      <c r="WRR76" s="70">
        <v>0</v>
      </c>
      <c r="WRS76" s="70">
        <v>0</v>
      </c>
      <c r="WRT76" s="70">
        <v>0</v>
      </c>
      <c r="WRU76" s="70">
        <v>0</v>
      </c>
      <c r="WRV76" s="70">
        <v>0</v>
      </c>
      <c r="WRW76" s="70">
        <v>0</v>
      </c>
      <c r="WRX76" s="70">
        <v>0</v>
      </c>
      <c r="WRY76" s="70">
        <v>0</v>
      </c>
      <c r="WRZ76" s="70">
        <v>0</v>
      </c>
      <c r="WSA76" s="70">
        <v>0</v>
      </c>
      <c r="WSB76" s="70">
        <v>0</v>
      </c>
      <c r="WSC76" s="70">
        <v>0</v>
      </c>
      <c r="WSD76" s="70">
        <v>0</v>
      </c>
      <c r="WSE76" s="70">
        <v>0</v>
      </c>
      <c r="WSF76" s="70">
        <v>0</v>
      </c>
      <c r="WSG76" s="70">
        <v>0</v>
      </c>
      <c r="WSH76" s="70">
        <v>0</v>
      </c>
      <c r="WSI76" s="70">
        <v>0</v>
      </c>
      <c r="WSJ76" s="70">
        <v>0</v>
      </c>
      <c r="WSK76" s="70">
        <v>0</v>
      </c>
      <c r="WSL76" s="70">
        <v>0</v>
      </c>
      <c r="WSM76" s="70">
        <v>0</v>
      </c>
      <c r="WSN76" s="70">
        <v>0</v>
      </c>
      <c r="WSO76" s="70">
        <v>0</v>
      </c>
      <c r="WSP76" s="70">
        <v>0</v>
      </c>
      <c r="WSQ76" s="70">
        <v>0</v>
      </c>
      <c r="WSR76" s="70">
        <v>0</v>
      </c>
      <c r="WSS76" s="70">
        <v>0</v>
      </c>
      <c r="WST76" s="70">
        <v>0</v>
      </c>
      <c r="WSU76" s="70">
        <v>0</v>
      </c>
      <c r="WSV76" s="70">
        <v>0</v>
      </c>
      <c r="WSW76" s="70">
        <v>0</v>
      </c>
      <c r="WSX76" s="70">
        <v>0</v>
      </c>
      <c r="WSY76" s="70">
        <v>0</v>
      </c>
      <c r="WSZ76" s="70">
        <v>0</v>
      </c>
      <c r="WTA76" s="70">
        <v>0</v>
      </c>
      <c r="WTB76" s="70">
        <v>0</v>
      </c>
      <c r="WTC76" s="70">
        <v>0</v>
      </c>
      <c r="WTD76" s="70">
        <v>0</v>
      </c>
      <c r="WTE76" s="70">
        <v>0</v>
      </c>
      <c r="WTF76" s="70">
        <v>0</v>
      </c>
      <c r="WTG76" s="70">
        <v>0</v>
      </c>
      <c r="WTH76" s="70">
        <v>0</v>
      </c>
      <c r="WTI76" s="70">
        <v>0</v>
      </c>
      <c r="WTJ76" s="70">
        <v>0</v>
      </c>
      <c r="WTK76" s="70">
        <v>0</v>
      </c>
      <c r="WTL76" s="70">
        <v>0</v>
      </c>
      <c r="WTM76" s="70">
        <v>0</v>
      </c>
      <c r="WTN76" s="70">
        <v>0</v>
      </c>
      <c r="WTO76" s="70">
        <v>0</v>
      </c>
      <c r="WTP76" s="70">
        <v>0</v>
      </c>
      <c r="WTQ76" s="70">
        <v>0</v>
      </c>
      <c r="WTR76" s="70">
        <v>0</v>
      </c>
      <c r="WTS76" s="70">
        <v>0</v>
      </c>
      <c r="WTT76" s="70">
        <v>0</v>
      </c>
      <c r="WTU76" s="70">
        <v>0</v>
      </c>
      <c r="WTV76" s="70">
        <v>0</v>
      </c>
      <c r="WTW76" s="70">
        <v>0</v>
      </c>
      <c r="WTX76" s="70">
        <v>0</v>
      </c>
      <c r="WTY76" s="70">
        <v>0</v>
      </c>
      <c r="WTZ76" s="70">
        <v>0</v>
      </c>
      <c r="WUA76" s="70">
        <v>0</v>
      </c>
      <c r="WUB76" s="70">
        <v>0</v>
      </c>
      <c r="WUC76" s="70">
        <v>0</v>
      </c>
      <c r="WUD76" s="70">
        <v>0</v>
      </c>
      <c r="WUE76" s="70">
        <v>0</v>
      </c>
      <c r="WUF76" s="70">
        <v>0</v>
      </c>
      <c r="WUG76" s="70">
        <v>0</v>
      </c>
      <c r="WUH76" s="70">
        <v>0</v>
      </c>
      <c r="WUI76" s="70">
        <v>0</v>
      </c>
      <c r="WUJ76" s="70">
        <v>0</v>
      </c>
      <c r="WUK76" s="70">
        <v>0</v>
      </c>
      <c r="WUL76" s="70">
        <v>0</v>
      </c>
      <c r="WUM76" s="70">
        <v>0</v>
      </c>
      <c r="WUN76" s="70">
        <v>0</v>
      </c>
      <c r="WUO76" s="70">
        <v>0</v>
      </c>
      <c r="WUP76" s="70">
        <v>0</v>
      </c>
      <c r="WUQ76" s="70">
        <v>0</v>
      </c>
      <c r="WUR76" s="70">
        <v>0</v>
      </c>
      <c r="WUS76" s="70">
        <v>0</v>
      </c>
      <c r="WUT76" s="70">
        <v>0</v>
      </c>
      <c r="WUU76" s="70">
        <v>0</v>
      </c>
      <c r="WUV76" s="70">
        <v>0</v>
      </c>
      <c r="WUW76" s="70">
        <v>0</v>
      </c>
      <c r="WUX76" s="70">
        <v>0</v>
      </c>
      <c r="WUY76" s="70">
        <v>0</v>
      </c>
      <c r="WUZ76" s="70">
        <v>0</v>
      </c>
      <c r="WVA76" s="70">
        <v>0</v>
      </c>
      <c r="WVB76" s="70">
        <v>0</v>
      </c>
      <c r="WVC76" s="70">
        <v>0</v>
      </c>
      <c r="WVD76" s="70">
        <v>0</v>
      </c>
      <c r="WVE76" s="70">
        <v>0</v>
      </c>
      <c r="WVF76" s="70">
        <v>0</v>
      </c>
      <c r="WVG76" s="70">
        <v>0</v>
      </c>
      <c r="WVH76" s="70">
        <v>0</v>
      </c>
      <c r="WVI76" s="70">
        <v>0</v>
      </c>
      <c r="WVJ76" s="70">
        <v>0</v>
      </c>
      <c r="WVK76" s="70">
        <v>0</v>
      </c>
      <c r="WVL76" s="70">
        <v>0</v>
      </c>
      <c r="WVM76" s="70">
        <v>0</v>
      </c>
      <c r="WVN76" s="70">
        <v>0</v>
      </c>
      <c r="WVO76" s="70">
        <v>0</v>
      </c>
      <c r="WVP76" s="70">
        <v>0</v>
      </c>
      <c r="WVQ76" s="70">
        <v>0</v>
      </c>
      <c r="WVR76" s="70">
        <v>0</v>
      </c>
      <c r="WVS76" s="70">
        <v>0</v>
      </c>
      <c r="WVT76" s="70">
        <v>0</v>
      </c>
      <c r="WVU76" s="70">
        <v>0</v>
      </c>
      <c r="WVV76" s="70">
        <v>0</v>
      </c>
      <c r="WVW76" s="70">
        <v>0</v>
      </c>
      <c r="WVX76" s="70">
        <v>0</v>
      </c>
      <c r="WVY76" s="70">
        <v>0</v>
      </c>
      <c r="WVZ76" s="70">
        <v>0</v>
      </c>
      <c r="WWA76" s="70">
        <v>0</v>
      </c>
      <c r="WWB76" s="70">
        <v>0</v>
      </c>
      <c r="WWC76" s="70">
        <v>0</v>
      </c>
      <c r="WWD76" s="70">
        <v>0</v>
      </c>
      <c r="WWE76" s="70">
        <v>0</v>
      </c>
      <c r="WWF76" s="70">
        <v>0</v>
      </c>
      <c r="WWG76" s="70">
        <v>0</v>
      </c>
      <c r="WWH76" s="70">
        <v>0</v>
      </c>
      <c r="WWI76" s="70">
        <v>0</v>
      </c>
      <c r="WWJ76" s="70">
        <v>0</v>
      </c>
      <c r="WWK76" s="70">
        <v>0</v>
      </c>
      <c r="WWL76" s="70">
        <v>0</v>
      </c>
      <c r="WWM76" s="70">
        <v>0</v>
      </c>
      <c r="WWN76" s="70">
        <v>0</v>
      </c>
      <c r="WWO76" s="70">
        <v>0</v>
      </c>
      <c r="WWP76" s="70">
        <v>0</v>
      </c>
      <c r="WWQ76" s="70">
        <v>0</v>
      </c>
      <c r="WWR76" s="70">
        <v>0</v>
      </c>
      <c r="WWS76" s="70">
        <v>0</v>
      </c>
      <c r="WWT76" s="70">
        <v>0</v>
      </c>
      <c r="WWU76" s="70">
        <v>0</v>
      </c>
      <c r="WWV76" s="70">
        <v>0</v>
      </c>
      <c r="WWW76" s="70">
        <v>0</v>
      </c>
      <c r="WWX76" s="70">
        <v>0</v>
      </c>
      <c r="WWY76" s="70">
        <v>0</v>
      </c>
      <c r="WWZ76" s="70">
        <v>0</v>
      </c>
      <c r="WXA76" s="70">
        <v>0</v>
      </c>
      <c r="WXB76" s="70">
        <v>0</v>
      </c>
      <c r="WXC76" s="70">
        <v>0</v>
      </c>
      <c r="WXD76" s="70">
        <v>0</v>
      </c>
      <c r="WXE76" s="70">
        <v>0</v>
      </c>
      <c r="WXF76" s="70">
        <v>0</v>
      </c>
      <c r="WXG76" s="70">
        <v>0</v>
      </c>
      <c r="WXH76" s="70">
        <v>0</v>
      </c>
      <c r="WXI76" s="70">
        <v>0</v>
      </c>
      <c r="WXJ76" s="70">
        <v>0</v>
      </c>
      <c r="WXK76" s="70">
        <v>0</v>
      </c>
      <c r="WXL76" s="70">
        <v>0</v>
      </c>
      <c r="WXM76" s="70">
        <v>0</v>
      </c>
      <c r="WXN76" s="70">
        <v>0</v>
      </c>
      <c r="WXO76" s="70">
        <v>0</v>
      </c>
      <c r="WXP76" s="70">
        <v>0</v>
      </c>
      <c r="WXQ76" s="70">
        <v>0</v>
      </c>
      <c r="WXR76" s="70">
        <v>0</v>
      </c>
      <c r="WXS76" s="70">
        <v>0</v>
      </c>
      <c r="WXT76" s="70">
        <v>0</v>
      </c>
      <c r="WXU76" s="70">
        <v>0</v>
      </c>
      <c r="WXV76" s="70">
        <v>0</v>
      </c>
      <c r="WXW76" s="70">
        <v>0</v>
      </c>
      <c r="WXX76" s="70">
        <v>0</v>
      </c>
      <c r="WXY76" s="70">
        <v>0</v>
      </c>
      <c r="WXZ76" s="70">
        <v>0</v>
      </c>
      <c r="WYA76" s="70">
        <v>0</v>
      </c>
      <c r="WYB76" s="70">
        <v>0</v>
      </c>
      <c r="WYC76" s="70">
        <v>0</v>
      </c>
      <c r="WYD76" s="70">
        <v>0</v>
      </c>
      <c r="WYE76" s="70">
        <v>0</v>
      </c>
      <c r="WYF76" s="70">
        <v>0</v>
      </c>
      <c r="WYG76" s="70">
        <v>0</v>
      </c>
      <c r="WYH76" s="70">
        <v>0</v>
      </c>
      <c r="WYI76" s="70">
        <v>0</v>
      </c>
      <c r="WYJ76" s="70">
        <v>0</v>
      </c>
      <c r="WYK76" s="70">
        <v>0</v>
      </c>
      <c r="WYL76" s="70">
        <v>0</v>
      </c>
      <c r="WYM76" s="70">
        <v>0</v>
      </c>
      <c r="WYN76" s="70">
        <v>0</v>
      </c>
      <c r="WYO76" s="70">
        <v>0</v>
      </c>
      <c r="WYP76" s="70">
        <v>0</v>
      </c>
      <c r="WYQ76" s="70">
        <v>0</v>
      </c>
      <c r="WYR76" s="70">
        <v>0</v>
      </c>
      <c r="WYS76" s="70">
        <v>0</v>
      </c>
      <c r="WYT76" s="70">
        <v>0</v>
      </c>
      <c r="WYU76" s="70">
        <v>0</v>
      </c>
      <c r="WYV76" s="70">
        <v>0</v>
      </c>
      <c r="WYW76" s="70">
        <v>0</v>
      </c>
      <c r="WYX76" s="70">
        <v>0</v>
      </c>
      <c r="WYY76" s="70">
        <v>0</v>
      </c>
      <c r="WYZ76" s="70">
        <v>0</v>
      </c>
      <c r="WZA76" s="70">
        <v>0</v>
      </c>
      <c r="WZB76" s="70">
        <v>0</v>
      </c>
      <c r="WZC76" s="70">
        <v>0</v>
      </c>
      <c r="WZD76" s="70">
        <v>0</v>
      </c>
      <c r="WZE76" s="70">
        <v>0</v>
      </c>
      <c r="WZF76" s="70">
        <v>0</v>
      </c>
      <c r="WZG76" s="70">
        <v>0</v>
      </c>
      <c r="WZH76" s="70">
        <v>0</v>
      </c>
      <c r="WZI76" s="70">
        <v>0</v>
      </c>
      <c r="WZJ76" s="70">
        <v>0</v>
      </c>
      <c r="WZK76" s="70">
        <v>0</v>
      </c>
      <c r="WZL76" s="70">
        <v>0</v>
      </c>
      <c r="WZM76" s="70">
        <v>0</v>
      </c>
      <c r="WZN76" s="70">
        <v>0</v>
      </c>
      <c r="WZO76" s="70">
        <v>0</v>
      </c>
      <c r="WZP76" s="70">
        <v>0</v>
      </c>
      <c r="WZQ76" s="70">
        <v>0</v>
      </c>
      <c r="WZR76" s="70">
        <v>0</v>
      </c>
      <c r="WZS76" s="70">
        <v>0</v>
      </c>
      <c r="WZT76" s="70">
        <v>0</v>
      </c>
      <c r="WZU76" s="70">
        <v>0</v>
      </c>
      <c r="WZV76" s="70">
        <v>0</v>
      </c>
      <c r="WZW76" s="70">
        <v>0</v>
      </c>
      <c r="WZX76" s="70">
        <v>0</v>
      </c>
      <c r="WZY76" s="70">
        <v>0</v>
      </c>
      <c r="WZZ76" s="70">
        <v>0</v>
      </c>
      <c r="XAA76" s="70">
        <v>0</v>
      </c>
      <c r="XAB76" s="70">
        <v>0</v>
      </c>
      <c r="XAC76" s="70">
        <v>0</v>
      </c>
      <c r="XAD76" s="70">
        <v>0</v>
      </c>
      <c r="XAE76" s="70">
        <v>0</v>
      </c>
      <c r="XAF76" s="70">
        <v>0</v>
      </c>
      <c r="XAG76" s="70">
        <v>0</v>
      </c>
      <c r="XAH76" s="70">
        <v>0</v>
      </c>
      <c r="XAI76" s="70">
        <v>0</v>
      </c>
      <c r="XAJ76" s="70">
        <v>0</v>
      </c>
      <c r="XAK76" s="70">
        <v>0</v>
      </c>
      <c r="XAL76" s="70">
        <v>0</v>
      </c>
      <c r="XAM76" s="70">
        <v>0</v>
      </c>
      <c r="XAN76" s="70">
        <v>0</v>
      </c>
      <c r="XAO76" s="70">
        <v>0</v>
      </c>
      <c r="XAP76" s="70">
        <v>0</v>
      </c>
      <c r="XAQ76" s="70">
        <v>0</v>
      </c>
      <c r="XAR76" s="70">
        <v>0</v>
      </c>
      <c r="XAS76" s="70">
        <v>0</v>
      </c>
      <c r="XAT76" s="70">
        <v>0</v>
      </c>
      <c r="XAU76" s="70">
        <v>0</v>
      </c>
      <c r="XAV76" s="70">
        <v>0</v>
      </c>
      <c r="XAW76" s="70">
        <v>0</v>
      </c>
      <c r="XAX76" s="70">
        <v>0</v>
      </c>
      <c r="XAY76" s="70">
        <v>0</v>
      </c>
      <c r="XAZ76" s="70">
        <v>0</v>
      </c>
      <c r="XBA76" s="70">
        <v>0</v>
      </c>
      <c r="XBB76" s="70">
        <v>0</v>
      </c>
      <c r="XBC76" s="70">
        <v>0</v>
      </c>
      <c r="XBD76" s="70">
        <v>0</v>
      </c>
      <c r="XBE76" s="70">
        <v>0</v>
      </c>
      <c r="XBF76" s="70">
        <v>0</v>
      </c>
      <c r="XBG76" s="70">
        <v>0</v>
      </c>
      <c r="XBH76" s="70">
        <v>0</v>
      </c>
      <c r="XBI76" s="70">
        <v>0</v>
      </c>
      <c r="XBJ76" s="70">
        <v>0</v>
      </c>
      <c r="XBK76" s="70">
        <v>0</v>
      </c>
      <c r="XBL76" s="70">
        <v>0</v>
      </c>
      <c r="XBM76" s="70">
        <v>0</v>
      </c>
      <c r="XBN76" s="70">
        <v>0</v>
      </c>
      <c r="XBO76" s="70">
        <v>0</v>
      </c>
      <c r="XBP76" s="70">
        <v>0</v>
      </c>
      <c r="XBQ76" s="70">
        <v>0</v>
      </c>
      <c r="XBR76" s="70">
        <v>0</v>
      </c>
      <c r="XBS76" s="70">
        <v>0</v>
      </c>
      <c r="XBT76" s="70">
        <v>0</v>
      </c>
      <c r="XBU76" s="70">
        <v>0</v>
      </c>
      <c r="XBV76" s="70">
        <v>0</v>
      </c>
      <c r="XBW76" s="70">
        <v>0</v>
      </c>
      <c r="XBX76" s="70">
        <v>0</v>
      </c>
      <c r="XBY76" s="70">
        <v>0</v>
      </c>
      <c r="XBZ76" s="70">
        <v>0</v>
      </c>
      <c r="XCA76" s="70">
        <v>0</v>
      </c>
      <c r="XCB76" s="70">
        <v>0</v>
      </c>
      <c r="XCC76" s="70">
        <v>0</v>
      </c>
      <c r="XCD76" s="70">
        <v>0</v>
      </c>
      <c r="XCE76" s="70">
        <v>0</v>
      </c>
      <c r="XCF76" s="70">
        <v>0</v>
      </c>
      <c r="XCG76" s="70">
        <v>0</v>
      </c>
      <c r="XCH76" s="70">
        <v>0</v>
      </c>
      <c r="XCI76" s="70">
        <v>0</v>
      </c>
      <c r="XCJ76" s="70">
        <v>0</v>
      </c>
      <c r="XCK76" s="70">
        <v>0</v>
      </c>
      <c r="XCL76" s="70">
        <v>0</v>
      </c>
      <c r="XCM76" s="70">
        <v>0</v>
      </c>
      <c r="XCN76" s="70">
        <v>0</v>
      </c>
      <c r="XCO76" s="70">
        <v>0</v>
      </c>
      <c r="XCP76" s="70">
        <v>0</v>
      </c>
      <c r="XCQ76" s="70">
        <v>0</v>
      </c>
      <c r="XCR76" s="70">
        <v>0</v>
      </c>
      <c r="XCS76" s="70">
        <v>0</v>
      </c>
      <c r="XCT76" s="70">
        <v>0</v>
      </c>
      <c r="XCU76" s="70">
        <v>0</v>
      </c>
      <c r="XCV76" s="70">
        <v>0</v>
      </c>
      <c r="XCW76" s="70">
        <v>0</v>
      </c>
      <c r="XCX76" s="70">
        <v>0</v>
      </c>
      <c r="XCY76" s="70">
        <v>0</v>
      </c>
      <c r="XCZ76" s="70">
        <v>0</v>
      </c>
      <c r="XDA76" s="70">
        <v>0</v>
      </c>
      <c r="XDB76" s="70">
        <v>0</v>
      </c>
      <c r="XDC76" s="70">
        <v>0</v>
      </c>
      <c r="XDD76" s="70">
        <v>0</v>
      </c>
      <c r="XDE76" s="70">
        <v>0</v>
      </c>
      <c r="XDF76" s="70">
        <v>0</v>
      </c>
      <c r="XDG76" s="70">
        <v>0</v>
      </c>
      <c r="XDH76" s="70">
        <v>0</v>
      </c>
      <c r="XDI76" s="70">
        <v>0</v>
      </c>
      <c r="XDJ76" s="70">
        <v>0</v>
      </c>
      <c r="XDK76" s="70">
        <v>0</v>
      </c>
      <c r="XDL76" s="70">
        <v>0</v>
      </c>
      <c r="XDM76" s="70">
        <v>0</v>
      </c>
      <c r="XDN76" s="70">
        <v>0</v>
      </c>
      <c r="XDO76" s="70">
        <v>0</v>
      </c>
      <c r="XDP76" s="70">
        <v>0</v>
      </c>
      <c r="XDQ76" s="70">
        <v>0</v>
      </c>
      <c r="XDR76" s="70">
        <v>0</v>
      </c>
      <c r="XDS76" s="70">
        <v>0</v>
      </c>
      <c r="XDT76" s="70">
        <v>0</v>
      </c>
      <c r="XDU76" s="70">
        <v>0</v>
      </c>
      <c r="XDV76" s="70">
        <v>0</v>
      </c>
      <c r="XDW76" s="70">
        <v>0</v>
      </c>
      <c r="XDX76" s="70">
        <v>0</v>
      </c>
      <c r="XDY76" s="70">
        <v>0</v>
      </c>
      <c r="XDZ76" s="70">
        <v>0</v>
      </c>
      <c r="XEA76" s="70">
        <v>0</v>
      </c>
      <c r="XEB76" s="70">
        <v>0</v>
      </c>
      <c r="XEC76" s="70">
        <v>0</v>
      </c>
      <c r="XED76" s="70">
        <v>0</v>
      </c>
      <c r="XEE76" s="70">
        <v>0</v>
      </c>
      <c r="XEF76" s="70">
        <v>0</v>
      </c>
      <c r="XEG76" s="70">
        <v>0</v>
      </c>
      <c r="XEH76" s="70">
        <v>0</v>
      </c>
      <c r="XEI76" s="70">
        <v>0</v>
      </c>
      <c r="XEJ76" s="70">
        <v>0</v>
      </c>
      <c r="XEK76" s="70">
        <v>0</v>
      </c>
      <c r="XEL76" s="70">
        <v>0</v>
      </c>
      <c r="XEM76" s="70">
        <v>0</v>
      </c>
      <c r="XEN76" s="70">
        <v>0</v>
      </c>
      <c r="XEO76" s="70">
        <v>0</v>
      </c>
      <c r="XEP76" s="70">
        <v>0</v>
      </c>
      <c r="XEQ76" s="70">
        <v>0</v>
      </c>
      <c r="XER76" s="70">
        <v>0</v>
      </c>
      <c r="XES76" s="70">
        <v>0</v>
      </c>
      <c r="XET76" s="70">
        <v>0</v>
      </c>
      <c r="XEU76" s="70">
        <v>0</v>
      </c>
      <c r="XEV76" s="70">
        <v>0</v>
      </c>
      <c r="XEW76" s="70">
        <v>0</v>
      </c>
      <c r="XEX76" s="70">
        <v>0</v>
      </c>
      <c r="XEY76" s="70">
        <v>0</v>
      </c>
      <c r="XEZ76" s="70">
        <v>0</v>
      </c>
      <c r="XFA76" s="70">
        <v>0</v>
      </c>
      <c r="XFB76" s="70">
        <v>0</v>
      </c>
      <c r="XFC76" s="70">
        <v>0</v>
      </c>
    </row>
    <row r="77" spans="1:16383" ht="18.5" x14ac:dyDescent="0.4">
      <c r="C77" s="80"/>
    </row>
    <row r="78" spans="1:16383" ht="18.5" x14ac:dyDescent="0.4">
      <c r="C78" s="80"/>
    </row>
  </sheetData>
  <mergeCells count="9">
    <mergeCell ref="C72:H73"/>
    <mergeCell ref="C74:H74"/>
    <mergeCell ref="C31:G31"/>
    <mergeCell ref="C68:G68"/>
    <mergeCell ref="C43:H43"/>
    <mergeCell ref="C32:I34"/>
    <mergeCell ref="C69:H71"/>
    <mergeCell ref="C36:I39"/>
    <mergeCell ref="C40:I42"/>
  </mergeCells>
  <hyperlinks>
    <hyperlink ref="D3" location="'Table of contents'!A1" display="Back to Table of contents" xr:uid="{3CCDA998-6DB1-4483-AE06-3342F9AA8B84}"/>
    <hyperlink ref="C7" location="'C. Reconciliation appendix'!A47" display="Annual reconciliation" xr:uid="{54DF1359-C8D5-49C6-9CC6-D73E0FADC4B2}"/>
    <hyperlink ref="C5" location="'C. Reconciliation appendix'!A10" display="Quarterly reconciliation" xr:uid="{0E269F00-1A5C-46AB-982D-20A988848C39}"/>
    <hyperlink ref="C44" location="'C. Reconciliation appendix'!A1" display="Back to Top" xr:uid="{8CAF5938-AE48-4EFE-96CA-ED73EE5C07B4}"/>
    <hyperlink ref="C76" location="'C. Reconciliation appendix'!A1" display="Back to Top" xr:uid="{C83008ED-2C5C-41DA-881D-C6D25DB682F4}"/>
  </hyperlinks>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72DC8-311D-43C7-A471-686FF716F048}">
  <sheetPr codeName="Sheet3">
    <tabColor rgb="FFFF0000"/>
    <pageSetUpPr autoPageBreaks="0"/>
  </sheetPr>
  <dimension ref="A1:D68"/>
  <sheetViews>
    <sheetView showGridLines="0" zoomScaleNormal="100" workbookViewId="0">
      <pane ySplit="1" topLeftCell="A89" activePane="bottomLeft" state="frozen"/>
      <selection pane="bottomLeft"/>
    </sheetView>
  </sheetViews>
  <sheetFormatPr defaultRowHeight="14.5" x14ac:dyDescent="0.35"/>
  <cols>
    <col min="1" max="2" width="2.7265625" customWidth="1"/>
    <col min="3" max="3" width="62.90625" customWidth="1"/>
    <col min="4" max="4" width="113.54296875" style="105" customWidth="1"/>
  </cols>
  <sheetData>
    <row r="1" spans="1:4" s="2" customFormat="1" ht="39" x14ac:dyDescent="1">
      <c r="A1" s="2" t="s">
        <v>112</v>
      </c>
      <c r="D1" s="104"/>
    </row>
    <row r="3" spans="1:4" ht="21" x14ac:dyDescent="0.55000000000000004">
      <c r="A3" s="60" t="s">
        <v>81</v>
      </c>
      <c r="D3" s="97" t="s">
        <v>82</v>
      </c>
    </row>
    <row r="4" spans="1:4" s="3" customFormat="1" ht="15" customHeight="1" x14ac:dyDescent="0.55000000000000004">
      <c r="A4" s="60"/>
      <c r="D4" s="80"/>
    </row>
    <row r="5" spans="1:4" s="3" customFormat="1" ht="20.25" customHeight="1" x14ac:dyDescent="0.55000000000000004">
      <c r="A5" s="60"/>
      <c r="B5" s="80" t="s">
        <v>83</v>
      </c>
      <c r="C5" s="97" t="s">
        <v>119</v>
      </c>
      <c r="D5" s="82"/>
    </row>
    <row r="6" spans="1:4" s="3" customFormat="1" ht="5.25" customHeight="1" x14ac:dyDescent="0.55000000000000004">
      <c r="A6" s="60"/>
      <c r="B6" s="80"/>
      <c r="C6" s="97"/>
      <c r="D6" s="82"/>
    </row>
    <row r="7" spans="1:4" s="3" customFormat="1" ht="20.25" customHeight="1" x14ac:dyDescent="0.55000000000000004">
      <c r="A7" s="60"/>
      <c r="B7" s="80" t="s">
        <v>84</v>
      </c>
      <c r="C7" s="97" t="s">
        <v>21</v>
      </c>
      <c r="D7" s="82"/>
    </row>
    <row r="8" spans="1:4" s="3" customFormat="1" ht="5.25" customHeight="1" x14ac:dyDescent="0.55000000000000004">
      <c r="A8" s="60"/>
      <c r="B8" s="80"/>
      <c r="C8" s="97"/>
      <c r="D8" s="82"/>
    </row>
    <row r="9" spans="1:4" s="3" customFormat="1" ht="20.25" customHeight="1" x14ac:dyDescent="0.55000000000000004">
      <c r="A9" s="60"/>
      <c r="B9" s="80" t="s">
        <v>85</v>
      </c>
      <c r="C9" s="97" t="s">
        <v>0</v>
      </c>
      <c r="D9" s="82"/>
    </row>
    <row r="10" spans="1:4" s="3" customFormat="1" ht="5.25" customHeight="1" x14ac:dyDescent="0.55000000000000004">
      <c r="A10" s="60"/>
      <c r="B10" s="80"/>
      <c r="C10" s="97"/>
      <c r="D10" s="82"/>
    </row>
    <row r="11" spans="1:4" s="3" customFormat="1" ht="20.25" customHeight="1" x14ac:dyDescent="0.55000000000000004">
      <c r="A11" s="60"/>
      <c r="B11" s="80" t="s">
        <v>86</v>
      </c>
      <c r="C11" s="97" t="s">
        <v>104</v>
      </c>
      <c r="D11" s="82"/>
    </row>
    <row r="12" spans="1:4" s="3" customFormat="1" ht="5.25" customHeight="1" x14ac:dyDescent="0.55000000000000004">
      <c r="A12" s="60"/>
      <c r="B12" s="80"/>
      <c r="C12" s="97"/>
      <c r="D12" s="82"/>
    </row>
    <row r="13" spans="1:4" s="3" customFormat="1" ht="20.25" customHeight="1" x14ac:dyDescent="0.55000000000000004">
      <c r="A13" s="60"/>
      <c r="B13" s="80" t="s">
        <v>136</v>
      </c>
      <c r="C13" s="97" t="s">
        <v>121</v>
      </c>
      <c r="D13" s="82"/>
    </row>
    <row r="14" spans="1:4" ht="18.5" x14ac:dyDescent="0.5">
      <c r="C14" s="97"/>
    </row>
    <row r="15" spans="1:4" ht="21" x14ac:dyDescent="0.55000000000000004">
      <c r="A15" s="60" t="s">
        <v>113</v>
      </c>
    </row>
    <row r="16" spans="1:4" ht="21" x14ac:dyDescent="0.55000000000000004">
      <c r="A16" s="60"/>
    </row>
    <row r="17" spans="1:4" s="98" customFormat="1" ht="19" thickBot="1" x14ac:dyDescent="0.4">
      <c r="C17" s="99" t="s">
        <v>43</v>
      </c>
      <c r="D17" s="106" t="s">
        <v>44</v>
      </c>
    </row>
    <row r="18" spans="1:4" s="98" customFormat="1" ht="37" x14ac:dyDescent="0.35">
      <c r="C18" s="11" t="s">
        <v>11</v>
      </c>
      <c r="D18" s="57" t="s">
        <v>156</v>
      </c>
    </row>
    <row r="19" spans="1:4" s="98" customFormat="1" ht="55.5" x14ac:dyDescent="0.35">
      <c r="B19" s="58"/>
      <c r="C19" s="11" t="s">
        <v>12</v>
      </c>
      <c r="D19" s="57" t="s">
        <v>165</v>
      </c>
    </row>
    <row r="20" spans="1:4" s="98" customFormat="1" ht="37" x14ac:dyDescent="0.35">
      <c r="C20" s="11" t="s">
        <v>2</v>
      </c>
      <c r="D20" s="57" t="s">
        <v>166</v>
      </c>
    </row>
    <row r="21" spans="1:4" ht="18.5" x14ac:dyDescent="0.5">
      <c r="C21" s="97" t="s">
        <v>90</v>
      </c>
    </row>
    <row r="22" spans="1:4" s="98" customFormat="1" ht="16" x14ac:dyDescent="0.35">
      <c r="C22" s="100"/>
      <c r="D22" s="107"/>
    </row>
    <row r="23" spans="1:4" s="98" customFormat="1" ht="21" x14ac:dyDescent="0.35">
      <c r="A23" s="101" t="s">
        <v>88</v>
      </c>
      <c r="C23" s="100"/>
      <c r="D23" s="107"/>
    </row>
    <row r="24" spans="1:4" s="98" customFormat="1" ht="16" x14ac:dyDescent="0.35">
      <c r="C24" s="100"/>
      <c r="D24" s="107"/>
    </row>
    <row r="25" spans="1:4" s="98" customFormat="1" ht="19" thickBot="1" x14ac:dyDescent="0.4">
      <c r="C25" s="99" t="s">
        <v>43</v>
      </c>
      <c r="D25" s="106" t="s">
        <v>44</v>
      </c>
    </row>
    <row r="26" spans="1:4" s="98" customFormat="1" ht="18.5" x14ac:dyDescent="0.35">
      <c r="B26" s="58"/>
      <c r="C26" s="11" t="s">
        <v>45</v>
      </c>
      <c r="D26" s="57" t="s">
        <v>46</v>
      </c>
    </row>
    <row r="27" spans="1:4" s="98" customFormat="1" ht="18.5" x14ac:dyDescent="0.35">
      <c r="B27" s="58"/>
      <c r="C27" s="11" t="s">
        <v>9</v>
      </c>
      <c r="D27" s="57" t="s">
        <v>114</v>
      </c>
    </row>
    <row r="28" spans="1:4" s="98" customFormat="1" ht="55.5" x14ac:dyDescent="0.35">
      <c r="B28" s="58"/>
      <c r="C28" s="11" t="s">
        <v>48</v>
      </c>
      <c r="D28" s="57" t="s">
        <v>167</v>
      </c>
    </row>
    <row r="29" spans="1:4" s="98" customFormat="1" ht="18.5" x14ac:dyDescent="0.35">
      <c r="B29" s="58"/>
      <c r="C29" s="11" t="s">
        <v>25</v>
      </c>
      <c r="D29" s="57" t="s">
        <v>107</v>
      </c>
    </row>
    <row r="30" spans="1:4" s="98" customFormat="1" ht="37" x14ac:dyDescent="0.35">
      <c r="B30" s="58"/>
      <c r="C30" s="11" t="s">
        <v>11</v>
      </c>
      <c r="D30" s="57" t="s">
        <v>157</v>
      </c>
    </row>
    <row r="31" spans="1:4" s="98" customFormat="1" ht="50" customHeight="1" x14ac:dyDescent="0.35">
      <c r="B31" s="58"/>
      <c r="C31" s="11" t="s">
        <v>12</v>
      </c>
      <c r="D31" s="57" t="s">
        <v>188</v>
      </c>
    </row>
    <row r="32" spans="1:4" s="98" customFormat="1" ht="55.5" x14ac:dyDescent="0.35">
      <c r="B32" s="58"/>
      <c r="C32" s="11" t="s">
        <v>1</v>
      </c>
      <c r="D32" s="57" t="s">
        <v>135</v>
      </c>
    </row>
    <row r="33" spans="1:4" s="98" customFormat="1" ht="18.5" x14ac:dyDescent="0.35">
      <c r="C33" s="11" t="s">
        <v>2</v>
      </c>
      <c r="D33" s="57" t="s">
        <v>134</v>
      </c>
    </row>
    <row r="34" spans="1:4" s="98" customFormat="1" ht="37" x14ac:dyDescent="0.35">
      <c r="B34" s="58"/>
      <c r="C34" s="11" t="s">
        <v>31</v>
      </c>
      <c r="D34" s="57" t="s">
        <v>52</v>
      </c>
    </row>
    <row r="35" spans="1:4" s="98" customFormat="1" ht="37" x14ac:dyDescent="0.35">
      <c r="B35" s="58"/>
      <c r="C35" s="11" t="s">
        <v>47</v>
      </c>
      <c r="D35" s="57" t="s">
        <v>49</v>
      </c>
    </row>
    <row r="36" spans="1:4" s="98" customFormat="1" ht="18.5" x14ac:dyDescent="0.35">
      <c r="B36" s="58"/>
      <c r="C36" s="11" t="s">
        <v>50</v>
      </c>
      <c r="D36" s="57" t="s">
        <v>51</v>
      </c>
    </row>
    <row r="37" spans="1:4" ht="18.5" x14ac:dyDescent="0.5">
      <c r="C37" s="97" t="s">
        <v>90</v>
      </c>
    </row>
    <row r="38" spans="1:4" s="98" customFormat="1" ht="18.5" x14ac:dyDescent="0.35">
      <c r="B38" s="58"/>
      <c r="C38" s="102"/>
      <c r="D38" s="108"/>
    </row>
    <row r="39" spans="1:4" s="98" customFormat="1" ht="21" x14ac:dyDescent="0.35">
      <c r="A39" s="101" t="s">
        <v>89</v>
      </c>
      <c r="C39" s="100"/>
      <c r="D39" s="107"/>
    </row>
    <row r="40" spans="1:4" s="98" customFormat="1" ht="16" x14ac:dyDescent="0.35">
      <c r="C40" s="100"/>
      <c r="D40" s="107"/>
    </row>
    <row r="41" spans="1:4" s="98" customFormat="1" ht="19" thickBot="1" x14ac:dyDescent="0.4">
      <c r="C41" s="99" t="s">
        <v>43</v>
      </c>
      <c r="D41" s="106" t="s">
        <v>44</v>
      </c>
    </row>
    <row r="42" spans="1:4" s="98" customFormat="1" ht="37" x14ac:dyDescent="0.35">
      <c r="B42" s="58"/>
      <c r="C42" s="11" t="s">
        <v>11</v>
      </c>
      <c r="D42" s="57" t="s">
        <v>117</v>
      </c>
    </row>
    <row r="43" spans="1:4" s="98" customFormat="1" ht="18.5" x14ac:dyDescent="0.35">
      <c r="B43" s="58"/>
      <c r="C43" s="11" t="s">
        <v>12</v>
      </c>
      <c r="D43" s="57" t="s">
        <v>116</v>
      </c>
    </row>
    <row r="44" spans="1:4" s="98" customFormat="1" ht="18.5" x14ac:dyDescent="0.35">
      <c r="C44" s="11" t="s">
        <v>2</v>
      </c>
      <c r="D44" s="57" t="s">
        <v>134</v>
      </c>
    </row>
    <row r="45" spans="1:4" ht="18.5" x14ac:dyDescent="0.5">
      <c r="C45" s="97" t="s">
        <v>90</v>
      </c>
    </row>
    <row r="46" spans="1:4" s="98" customFormat="1" ht="18.5" x14ac:dyDescent="0.35">
      <c r="B46" s="58"/>
      <c r="C46" s="102"/>
      <c r="D46" s="108"/>
    </row>
    <row r="47" spans="1:4" s="98" customFormat="1" ht="21" x14ac:dyDescent="0.35">
      <c r="A47" s="101" t="s">
        <v>94</v>
      </c>
      <c r="C47" s="100"/>
      <c r="D47" s="107"/>
    </row>
    <row r="48" spans="1:4" ht="21" x14ac:dyDescent="0.55000000000000004">
      <c r="A48" s="60"/>
    </row>
    <row r="49" spans="1:4" s="98" customFormat="1" ht="19" thickBot="1" x14ac:dyDescent="0.4">
      <c r="C49" s="99" t="s">
        <v>43</v>
      </c>
      <c r="D49" s="106" t="s">
        <v>44</v>
      </c>
    </row>
    <row r="50" spans="1:4" s="98" customFormat="1" ht="18.5" x14ac:dyDescent="0.35">
      <c r="B50" s="58"/>
      <c r="C50" s="11" t="s">
        <v>9</v>
      </c>
      <c r="D50" s="57" t="s">
        <v>53</v>
      </c>
    </row>
    <row r="51" spans="1:4" s="98" customFormat="1" ht="74" x14ac:dyDescent="0.35">
      <c r="C51" s="11" t="s">
        <v>48</v>
      </c>
      <c r="D51" s="57" t="s">
        <v>115</v>
      </c>
    </row>
    <row r="52" spans="1:4" s="98" customFormat="1" ht="18.5" x14ac:dyDescent="0.35">
      <c r="C52" s="11" t="s">
        <v>25</v>
      </c>
      <c r="D52" s="57" t="s">
        <v>107</v>
      </c>
    </row>
    <row r="53" spans="1:4" s="98" customFormat="1" ht="37" x14ac:dyDescent="0.35">
      <c r="B53" s="58"/>
      <c r="C53" s="11" t="s">
        <v>11</v>
      </c>
      <c r="D53" s="57" t="s">
        <v>149</v>
      </c>
    </row>
    <row r="54" spans="1:4" s="98" customFormat="1" ht="18.5" x14ac:dyDescent="0.35">
      <c r="B54" s="58"/>
      <c r="C54" s="11" t="s">
        <v>12</v>
      </c>
      <c r="D54" s="57" t="s">
        <v>116</v>
      </c>
    </row>
    <row r="55" spans="1:4" s="98" customFormat="1" ht="111" x14ac:dyDescent="0.35">
      <c r="C55" s="11" t="s">
        <v>1</v>
      </c>
      <c r="D55" s="57" t="s">
        <v>131</v>
      </c>
    </row>
    <row r="56" spans="1:4" s="98" customFormat="1" ht="18.5" x14ac:dyDescent="0.35">
      <c r="C56" s="11" t="s">
        <v>2</v>
      </c>
      <c r="D56" s="57" t="s">
        <v>134</v>
      </c>
    </row>
    <row r="57" spans="1:4" s="98" customFormat="1" ht="37" x14ac:dyDescent="0.35">
      <c r="C57" s="11" t="s">
        <v>31</v>
      </c>
      <c r="D57" s="57" t="s">
        <v>54</v>
      </c>
    </row>
    <row r="58" spans="1:4" s="98" customFormat="1" ht="37" x14ac:dyDescent="0.35">
      <c r="C58" s="11" t="s">
        <v>129</v>
      </c>
      <c r="D58" s="57" t="s">
        <v>132</v>
      </c>
    </row>
    <row r="59" spans="1:4" ht="18.5" x14ac:dyDescent="0.5">
      <c r="C59" s="97" t="s">
        <v>90</v>
      </c>
    </row>
    <row r="61" spans="1:4" s="98" customFormat="1" ht="21" x14ac:dyDescent="0.35">
      <c r="A61" s="101" t="s">
        <v>127</v>
      </c>
      <c r="C61" s="100"/>
      <c r="D61" s="107"/>
    </row>
    <row r="62" spans="1:4" ht="21" x14ac:dyDescent="0.55000000000000004">
      <c r="A62" s="60"/>
    </row>
    <row r="63" spans="1:4" s="98" customFormat="1" ht="19" thickBot="1" x14ac:dyDescent="0.4">
      <c r="C63" s="99" t="s">
        <v>43</v>
      </c>
      <c r="D63" s="106" t="s">
        <v>44</v>
      </c>
    </row>
    <row r="64" spans="1:4" ht="55.5" x14ac:dyDescent="0.35">
      <c r="C64" s="11" t="s">
        <v>48</v>
      </c>
      <c r="D64" s="57" t="s">
        <v>185</v>
      </c>
    </row>
    <row r="65" spans="3:4" ht="148" x14ac:dyDescent="0.35">
      <c r="C65" s="11" t="s">
        <v>11</v>
      </c>
      <c r="D65" s="57" t="s">
        <v>186</v>
      </c>
    </row>
    <row r="66" spans="3:4" ht="18.5" x14ac:dyDescent="0.35">
      <c r="C66" s="11" t="s">
        <v>12</v>
      </c>
      <c r="D66" s="57" t="s">
        <v>116</v>
      </c>
    </row>
    <row r="67" spans="3:4" s="98" customFormat="1" ht="18.5" x14ac:dyDescent="0.35">
      <c r="C67" s="11" t="s">
        <v>2</v>
      </c>
      <c r="D67" s="57" t="s">
        <v>134</v>
      </c>
    </row>
    <row r="68" spans="3:4" ht="18.5" x14ac:dyDescent="0.5">
      <c r="C68" s="97" t="s">
        <v>90</v>
      </c>
    </row>
  </sheetData>
  <hyperlinks>
    <hyperlink ref="D3" location="'Table of contents'!A1" display="Back to Table of contents" xr:uid="{EBB84979-E671-4A51-B17B-0C08CE6EDAE7}"/>
    <hyperlink ref="C59" location="'D. Glossary'!A1" display="Back to Top" xr:uid="{0D0CD9FF-F966-48F3-A754-0D6E8141D87E}"/>
    <hyperlink ref="C5" location="'D. Glossary'!A15" display="Consolidated" xr:uid="{5D2A761F-6FA6-4D11-80B1-DB19FCA59667}"/>
    <hyperlink ref="C7" location="'D. Glossary'!A23" display="Food delivery" xr:uid="{1A3A77E8-4AC6-483E-8AEF-5B66EDEFE094}"/>
    <hyperlink ref="C9" location="'D. Glossary'!A39" display="Hyperpure" xr:uid="{4C8F949C-D90C-441B-ACD0-0B5C44CAFECB}"/>
    <hyperlink ref="C11" location="'D. Glossary'!A47" display="Quick commerce" xr:uid="{E2027BB7-EC71-4444-9C56-AC305039D37A}"/>
    <hyperlink ref="C45" location="'D. Glossary'!A1" display="Back to Top" xr:uid="{23EDAB8B-C8FD-4186-9232-0EB84821DD1B}"/>
    <hyperlink ref="C37" location="'D. Glossary'!A1" display="Back to Top" xr:uid="{6F755B4D-1D4D-4CD0-9F7B-920F1A50FBAF}"/>
    <hyperlink ref="C21" location="'D. Glossary'!A1" display="Back to Top" xr:uid="{A44BC8F8-DFF9-419D-92E0-12FD0E738803}"/>
    <hyperlink ref="C68" location="'D. Glossary'!A1" display="Back to Top" xr:uid="{D23FE4BC-E2DA-46A9-9DC8-7DDE1F3A9F7B}"/>
    <hyperlink ref="C13" location="'D. Glossary'!A61" display="Going-out" xr:uid="{5469C8AC-E696-4DCD-B644-55305D1BE1F8}"/>
  </hyperlink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3F875-3782-4FC8-9816-1A05F3CFBA1D}">
  <sheetPr codeName="Sheet4">
    <tabColor rgb="FFF1C8C1"/>
  </sheetPr>
  <dimension ref="A1:K30"/>
  <sheetViews>
    <sheetView workbookViewId="0">
      <selection activeCell="D15" sqref="D15"/>
    </sheetView>
  </sheetViews>
  <sheetFormatPr defaultRowHeight="14.5" x14ac:dyDescent="0.35"/>
  <cols>
    <col min="2" max="2" width="11.90625" bestFit="1" customWidth="1"/>
  </cols>
  <sheetData>
    <row r="1" spans="1:11" x14ac:dyDescent="0.35">
      <c r="A1" t="s">
        <v>200</v>
      </c>
    </row>
    <row r="2" spans="1:11" x14ac:dyDescent="0.35">
      <c r="B2" s="130"/>
      <c r="C2" s="131">
        <v>24</v>
      </c>
      <c r="D2" s="131">
        <f>C2+1</f>
        <v>25</v>
      </c>
      <c r="E2" s="131">
        <f t="shared" ref="E2:H2" si="0">D2+1</f>
        <v>26</v>
      </c>
      <c r="F2" s="131">
        <f t="shared" si="0"/>
        <v>27</v>
      </c>
      <c r="G2" s="131">
        <f t="shared" si="0"/>
        <v>28</v>
      </c>
      <c r="H2" s="131">
        <f t="shared" si="0"/>
        <v>29</v>
      </c>
    </row>
    <row r="3" spans="1:11" x14ac:dyDescent="0.35">
      <c r="A3" t="s">
        <v>198</v>
      </c>
      <c r="B3" s="130"/>
      <c r="C3" s="134">
        <v>3.34</v>
      </c>
      <c r="D3" s="134">
        <f>C3*(1+$J$4)</f>
        <v>5.7314400000000001</v>
      </c>
      <c r="E3" s="134">
        <f t="shared" ref="E3:H3" si="1">D3*(1+$J$4)</f>
        <v>9.8351510399999995</v>
      </c>
      <c r="F3" s="134">
        <f t="shared" si="1"/>
        <v>16.877119184639998</v>
      </c>
      <c r="G3" s="134">
        <f t="shared" si="1"/>
        <v>28.961136520842235</v>
      </c>
      <c r="H3" s="134">
        <f t="shared" si="1"/>
        <v>49.697310269765275</v>
      </c>
    </row>
    <row r="4" spans="1:11" x14ac:dyDescent="0.35">
      <c r="J4" s="34">
        <v>0.71599999999999997</v>
      </c>
      <c r="K4" s="79" t="s">
        <v>199</v>
      </c>
    </row>
    <row r="5" spans="1:11" x14ac:dyDescent="0.35">
      <c r="B5" s="130" t="s">
        <v>202</v>
      </c>
      <c r="C5" s="134"/>
      <c r="D5" s="134"/>
      <c r="E5" s="134"/>
      <c r="F5" s="134"/>
      <c r="G5" s="134"/>
      <c r="H5" s="134"/>
    </row>
    <row r="6" spans="1:11" x14ac:dyDescent="0.35">
      <c r="A6" t="s">
        <v>196</v>
      </c>
      <c r="B6" s="133">
        <v>0.45</v>
      </c>
      <c r="C6" s="134">
        <f t="shared" ref="C6:H9" si="2">C$3*$B6</f>
        <v>1.5029999999999999</v>
      </c>
      <c r="D6" s="134">
        <f t="shared" si="2"/>
        <v>2.579148</v>
      </c>
      <c r="E6" s="134">
        <f t="shared" si="2"/>
        <v>4.4258179679999996</v>
      </c>
      <c r="F6" s="134">
        <f t="shared" si="2"/>
        <v>7.5947036330879989</v>
      </c>
      <c r="G6" s="134">
        <f t="shared" si="2"/>
        <v>13.032511434379005</v>
      </c>
      <c r="H6" s="134">
        <f t="shared" si="2"/>
        <v>22.363789621394375</v>
      </c>
      <c r="J6" s="79" t="s">
        <v>205</v>
      </c>
      <c r="K6" t="s">
        <v>206</v>
      </c>
    </row>
    <row r="7" spans="1:11" x14ac:dyDescent="0.35">
      <c r="A7" t="s">
        <v>197</v>
      </c>
      <c r="B7" s="133">
        <v>0.2</v>
      </c>
      <c r="C7" s="134">
        <f t="shared" si="2"/>
        <v>0.66800000000000004</v>
      </c>
      <c r="D7" s="134">
        <f t="shared" si="2"/>
        <v>1.146288</v>
      </c>
      <c r="E7" s="134">
        <f t="shared" si="2"/>
        <v>1.9670302079999999</v>
      </c>
      <c r="F7" s="134">
        <f t="shared" si="2"/>
        <v>3.3754238369279999</v>
      </c>
      <c r="G7" s="134">
        <f t="shared" si="2"/>
        <v>5.7922273041684473</v>
      </c>
      <c r="H7" s="134">
        <f t="shared" si="2"/>
        <v>9.939462053953056</v>
      </c>
    </row>
    <row r="8" spans="1:11" x14ac:dyDescent="0.35">
      <c r="A8" t="s">
        <v>195</v>
      </c>
      <c r="B8" s="133">
        <v>0.25</v>
      </c>
      <c r="C8" s="134">
        <f t="shared" si="2"/>
        <v>0.83499999999999996</v>
      </c>
      <c r="D8" s="134">
        <f t="shared" si="2"/>
        <v>1.43286</v>
      </c>
      <c r="E8" s="134">
        <f t="shared" si="2"/>
        <v>2.4587877599999999</v>
      </c>
      <c r="F8" s="134">
        <f t="shared" si="2"/>
        <v>4.2192797961599995</v>
      </c>
      <c r="G8" s="134">
        <f t="shared" si="2"/>
        <v>7.2402841302105587</v>
      </c>
      <c r="H8" s="134">
        <f t="shared" si="2"/>
        <v>12.424327567441319</v>
      </c>
    </row>
    <row r="9" spans="1:11" x14ac:dyDescent="0.35">
      <c r="A9" t="s">
        <v>204</v>
      </c>
      <c r="B9" s="133">
        <v>0.1</v>
      </c>
      <c r="C9" s="134">
        <f t="shared" si="2"/>
        <v>0.33400000000000002</v>
      </c>
      <c r="D9" s="134">
        <f t="shared" si="2"/>
        <v>0.57314399999999999</v>
      </c>
      <c r="E9" s="134">
        <f t="shared" si="2"/>
        <v>0.98351510399999997</v>
      </c>
      <c r="F9" s="134">
        <f t="shared" si="2"/>
        <v>1.6877119184639999</v>
      </c>
      <c r="G9" s="134">
        <f t="shared" si="2"/>
        <v>2.8961136520842237</v>
      </c>
      <c r="H9" s="134">
        <f t="shared" si="2"/>
        <v>4.969731026976528</v>
      </c>
    </row>
    <row r="10" spans="1:11" x14ac:dyDescent="0.35">
      <c r="A10" s="135" t="s">
        <v>209</v>
      </c>
      <c r="B10" s="133"/>
      <c r="C10" s="132"/>
      <c r="D10" s="132"/>
      <c r="E10" s="132"/>
      <c r="F10" s="132"/>
      <c r="G10" s="132"/>
      <c r="H10" s="132"/>
    </row>
    <row r="11" spans="1:11" x14ac:dyDescent="0.35">
      <c r="B11" s="130"/>
      <c r="C11" s="131"/>
      <c r="D11" s="132"/>
      <c r="E11" s="130"/>
      <c r="F11" s="130"/>
      <c r="G11" s="130"/>
      <c r="H11" s="130"/>
    </row>
    <row r="12" spans="1:11" x14ac:dyDescent="0.35">
      <c r="A12" t="s">
        <v>11</v>
      </c>
      <c r="B12" s="130"/>
      <c r="C12" s="131"/>
      <c r="D12" s="132"/>
      <c r="E12" s="130"/>
      <c r="F12" s="130"/>
      <c r="G12" s="130"/>
      <c r="H12" s="130"/>
    </row>
    <row r="13" spans="1:11" x14ac:dyDescent="0.35">
      <c r="B13" t="s">
        <v>201</v>
      </c>
      <c r="C13" s="131">
        <v>24</v>
      </c>
      <c r="D13" s="131">
        <f>C13+1</f>
        <v>25</v>
      </c>
      <c r="E13" s="131">
        <f t="shared" ref="E13:H13" si="3">D13+1</f>
        <v>26</v>
      </c>
      <c r="F13" s="131">
        <f t="shared" si="3"/>
        <v>27</v>
      </c>
      <c r="G13" s="131">
        <f t="shared" si="3"/>
        <v>28</v>
      </c>
      <c r="H13" s="131">
        <f t="shared" si="3"/>
        <v>29</v>
      </c>
    </row>
    <row r="14" spans="1:11" x14ac:dyDescent="0.35">
      <c r="A14" t="s">
        <v>196</v>
      </c>
      <c r="B14" s="133">
        <v>0.19</v>
      </c>
      <c r="C14" s="134">
        <f>$B14*C6</f>
        <v>0.28556999999999999</v>
      </c>
      <c r="D14" s="134">
        <f t="shared" ref="D14:H14" si="4">$B14*D6</f>
        <v>0.49003812000000002</v>
      </c>
      <c r="E14" s="134">
        <f t="shared" si="4"/>
        <v>0.84090541391999996</v>
      </c>
      <c r="F14" s="134">
        <f t="shared" si="4"/>
        <v>1.4429936902867198</v>
      </c>
      <c r="G14" s="134">
        <f t="shared" si="4"/>
        <v>2.4761771725320112</v>
      </c>
      <c r="H14" s="134">
        <f t="shared" si="4"/>
        <v>4.2491200280649313</v>
      </c>
    </row>
    <row r="15" spans="1:11" x14ac:dyDescent="0.35">
      <c r="A15" t="s">
        <v>197</v>
      </c>
      <c r="B15" s="133">
        <v>0.2</v>
      </c>
      <c r="C15" s="134">
        <f t="shared" ref="C15:H15" si="5">$B15*C7</f>
        <v>0.13360000000000002</v>
      </c>
      <c r="D15" s="134">
        <f t="shared" si="5"/>
        <v>0.22925760000000001</v>
      </c>
      <c r="E15" s="134">
        <f t="shared" si="5"/>
        <v>0.39340604160000003</v>
      </c>
      <c r="F15" s="134">
        <f t="shared" si="5"/>
        <v>0.67508476738559997</v>
      </c>
      <c r="G15" s="134">
        <f t="shared" si="5"/>
        <v>1.1584454608336896</v>
      </c>
      <c r="H15" s="134">
        <f t="shared" si="5"/>
        <v>1.9878924107906113</v>
      </c>
    </row>
    <row r="16" spans="1:11" x14ac:dyDescent="0.35">
      <c r="A16" t="s">
        <v>195</v>
      </c>
      <c r="B16" s="133">
        <v>0.15</v>
      </c>
      <c r="C16" s="134">
        <f t="shared" ref="C16:H17" si="6">$B16*C8</f>
        <v>0.12525</v>
      </c>
      <c r="D16" s="134">
        <f t="shared" si="6"/>
        <v>0.21492900000000001</v>
      </c>
      <c r="E16" s="134">
        <f t="shared" si="6"/>
        <v>0.36881816399999995</v>
      </c>
      <c r="F16" s="134">
        <f t="shared" si="6"/>
        <v>0.63289196942399994</v>
      </c>
      <c r="G16" s="134">
        <f t="shared" si="6"/>
        <v>1.0860426195315838</v>
      </c>
      <c r="H16" s="134">
        <f t="shared" si="6"/>
        <v>1.8636491351161977</v>
      </c>
      <c r="J16" s="79" t="s">
        <v>205</v>
      </c>
      <c r="K16" t="s">
        <v>207</v>
      </c>
    </row>
    <row r="17" spans="1:11" x14ac:dyDescent="0.35">
      <c r="A17" t="s">
        <v>204</v>
      </c>
      <c r="B17" s="133">
        <v>0.17499999999999999</v>
      </c>
      <c r="C17" s="134">
        <f t="shared" si="6"/>
        <v>5.8450000000000002E-2</v>
      </c>
      <c r="D17" s="134">
        <f t="shared" si="6"/>
        <v>0.10030019999999999</v>
      </c>
      <c r="E17" s="134">
        <f t="shared" si="6"/>
        <v>0.17211514319999999</v>
      </c>
      <c r="F17" s="134">
        <f t="shared" si="6"/>
        <v>0.29534958573119996</v>
      </c>
      <c r="G17" s="134">
        <f t="shared" si="6"/>
        <v>0.50681988911473907</v>
      </c>
      <c r="H17" s="134">
        <f t="shared" si="6"/>
        <v>0.86970292972089236</v>
      </c>
    </row>
    <row r="18" spans="1:11" x14ac:dyDescent="0.35">
      <c r="A18" s="135" t="s">
        <v>208</v>
      </c>
    </row>
    <row r="20" spans="1:11" x14ac:dyDescent="0.35">
      <c r="A20" t="s">
        <v>203</v>
      </c>
    </row>
    <row r="21" spans="1:11" x14ac:dyDescent="0.35">
      <c r="A21" t="s">
        <v>211</v>
      </c>
      <c r="C21" s="131">
        <v>24</v>
      </c>
      <c r="D21" s="131">
        <f>C21+1</f>
        <v>25</v>
      </c>
      <c r="E21" s="131">
        <f t="shared" ref="E21:H21" si="7">D21+1</f>
        <v>26</v>
      </c>
      <c r="F21" s="131">
        <f t="shared" si="7"/>
        <v>27</v>
      </c>
      <c r="G21" s="131">
        <f t="shared" si="7"/>
        <v>28</v>
      </c>
      <c r="H21" s="131">
        <f t="shared" si="7"/>
        <v>29</v>
      </c>
      <c r="J21" s="79" t="s">
        <v>205</v>
      </c>
      <c r="K21" t="s">
        <v>212</v>
      </c>
    </row>
    <row r="22" spans="1:11" x14ac:dyDescent="0.35">
      <c r="A22" t="s">
        <v>196</v>
      </c>
      <c r="B22" s="136">
        <v>0.35</v>
      </c>
      <c r="C22">
        <v>791</v>
      </c>
      <c r="D22">
        <v>1100</v>
      </c>
      <c r="E22">
        <f>D22*2</f>
        <v>2200</v>
      </c>
    </row>
    <row r="23" spans="1:11" x14ac:dyDescent="0.35">
      <c r="A23" t="s">
        <v>197</v>
      </c>
      <c r="B23" s="136">
        <v>0.15</v>
      </c>
      <c r="C23">
        <v>750</v>
      </c>
      <c r="D23">
        <v>1200</v>
      </c>
      <c r="E23">
        <f t="shared" ref="E23:E25" si="8">D23*2</f>
        <v>2400</v>
      </c>
      <c r="J23" s="79" t="s">
        <v>205</v>
      </c>
      <c r="K23" t="s">
        <v>213</v>
      </c>
    </row>
    <row r="24" spans="1:11" x14ac:dyDescent="0.35">
      <c r="A24" t="s">
        <v>195</v>
      </c>
      <c r="B24" s="136">
        <v>0.2</v>
      </c>
      <c r="C24">
        <v>609</v>
      </c>
      <c r="D24">
        <v>1046</v>
      </c>
      <c r="E24">
        <f t="shared" si="8"/>
        <v>2092</v>
      </c>
      <c r="J24" s="79" t="s">
        <v>205</v>
      </c>
      <c r="K24" t="s">
        <v>218</v>
      </c>
    </row>
    <row r="25" spans="1:11" x14ac:dyDescent="0.35">
      <c r="A25" t="s">
        <v>204</v>
      </c>
      <c r="B25" s="136">
        <v>0.05</v>
      </c>
      <c r="C25">
        <f t="shared" ref="C25" si="9">D25/2</f>
        <v>400</v>
      </c>
      <c r="D25">
        <v>800</v>
      </c>
      <c r="E25">
        <f t="shared" si="8"/>
        <v>1600</v>
      </c>
      <c r="J25" s="79" t="s">
        <v>205</v>
      </c>
      <c r="K25" t="s">
        <v>214</v>
      </c>
    </row>
    <row r="26" spans="1:11" x14ac:dyDescent="0.35">
      <c r="A26" t="s">
        <v>210</v>
      </c>
      <c r="B26" s="136">
        <v>0.125</v>
      </c>
      <c r="C26">
        <v>100</v>
      </c>
      <c r="D26" s="138" t="s">
        <v>220</v>
      </c>
      <c r="E26" s="138" t="s">
        <v>220</v>
      </c>
    </row>
    <row r="27" spans="1:11" x14ac:dyDescent="0.35">
      <c r="A27" t="s">
        <v>219</v>
      </c>
      <c r="B27" s="137">
        <v>0.125</v>
      </c>
      <c r="J27" t="s">
        <v>215</v>
      </c>
    </row>
    <row r="28" spans="1:11" x14ac:dyDescent="0.35">
      <c r="B28" s="136">
        <f>SUM(B22:B27)</f>
        <v>1</v>
      </c>
      <c r="J28" t="s">
        <v>216</v>
      </c>
    </row>
    <row r="29" spans="1:11" x14ac:dyDescent="0.35">
      <c r="J29" t="s">
        <v>288</v>
      </c>
    </row>
    <row r="30" spans="1:11" x14ac:dyDescent="0.35">
      <c r="J30" t="s">
        <v>217</v>
      </c>
    </row>
  </sheetData>
  <hyperlinks>
    <hyperlink ref="J16" r:id="rId1" xr:uid="{33E0AC22-963E-411C-B2D9-386152489B79}"/>
    <hyperlink ref="J6" r:id="rId2" xr:uid="{8E5656F5-0E8E-4528-8C20-71345FC24CB6}"/>
    <hyperlink ref="J21" r:id="rId3" xr:uid="{B5A642A8-B4A2-4E7F-9CAB-6B06A5E1790E}"/>
    <hyperlink ref="J23" r:id="rId4" location=":~:text=BigBasket%20aims%20to%20have%20800%20dark%20stores%20by%20the%20end,higher%20than%20Swiggy%20and%20Zomato.&amp;text=courtesy:%20Company%20website)-,Online%20grocery%20retailer%20BigBasket%20plans%20to%20add%20up%20to%20400,grow%20well%2C%22%20he%20said." xr:uid="{C56980E5-88A7-4661-91BC-4BF28573D012}"/>
    <hyperlink ref="J25" r:id="rId5" xr:uid="{FAD697D9-EC5F-4936-8A5D-5FCDF1183734}"/>
    <hyperlink ref="J24" r:id="rId6" xr:uid="{AF156CA3-9F1E-4DA2-96E9-8507647D81F3}"/>
    <hyperlink ref="K4" r:id="rId7" xr:uid="{E89BCE77-E2E0-4E3F-9E33-3C4D38151FAA}"/>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6F5266-2FB3-4930-917F-C7B6054E6C9D}">
  <sheetPr codeName="Sheet10">
    <tabColor rgb="FFFFC000"/>
    <pageSetUpPr fitToPage="1"/>
  </sheetPr>
  <dimension ref="A1:L77"/>
  <sheetViews>
    <sheetView showGridLines="0" topLeftCell="A28" zoomScale="87" workbookViewId="0">
      <selection activeCell="H35" sqref="H35"/>
    </sheetView>
  </sheetViews>
  <sheetFormatPr defaultColWidth="12.6328125" defaultRowHeight="15" customHeight="1" x14ac:dyDescent="0.3"/>
  <cols>
    <col min="1" max="1" width="1.6328125" style="265" customWidth="1"/>
    <col min="2" max="2" width="50.6328125" style="265" customWidth="1"/>
    <col min="3" max="8" width="9.453125" style="265" customWidth="1"/>
    <col min="9" max="9" width="11.90625" style="265" customWidth="1"/>
    <col min="10" max="16384" width="12.6328125" style="265"/>
  </cols>
  <sheetData>
    <row r="1" spans="1:9" ht="39" customHeight="1" x14ac:dyDescent="0.3">
      <c r="A1" s="262" t="s">
        <v>5</v>
      </c>
      <c r="B1" s="263"/>
      <c r="C1" s="264"/>
      <c r="D1" s="264"/>
      <c r="E1" s="264"/>
      <c r="F1" s="264"/>
      <c r="G1" s="264"/>
      <c r="H1" s="264"/>
      <c r="I1" s="264"/>
    </row>
    <row r="2" spans="1:9" ht="12" customHeight="1" x14ac:dyDescent="0.3">
      <c r="A2" s="266"/>
      <c r="B2" s="266"/>
      <c r="C2" s="266"/>
      <c r="D2" s="266"/>
      <c r="E2" s="266"/>
      <c r="F2" s="266"/>
      <c r="G2" s="266"/>
      <c r="H2" s="266"/>
      <c r="I2" s="266"/>
    </row>
    <row r="3" spans="1:9" ht="12" customHeight="1" x14ac:dyDescent="0.3">
      <c r="A3" s="266"/>
      <c r="B3" s="266"/>
      <c r="C3" s="266"/>
      <c r="D3" s="266"/>
      <c r="E3" s="266"/>
      <c r="F3" s="266"/>
      <c r="G3" s="266"/>
      <c r="H3" s="266"/>
      <c r="I3" s="266"/>
    </row>
    <row r="4" spans="1:9" ht="27.75" customHeight="1" x14ac:dyDescent="0.3">
      <c r="A4" s="266"/>
      <c r="B4" s="267" t="s">
        <v>289</v>
      </c>
      <c r="C4" s="268"/>
      <c r="D4" s="266"/>
      <c r="E4" s="266"/>
      <c r="F4" s="266"/>
      <c r="G4" s="266"/>
      <c r="H4" s="266"/>
      <c r="I4" s="266"/>
    </row>
    <row r="5" spans="1:9" ht="12" customHeight="1" x14ac:dyDescent="0.3">
      <c r="A5" s="266"/>
      <c r="B5" s="266"/>
      <c r="C5" s="269"/>
      <c r="D5" s="269"/>
      <c r="E5" s="269"/>
      <c r="F5" s="269"/>
      <c r="G5" s="266"/>
      <c r="H5" s="266"/>
      <c r="I5" s="266"/>
    </row>
    <row r="6" spans="1:9" ht="19.5" customHeight="1" x14ac:dyDescent="0.3">
      <c r="A6" s="266"/>
      <c r="B6" s="270" t="s">
        <v>290</v>
      </c>
      <c r="C6" s="266"/>
      <c r="D6" s="266"/>
      <c r="E6" s="266"/>
      <c r="F6" s="266"/>
      <c r="G6" s="266"/>
      <c r="H6" s="266"/>
      <c r="I6" s="266"/>
    </row>
    <row r="7" spans="1:9" ht="19.5" customHeight="1" thickBot="1" x14ac:dyDescent="0.35">
      <c r="A7" s="266"/>
      <c r="B7" s="271" t="s">
        <v>291</v>
      </c>
      <c r="C7" s="272" t="s">
        <v>109</v>
      </c>
      <c r="D7" s="272" t="s">
        <v>120</v>
      </c>
      <c r="E7" s="272" t="s">
        <v>150</v>
      </c>
      <c r="F7" s="272" t="s">
        <v>158</v>
      </c>
      <c r="G7" s="272" t="s">
        <v>173</v>
      </c>
      <c r="H7" s="272" t="s">
        <v>175</v>
      </c>
      <c r="I7" s="266"/>
    </row>
    <row r="8" spans="1:9" ht="19.5" customHeight="1" x14ac:dyDescent="0.3">
      <c r="A8" s="266"/>
      <c r="B8" s="273" t="s">
        <v>292</v>
      </c>
      <c r="C8" s="274">
        <v>82.77186194926</v>
      </c>
      <c r="D8" s="274">
        <v>87.027002630929488</v>
      </c>
      <c r="E8" s="274">
        <v>88.041621569813429</v>
      </c>
      <c r="F8" s="274">
        <v>91.846000000000004</v>
      </c>
      <c r="G8" s="274">
        <v>101.89586</v>
      </c>
      <c r="H8" s="275">
        <v>113.06274999999999</v>
      </c>
      <c r="I8" s="276"/>
    </row>
    <row r="9" spans="1:9" ht="19.5" customHeight="1" x14ac:dyDescent="0.3">
      <c r="A9" s="277"/>
      <c r="B9" s="278" t="s">
        <v>293</v>
      </c>
      <c r="C9" s="279">
        <v>0.33253689788878882</v>
      </c>
      <c r="D9" s="279">
        <v>0.25274586694683232</v>
      </c>
      <c r="E9" s="279">
        <v>0.21414948450365356</v>
      </c>
      <c r="F9" s="279">
        <v>0.25291244918560563</v>
      </c>
      <c r="G9" s="279">
        <v>0.2310446762990932</v>
      </c>
      <c r="H9" s="279">
        <v>0.29916860953473057</v>
      </c>
      <c r="I9" s="276"/>
    </row>
    <row r="10" spans="1:9" ht="19.5" customHeight="1" x14ac:dyDescent="0.3">
      <c r="A10" s="277"/>
      <c r="B10" s="278" t="s">
        <v>294</v>
      </c>
      <c r="C10" s="279">
        <v>0.12912806522331044</v>
      </c>
      <c r="D10" s="279">
        <v>5.1408058021914949E-2</v>
      </c>
      <c r="E10" s="279">
        <v>1.1658668093934121E-2</v>
      </c>
      <c r="F10" s="279">
        <v>4.3211135396567624E-2</v>
      </c>
      <c r="G10" s="279">
        <v>0.10942076954902769</v>
      </c>
      <c r="H10" s="279">
        <v>0.10959120419612733</v>
      </c>
      <c r="I10" s="276"/>
    </row>
    <row r="11" spans="1:9" ht="19.5" customHeight="1" x14ac:dyDescent="0.3">
      <c r="A11" s="266"/>
      <c r="B11" s="273" t="s">
        <v>295</v>
      </c>
      <c r="C11" s="280">
        <v>-4.0431699999999999</v>
      </c>
      <c r="D11" s="280">
        <v>-4.4647782847000004</v>
      </c>
      <c r="E11" s="280">
        <v>-3.72268</v>
      </c>
      <c r="F11" s="280">
        <v>-3.0743299999999998</v>
      </c>
      <c r="G11" s="280">
        <v>-2.7322899999999999</v>
      </c>
      <c r="H11" s="280">
        <v>-2.5580700000000003</v>
      </c>
      <c r="I11" s="276"/>
    </row>
    <row r="12" spans="1:9" ht="19.5" customHeight="1" x14ac:dyDescent="0.3">
      <c r="A12" s="266"/>
      <c r="B12" s="278" t="s">
        <v>296</v>
      </c>
      <c r="C12" s="281">
        <v>-4.884715535913043E-2</v>
      </c>
      <c r="D12" s="281">
        <v>-5.1303367342600097E-2</v>
      </c>
      <c r="E12" s="281">
        <v>-4.2283183040285846E-2</v>
      </c>
      <c r="F12" s="281">
        <v>-3.347266075822572E-2</v>
      </c>
      <c r="G12" s="281">
        <v>-2.6814533976159582E-2</v>
      </c>
      <c r="H12" s="281">
        <v>-2.2625223603706796E-2</v>
      </c>
      <c r="I12" s="282"/>
    </row>
    <row r="13" spans="1:9" ht="19.5" customHeight="1" x14ac:dyDescent="0.3">
      <c r="A13" s="266"/>
      <c r="B13" s="273" t="s">
        <v>297</v>
      </c>
      <c r="C13" s="280">
        <v>26.937999999999999</v>
      </c>
      <c r="D13" s="280">
        <v>30.605209250000001</v>
      </c>
      <c r="E13" s="280">
        <v>32.979999999999997</v>
      </c>
      <c r="F13" s="280">
        <v>32.68</v>
      </c>
      <c r="G13" s="280">
        <v>34.770000000000003</v>
      </c>
      <c r="H13" s="275">
        <v>38.727020000000003</v>
      </c>
      <c r="I13" s="282"/>
    </row>
    <row r="14" spans="1:9" ht="19.5" customHeight="1" x14ac:dyDescent="0.3">
      <c r="A14" s="266"/>
      <c r="B14" s="273" t="s">
        <v>298</v>
      </c>
      <c r="C14" s="274">
        <v>-4.8689999999999998</v>
      </c>
      <c r="D14" s="274">
        <v>-4.887296031</v>
      </c>
      <c r="E14" s="274">
        <v>-4.99</v>
      </c>
      <c r="F14" s="274">
        <v>-3.61</v>
      </c>
      <c r="G14" s="274">
        <v>-3.48</v>
      </c>
      <c r="H14" s="275">
        <v>-3.4123999999999999</v>
      </c>
      <c r="I14" s="282"/>
    </row>
    <row r="15" spans="1:9" ht="19.5" customHeight="1" x14ac:dyDescent="0.3">
      <c r="A15" s="266"/>
      <c r="B15" s="273" t="s">
        <v>299</v>
      </c>
      <c r="C15" s="283">
        <v>13.88</v>
      </c>
      <c r="D15" s="283">
        <v>14.36</v>
      </c>
      <c r="E15" s="283">
        <v>14.17</v>
      </c>
      <c r="F15" s="283">
        <v>14.74</v>
      </c>
      <c r="G15" s="283">
        <v>15.99</v>
      </c>
      <c r="H15" s="283">
        <v>17.11</v>
      </c>
      <c r="I15" s="282"/>
    </row>
    <row r="16" spans="1:9" ht="19.5" customHeight="1" x14ac:dyDescent="0.3">
      <c r="A16" s="266"/>
      <c r="B16" s="273" t="s">
        <v>300</v>
      </c>
      <c r="C16" s="284">
        <v>350280</v>
      </c>
      <c r="D16" s="284">
        <v>404226</v>
      </c>
      <c r="E16" s="284">
        <v>407580</v>
      </c>
      <c r="F16" s="284">
        <v>408271</v>
      </c>
      <c r="G16" s="284">
        <v>457249</v>
      </c>
      <c r="H16" s="284">
        <v>521831</v>
      </c>
      <c r="I16" s="282"/>
    </row>
    <row r="17" spans="1:9" ht="19.5" customHeight="1" x14ac:dyDescent="0.3">
      <c r="A17" s="266"/>
      <c r="B17" s="285" t="s">
        <v>301</v>
      </c>
      <c r="C17" s="286">
        <v>4.42</v>
      </c>
      <c r="D17" s="286">
        <v>4.5</v>
      </c>
      <c r="E17" s="286">
        <v>4.49</v>
      </c>
      <c r="F17" s="286">
        <v>4.51</v>
      </c>
      <c r="G17" s="287">
        <v>4.5</v>
      </c>
      <c r="H17" s="287">
        <v>4.53</v>
      </c>
      <c r="I17" s="282"/>
    </row>
    <row r="18" spans="1:9" ht="18.75" customHeight="1" x14ac:dyDescent="0.3">
      <c r="A18" s="266"/>
      <c r="B18" s="288"/>
      <c r="C18" s="289"/>
      <c r="D18" s="266"/>
      <c r="E18" s="289"/>
      <c r="F18" s="266"/>
      <c r="G18" s="266"/>
      <c r="H18" s="266"/>
      <c r="I18" s="266"/>
    </row>
    <row r="19" spans="1:9" ht="19.5" customHeight="1" x14ac:dyDescent="0.3">
      <c r="A19" s="266"/>
      <c r="B19" s="266"/>
      <c r="C19" s="290"/>
      <c r="D19" s="290"/>
      <c r="E19" s="290"/>
      <c r="F19" s="290"/>
      <c r="G19" s="290"/>
      <c r="H19" s="290"/>
      <c r="I19" s="266"/>
    </row>
    <row r="20" spans="1:9" ht="19.5" customHeight="1" x14ac:dyDescent="0.3">
      <c r="A20" s="266"/>
      <c r="B20" s="270" t="s">
        <v>302</v>
      </c>
      <c r="G20" s="266"/>
      <c r="H20" s="266"/>
      <c r="I20" s="291"/>
    </row>
    <row r="21" spans="1:9" ht="19.5" customHeight="1" thickBot="1" x14ac:dyDescent="0.35">
      <c r="A21" s="266"/>
      <c r="B21" s="271" t="s">
        <v>291</v>
      </c>
      <c r="C21" s="272" t="s">
        <v>109</v>
      </c>
      <c r="D21" s="272" t="s">
        <v>120</v>
      </c>
      <c r="E21" s="272" t="s">
        <v>150</v>
      </c>
      <c r="F21" s="272" t="s">
        <v>158</v>
      </c>
      <c r="G21" s="272" t="s">
        <v>173</v>
      </c>
      <c r="H21" s="272" t="s">
        <v>175</v>
      </c>
      <c r="I21" s="266"/>
    </row>
    <row r="22" spans="1:9" ht="19.5" customHeight="1" x14ac:dyDescent="0.3">
      <c r="A22" s="266"/>
      <c r="B22" s="273" t="s">
        <v>8</v>
      </c>
      <c r="C22" s="274">
        <v>59.587429276000002</v>
      </c>
      <c r="D22" s="274">
        <v>62.747649289999998</v>
      </c>
      <c r="E22" s="274">
        <v>62.380638011472413</v>
      </c>
      <c r="F22" s="274">
        <v>62.459000000000003</v>
      </c>
      <c r="G22" s="274">
        <v>68.083439999999996</v>
      </c>
      <c r="H22" s="274">
        <v>71.908510000000007</v>
      </c>
      <c r="I22" s="292"/>
    </row>
    <row r="23" spans="1:9" ht="19.5" customHeight="1" x14ac:dyDescent="0.3">
      <c r="A23" s="277"/>
      <c r="B23" s="278" t="s">
        <v>293</v>
      </c>
      <c r="C23" s="279">
        <v>0.16561161014116066</v>
      </c>
      <c r="D23" s="279">
        <v>0.17073892514117484</v>
      </c>
      <c r="E23" s="279">
        <v>0.12864540798128354</v>
      </c>
      <c r="F23" s="279">
        <v>0.13188563459008007</v>
      </c>
      <c r="G23" s="279">
        <v>0.14258058834268139</v>
      </c>
      <c r="H23" s="279">
        <v>0.14599528131582074</v>
      </c>
      <c r="I23" s="293"/>
    </row>
    <row r="24" spans="1:9" ht="19.5" customHeight="1" x14ac:dyDescent="0.3">
      <c r="A24" s="277"/>
      <c r="B24" s="278" t="s">
        <v>294</v>
      </c>
      <c r="C24" s="279">
        <v>7.9846862736463464E-2</v>
      </c>
      <c r="D24" s="279">
        <v>5.3035011786837449E-2</v>
      </c>
      <c r="E24" s="279">
        <v>-5.8490044277416109E-3</v>
      </c>
      <c r="F24" s="279">
        <v>1.2561908795030163E-3</v>
      </c>
      <c r="G24" s="279">
        <v>9.0050112874045185E-2</v>
      </c>
      <c r="H24" s="279">
        <v>5.6182090681669683E-2</v>
      </c>
      <c r="I24" s="293"/>
    </row>
    <row r="25" spans="1:9" ht="19.5" customHeight="1" x14ac:dyDescent="0.3">
      <c r="A25" s="266"/>
      <c r="B25" s="273" t="s">
        <v>12</v>
      </c>
      <c r="C25" s="294">
        <v>14.55</v>
      </c>
      <c r="D25" s="294">
        <v>15.350670490000001</v>
      </c>
      <c r="E25" s="294">
        <v>15.33</v>
      </c>
      <c r="F25" s="294">
        <v>15.59</v>
      </c>
      <c r="G25" s="294">
        <v>17.3</v>
      </c>
      <c r="H25" s="274">
        <v>18.080300000000001</v>
      </c>
      <c r="I25" s="295">
        <f>H25/H22</f>
        <v>0.25143477454893726</v>
      </c>
    </row>
    <row r="26" spans="1:9" ht="19.5" customHeight="1" x14ac:dyDescent="0.3">
      <c r="A26" s="266"/>
      <c r="B26" s="273" t="s">
        <v>1</v>
      </c>
      <c r="C26" s="280">
        <v>3.124962</v>
      </c>
      <c r="D26" s="280">
        <v>3.1794616549999999</v>
      </c>
      <c r="E26" s="280">
        <v>3.6711999999999998</v>
      </c>
      <c r="F26" s="280">
        <v>4.1539999999999999</v>
      </c>
      <c r="G26" s="280">
        <v>4.3575999999999997</v>
      </c>
      <c r="H26" s="280">
        <v>4.7784000000000004</v>
      </c>
      <c r="I26" s="293"/>
    </row>
    <row r="27" spans="1:9" ht="19.5" customHeight="1" x14ac:dyDescent="0.3">
      <c r="A27" s="266"/>
      <c r="B27" s="278" t="s">
        <v>303</v>
      </c>
      <c r="C27" s="279">
        <v>5.2443309569970648E-2</v>
      </c>
      <c r="D27" s="279">
        <v>5.0670609831222888E-2</v>
      </c>
      <c r="E27" s="279">
        <v>5.885159429316561E-2</v>
      </c>
      <c r="F27" s="279">
        <v>6.6507629004627034E-2</v>
      </c>
      <c r="G27" s="279">
        <v>6.400381649340868E-2</v>
      </c>
      <c r="H27" s="279">
        <v>6.6451105717529116E-2</v>
      </c>
      <c r="I27" s="293"/>
    </row>
    <row r="28" spans="1:9" ht="19.5" customHeight="1" x14ac:dyDescent="0.3">
      <c r="A28" s="266"/>
      <c r="B28" s="273" t="s">
        <v>2</v>
      </c>
      <c r="C28" s="274">
        <v>-0.43195</v>
      </c>
      <c r="D28" s="274">
        <v>-0.53127828470000005</v>
      </c>
      <c r="E28" s="274">
        <v>0.16175999999999999</v>
      </c>
      <c r="F28" s="274">
        <v>0.32967000000000002</v>
      </c>
      <c r="G28" s="274">
        <v>0.57843</v>
      </c>
      <c r="H28" s="274">
        <v>1.1229</v>
      </c>
      <c r="I28" s="293"/>
    </row>
    <row r="29" spans="1:9" ht="19.5" customHeight="1" x14ac:dyDescent="0.3">
      <c r="A29" s="277"/>
      <c r="B29" s="278" t="s">
        <v>76</v>
      </c>
      <c r="C29" s="279">
        <v>-7.2490121699876099E-3</v>
      </c>
      <c r="D29" s="279">
        <v>-8.4669033933781022E-3</v>
      </c>
      <c r="E29" s="279">
        <v>2.59311230465855E-3</v>
      </c>
      <c r="F29" s="279">
        <v>5.2781824877119387E-3</v>
      </c>
      <c r="G29" s="279">
        <v>8.4958985621173076E-3</v>
      </c>
      <c r="H29" s="279">
        <v>1.5615676086182287E-2</v>
      </c>
      <c r="I29" s="293"/>
    </row>
    <row r="30" spans="1:9" ht="19.5" customHeight="1" x14ac:dyDescent="0.3">
      <c r="A30" s="266"/>
      <c r="B30" s="273" t="s">
        <v>299</v>
      </c>
      <c r="C30" s="283">
        <v>12.5564</v>
      </c>
      <c r="D30" s="283">
        <v>12.939878</v>
      </c>
      <c r="E30" s="283">
        <v>12.503898</v>
      </c>
      <c r="F30" s="283">
        <v>12.93427</v>
      </c>
      <c r="G30" s="283">
        <v>14.027469</v>
      </c>
      <c r="H30" s="283">
        <v>14.681680999999999</v>
      </c>
      <c r="I30" s="293"/>
    </row>
    <row r="31" spans="1:9" ht="19.5" customHeight="1" x14ac:dyDescent="0.3">
      <c r="A31" s="266"/>
      <c r="B31" s="273" t="s">
        <v>304</v>
      </c>
      <c r="C31" s="284">
        <v>183138</v>
      </c>
      <c r="D31" s="284">
        <v>189782</v>
      </c>
      <c r="E31" s="284">
        <v>197562</v>
      </c>
      <c r="F31" s="284">
        <v>215514</v>
      </c>
      <c r="G31" s="284">
        <v>223671</v>
      </c>
      <c r="H31" s="284">
        <v>233609</v>
      </c>
      <c r="I31" s="293"/>
    </row>
    <row r="32" spans="1:9" ht="19.5" customHeight="1" x14ac:dyDescent="0.3">
      <c r="A32" s="266"/>
      <c r="B32" s="296"/>
      <c r="C32" s="297"/>
      <c r="D32" s="297"/>
      <c r="E32" s="297"/>
      <c r="F32" s="297"/>
      <c r="G32" s="297"/>
      <c r="H32" s="297"/>
      <c r="I32" s="266"/>
    </row>
    <row r="33" spans="1:12" ht="19.5" customHeight="1" x14ac:dyDescent="0.3">
      <c r="A33" s="266"/>
      <c r="B33" s="296" t="s">
        <v>8</v>
      </c>
      <c r="C33" s="298">
        <v>59.587429276000002</v>
      </c>
      <c r="D33" s="298">
        <v>62.747649289999998</v>
      </c>
      <c r="E33" s="298">
        <v>62.380638011472413</v>
      </c>
      <c r="F33" s="298">
        <v>62.459000000000003</v>
      </c>
      <c r="G33" s="298">
        <v>68.083439999999996</v>
      </c>
      <c r="H33" s="298">
        <v>71.908510000000007</v>
      </c>
      <c r="I33" s="299"/>
    </row>
    <row r="34" spans="1:12" ht="19.5" customHeight="1" x14ac:dyDescent="0.3">
      <c r="A34" s="266"/>
      <c r="B34" s="296" t="s">
        <v>299</v>
      </c>
      <c r="C34" s="298">
        <v>12.5564</v>
      </c>
      <c r="D34" s="298">
        <v>12.939878</v>
      </c>
      <c r="E34" s="298">
        <v>12.503898</v>
      </c>
      <c r="F34" s="298">
        <v>12.93427</v>
      </c>
      <c r="G34" s="298">
        <v>14.027469</v>
      </c>
      <c r="H34" s="298">
        <v>14.681680999999999</v>
      </c>
      <c r="I34" s="299"/>
    </row>
    <row r="35" spans="1:12" ht="18" customHeight="1" x14ac:dyDescent="0.3">
      <c r="A35" s="266"/>
      <c r="B35" s="266" t="s">
        <v>194</v>
      </c>
      <c r="C35" s="298">
        <f>C33/C34</f>
        <v>4.7455822748558507</v>
      </c>
      <c r="D35" s="298">
        <f t="shared" ref="D35:H35" si="0">D33/D34</f>
        <v>4.8491685385287244</v>
      </c>
      <c r="E35" s="298">
        <f t="shared" si="0"/>
        <v>4.9888953038062542</v>
      </c>
      <c r="F35" s="298">
        <f t="shared" si="0"/>
        <v>4.8289543978902563</v>
      </c>
      <c r="G35" s="298">
        <f t="shared" si="0"/>
        <v>4.8535797869166561</v>
      </c>
      <c r="H35" s="298">
        <f t="shared" si="0"/>
        <v>4.8978390144834236</v>
      </c>
      <c r="I35" s="299"/>
    </row>
    <row r="36" spans="1:12" ht="19.5" customHeight="1" x14ac:dyDescent="0.3">
      <c r="A36" s="266"/>
      <c r="B36" s="270" t="s">
        <v>305</v>
      </c>
      <c r="C36" s="300">
        <v>91</v>
      </c>
      <c r="D36" s="301"/>
      <c r="E36" s="300">
        <v>92</v>
      </c>
      <c r="F36" s="300">
        <v>91</v>
      </c>
      <c r="G36" s="301">
        <v>91</v>
      </c>
      <c r="H36" s="301">
        <v>92</v>
      </c>
      <c r="I36" s="266"/>
    </row>
    <row r="37" spans="1:12" ht="19.5" customHeight="1" thickBot="1" x14ac:dyDescent="0.35">
      <c r="A37" s="266"/>
      <c r="B37" s="271" t="s">
        <v>291</v>
      </c>
      <c r="C37" s="272" t="s">
        <v>109</v>
      </c>
      <c r="D37" s="272" t="s">
        <v>120</v>
      </c>
      <c r="E37" s="272" t="s">
        <v>150</v>
      </c>
      <c r="F37" s="272" t="s">
        <v>158</v>
      </c>
      <c r="G37" s="272" t="s">
        <v>173</v>
      </c>
      <c r="H37" s="272" t="s">
        <v>175</v>
      </c>
      <c r="I37" s="266"/>
    </row>
    <row r="38" spans="1:12" ht="19.5" customHeight="1" x14ac:dyDescent="0.3">
      <c r="A38" s="266"/>
      <c r="B38" s="273" t="s">
        <v>8</v>
      </c>
      <c r="C38" s="274">
        <v>17.415150000000001</v>
      </c>
      <c r="D38" s="274">
        <v>19.2653</v>
      </c>
      <c r="E38" s="274">
        <v>20.770710000000001</v>
      </c>
      <c r="F38" s="274">
        <v>23.23451</v>
      </c>
      <c r="G38" s="274">
        <v>27.240469999999998</v>
      </c>
      <c r="H38" s="274">
        <v>33.818849999999998</v>
      </c>
      <c r="I38" s="302"/>
    </row>
    <row r="39" spans="1:12" ht="19.5" customHeight="1" x14ac:dyDescent="0.3">
      <c r="A39" s="277"/>
      <c r="B39" s="278" t="s">
        <v>293</v>
      </c>
      <c r="C39" s="279">
        <v>0.58387264649488468</v>
      </c>
      <c r="D39" s="279">
        <v>0.58786737550248347</v>
      </c>
      <c r="E39" s="279">
        <v>0.55606900331546005</v>
      </c>
      <c r="F39" s="279">
        <v>0.5797876528876249</v>
      </c>
      <c r="G39" s="279">
        <v>0.56418233549524399</v>
      </c>
      <c r="H39" s="279">
        <v>0.75542815320809953</v>
      </c>
      <c r="I39" s="302"/>
    </row>
    <row r="40" spans="1:12" ht="19.5" customHeight="1" x14ac:dyDescent="0.3">
      <c r="A40" s="277"/>
      <c r="B40" s="278" t="s">
        <v>294</v>
      </c>
      <c r="C40" s="279">
        <v>0.18411100312362616</v>
      </c>
      <c r="D40" s="279">
        <v>0.10623795947781089</v>
      </c>
      <c r="E40" s="279">
        <v>7.8141010002439781E-2</v>
      </c>
      <c r="F40" s="279">
        <v>0.11861895910154252</v>
      </c>
      <c r="G40" s="279">
        <v>0.17241422349771951</v>
      </c>
      <c r="H40" s="279">
        <v>0.24149289641478289</v>
      </c>
      <c r="I40" s="302"/>
    </row>
    <row r="41" spans="1:12" ht="19.5" customHeight="1" x14ac:dyDescent="0.3">
      <c r="A41" s="266"/>
      <c r="B41" s="273" t="s">
        <v>12</v>
      </c>
      <c r="C41" s="274">
        <v>2.123046816</v>
      </c>
      <c r="D41" s="274">
        <v>2.4</v>
      </c>
      <c r="E41" s="274">
        <v>2.93</v>
      </c>
      <c r="F41" s="274">
        <v>3.4270999999999998</v>
      </c>
      <c r="G41" s="274">
        <v>4.0338500000000002</v>
      </c>
      <c r="H41" s="274">
        <v>5.1273</v>
      </c>
      <c r="I41" s="303">
        <f t="shared" ref="I41:K41" si="1">E41/E38</f>
        <v>0.14106402718058267</v>
      </c>
      <c r="J41" s="303">
        <f t="shared" si="1"/>
        <v>0.14750042071040018</v>
      </c>
      <c r="K41" s="303">
        <f t="shared" si="1"/>
        <v>0.14808298094709821</v>
      </c>
      <c r="L41" s="303">
        <f>H41/H38</f>
        <v>0.151610714143148</v>
      </c>
    </row>
    <row r="42" spans="1:12" ht="19.5" customHeight="1" x14ac:dyDescent="0.3">
      <c r="A42" s="266"/>
      <c r="B42" s="273" t="s">
        <v>1</v>
      </c>
      <c r="C42" s="274">
        <v>-1.31</v>
      </c>
      <c r="D42" s="274">
        <v>-1.25</v>
      </c>
      <c r="E42" s="274">
        <v>-1.42</v>
      </c>
      <c r="F42" s="274">
        <v>-0.87</v>
      </c>
      <c r="G42" s="274">
        <v>-0.87</v>
      </c>
      <c r="H42" s="274">
        <v>-0.65686999999999995</v>
      </c>
      <c r="I42" s="302"/>
    </row>
    <row r="43" spans="1:12" ht="19.5" customHeight="1" x14ac:dyDescent="0.3">
      <c r="A43" s="266"/>
      <c r="B43" s="278" t="s">
        <v>303</v>
      </c>
      <c r="C43" s="279">
        <v>-7.4999999999999997E-2</v>
      </c>
      <c r="D43" s="279">
        <v>-6.4899999999999999E-2</v>
      </c>
      <c r="E43" s="279">
        <v>-6.83E-2</v>
      </c>
      <c r="F43" s="279">
        <v>-3.7600000000000001E-2</v>
      </c>
      <c r="G43" s="279">
        <v>-3.1800000000000002E-2</v>
      </c>
      <c r="H43" s="279">
        <v>-1.9400000000000001E-2</v>
      </c>
      <c r="I43" s="302"/>
    </row>
    <row r="44" spans="1:12" ht="19.5" customHeight="1" x14ac:dyDescent="0.3">
      <c r="A44" s="266"/>
      <c r="B44" s="273" t="s">
        <v>2</v>
      </c>
      <c r="C44" s="274">
        <v>-3.1210900000000001</v>
      </c>
      <c r="D44" s="274">
        <v>-3.49</v>
      </c>
      <c r="E44" s="274">
        <v>-3.42</v>
      </c>
      <c r="F44" s="274">
        <v>-3.0659999999999998</v>
      </c>
      <c r="G44" s="274">
        <v>-3.1791499999999999</v>
      </c>
      <c r="H44" s="274">
        <v>-3.5883500000000002</v>
      </c>
      <c r="I44" s="302"/>
    </row>
    <row r="45" spans="1:12" ht="19.5" customHeight="1" x14ac:dyDescent="0.3">
      <c r="A45" s="277"/>
      <c r="B45" s="278" t="s">
        <v>76</v>
      </c>
      <c r="C45" s="279">
        <v>-0.17921694616468994</v>
      </c>
      <c r="D45" s="279">
        <v>-0.18115471858730464</v>
      </c>
      <c r="E45" s="279">
        <v>-0.16465493957597019</v>
      </c>
      <c r="F45" s="279">
        <v>-0.13195888357447605</v>
      </c>
      <c r="G45" s="279">
        <v>-0.11670687032932986</v>
      </c>
      <c r="H45" s="279">
        <v>-0.10610502722594058</v>
      </c>
      <c r="I45" s="302"/>
    </row>
    <row r="46" spans="1:12" ht="19.5" customHeight="1" x14ac:dyDescent="0.3">
      <c r="A46" s="266"/>
      <c r="B46" s="273" t="s">
        <v>299</v>
      </c>
      <c r="C46" s="304">
        <v>3.8905669999999999</v>
      </c>
      <c r="D46" s="304">
        <v>4.0713689999999998</v>
      </c>
      <c r="E46" s="304">
        <v>4.2928439999999997</v>
      </c>
      <c r="F46" s="304">
        <v>4.693168</v>
      </c>
      <c r="G46" s="304">
        <v>5.2364839999999999</v>
      </c>
      <c r="H46" s="304">
        <v>6.1724800000000002</v>
      </c>
      <c r="I46" s="302"/>
    </row>
    <row r="47" spans="1:12" ht="19.5" customHeight="1" x14ac:dyDescent="0.3">
      <c r="A47" s="266"/>
      <c r="B47" s="273" t="s">
        <v>306</v>
      </c>
      <c r="C47" s="284">
        <v>421</v>
      </c>
      <c r="D47" s="284">
        <v>442</v>
      </c>
      <c r="E47" s="284">
        <v>487</v>
      </c>
      <c r="F47" s="284">
        <v>523</v>
      </c>
      <c r="G47" s="284">
        <v>557</v>
      </c>
      <c r="H47" s="284">
        <v>609</v>
      </c>
      <c r="I47" s="302"/>
    </row>
    <row r="48" spans="1:12" ht="19.5" customHeight="1" x14ac:dyDescent="0.3">
      <c r="A48" s="266"/>
      <c r="B48" s="296" t="s">
        <v>307</v>
      </c>
      <c r="C48" s="305">
        <v>1031.81853775678</v>
      </c>
      <c r="D48" s="305">
        <v>1023.710407</v>
      </c>
      <c r="E48" s="305">
        <v>989.32238193018486</v>
      </c>
      <c r="F48" s="305">
        <v>1050.1544344756583</v>
      </c>
      <c r="G48" s="305">
        <v>1102.8468838163633</v>
      </c>
      <c r="H48" s="305">
        <v>1210.1092310987365</v>
      </c>
      <c r="I48" s="302"/>
    </row>
    <row r="49" spans="1:9" ht="19.5" customHeight="1" x14ac:dyDescent="0.3">
      <c r="A49" s="266"/>
      <c r="B49" s="306" t="s">
        <v>308</v>
      </c>
      <c r="C49" s="274">
        <v>1.19</v>
      </c>
      <c r="D49" s="274">
        <v>1.2666740000000001</v>
      </c>
      <c r="E49" s="274">
        <v>1.4034199999999999</v>
      </c>
      <c r="F49" s="274">
        <v>1.518823</v>
      </c>
      <c r="G49" s="274">
        <v>1.6607529999999999</v>
      </c>
      <c r="H49" s="274">
        <v>1.9481470000000001</v>
      </c>
      <c r="I49" s="302"/>
    </row>
    <row r="50" spans="1:9" ht="19.5" customHeight="1" x14ac:dyDescent="0.3">
      <c r="A50" s="266"/>
      <c r="B50" s="288"/>
      <c r="C50" s="307"/>
      <c r="D50" s="307"/>
      <c r="E50" s="307"/>
      <c r="F50" s="307"/>
      <c r="G50" s="307"/>
      <c r="H50" s="307"/>
      <c r="I50" s="299"/>
    </row>
    <row r="51" spans="1:9" ht="19.5" customHeight="1" x14ac:dyDescent="0.3">
      <c r="A51" s="266"/>
      <c r="B51" s="288" t="s">
        <v>309</v>
      </c>
      <c r="C51" s="298">
        <f>C38</f>
        <v>17.415150000000001</v>
      </c>
      <c r="D51" s="298">
        <f t="shared" ref="D51:H51" si="2">D38</f>
        <v>19.2653</v>
      </c>
      <c r="E51" s="298">
        <f t="shared" si="2"/>
        <v>20.770710000000001</v>
      </c>
      <c r="F51" s="298">
        <f t="shared" si="2"/>
        <v>23.23451</v>
      </c>
      <c r="G51" s="298">
        <f t="shared" si="2"/>
        <v>27.240469999999998</v>
      </c>
      <c r="H51" s="298">
        <f t="shared" si="2"/>
        <v>33.818849999999998</v>
      </c>
      <c r="I51" s="299"/>
    </row>
    <row r="52" spans="1:9" ht="19.5" customHeight="1" x14ac:dyDescent="0.3">
      <c r="A52" s="266"/>
      <c r="B52" s="288" t="s">
        <v>193</v>
      </c>
      <c r="C52" s="298">
        <f>C46</f>
        <v>3.8905669999999999</v>
      </c>
      <c r="D52" s="298">
        <f t="shared" ref="D52:H52" si="3">D46</f>
        <v>4.0713689999999998</v>
      </c>
      <c r="E52" s="298">
        <f t="shared" si="3"/>
        <v>4.2928439999999997</v>
      </c>
      <c r="F52" s="298">
        <f t="shared" si="3"/>
        <v>4.693168</v>
      </c>
      <c r="G52" s="298">
        <f t="shared" si="3"/>
        <v>5.2364839999999999</v>
      </c>
      <c r="H52" s="298">
        <f t="shared" si="3"/>
        <v>6.1724800000000002</v>
      </c>
      <c r="I52" s="299"/>
    </row>
    <row r="53" spans="1:9" ht="19.5" customHeight="1" x14ac:dyDescent="0.3">
      <c r="A53" s="266"/>
      <c r="B53" s="288" t="s">
        <v>194</v>
      </c>
      <c r="C53" s="298">
        <f>C51/C52</f>
        <v>4.4762498628092002</v>
      </c>
      <c r="D53" s="298">
        <f t="shared" ref="D53:H53" si="4">D51/D52</f>
        <v>4.7318973053044324</v>
      </c>
      <c r="E53" s="298">
        <f t="shared" si="4"/>
        <v>4.8384497549876029</v>
      </c>
      <c r="F53" s="298">
        <f t="shared" si="4"/>
        <v>4.9507092011195848</v>
      </c>
      <c r="G53" s="298">
        <f t="shared" si="4"/>
        <v>5.2020535152976688</v>
      </c>
      <c r="H53" s="298">
        <f t="shared" si="4"/>
        <v>5.4789727953756024</v>
      </c>
      <c r="I53" s="299"/>
    </row>
    <row r="54" spans="1:9" ht="19.5" customHeight="1" x14ac:dyDescent="0.3">
      <c r="A54" s="266"/>
      <c r="B54" s="288"/>
      <c r="C54" s="298"/>
      <c r="D54" s="298"/>
      <c r="E54" s="298"/>
      <c r="F54" s="298"/>
      <c r="G54" s="298"/>
      <c r="H54" s="298"/>
      <c r="I54" s="299"/>
    </row>
    <row r="55" spans="1:9" ht="19.5" customHeight="1" x14ac:dyDescent="0.3">
      <c r="A55" s="266"/>
      <c r="B55" s="270" t="s">
        <v>310</v>
      </c>
      <c r="G55" s="266"/>
      <c r="H55" s="266"/>
      <c r="I55" s="266"/>
    </row>
    <row r="56" spans="1:9" ht="19.5" customHeight="1" thickBot="1" x14ac:dyDescent="0.35">
      <c r="A56" s="266"/>
      <c r="B56" s="271" t="s">
        <v>291</v>
      </c>
      <c r="C56" s="272" t="s">
        <v>109</v>
      </c>
      <c r="D56" s="272" t="s">
        <v>120</v>
      </c>
      <c r="E56" s="272" t="s">
        <v>150</v>
      </c>
      <c r="F56" s="272" t="s">
        <v>158</v>
      </c>
      <c r="G56" s="272" t="s">
        <v>173</v>
      </c>
      <c r="H56" s="272" t="s">
        <v>175</v>
      </c>
      <c r="I56" s="266"/>
    </row>
    <row r="57" spans="1:9" ht="19.5" customHeight="1" x14ac:dyDescent="0.3">
      <c r="A57" s="266"/>
      <c r="B57" s="273" t="s">
        <v>8</v>
      </c>
      <c r="C57" s="274">
        <v>5.7692800000000002</v>
      </c>
      <c r="D57" s="274">
        <v>5.0143500000000003</v>
      </c>
      <c r="E57" s="274">
        <v>4.8899800000000004</v>
      </c>
      <c r="F57" s="274">
        <v>6.1570499999999999</v>
      </c>
      <c r="G57" s="274">
        <v>6.5719500000000002</v>
      </c>
      <c r="H57" s="274">
        <v>7.3353999999999999</v>
      </c>
      <c r="I57" s="276"/>
    </row>
    <row r="58" spans="1:9" ht="19.5" customHeight="1" x14ac:dyDescent="0.3">
      <c r="A58" s="277"/>
      <c r="B58" s="278" t="s">
        <v>293</v>
      </c>
      <c r="C58" s="279"/>
      <c r="D58" s="279">
        <v>0.34096909207885107</v>
      </c>
      <c r="E58" s="279">
        <v>0.25562733098522306</v>
      </c>
      <c r="F58" s="279">
        <v>0.80191516465697399</v>
      </c>
      <c r="G58" s="279">
        <v>0.13912827943868211</v>
      </c>
      <c r="H58" s="279">
        <v>0.46288153000887444</v>
      </c>
      <c r="I58" s="276"/>
    </row>
    <row r="59" spans="1:9" ht="19.5" customHeight="1" x14ac:dyDescent="0.3">
      <c r="A59" s="277"/>
      <c r="B59" s="278" t="s">
        <v>294</v>
      </c>
      <c r="C59" s="279">
        <v>0.68843084287965617</v>
      </c>
      <c r="D59" s="279">
        <v>-0.13085341671751061</v>
      </c>
      <c r="E59" s="279">
        <v>-2.4802815918314458E-2</v>
      </c>
      <c r="F59" s="279">
        <v>0.25911557920482275</v>
      </c>
      <c r="G59" s="279">
        <v>6.7386167076765702E-2</v>
      </c>
      <c r="H59" s="279">
        <v>0.11616795623825493</v>
      </c>
      <c r="I59" s="276"/>
    </row>
    <row r="60" spans="1:9" ht="19.5" customHeight="1" x14ac:dyDescent="0.3">
      <c r="A60" s="266"/>
      <c r="B60" s="273" t="s">
        <v>12</v>
      </c>
      <c r="C60" s="274">
        <v>0.31125000000000003</v>
      </c>
      <c r="D60" s="274">
        <v>0.35494199999999998</v>
      </c>
      <c r="E60" s="274">
        <v>0.36215999999999998</v>
      </c>
      <c r="F60" s="274">
        <v>0.54300000000000004</v>
      </c>
      <c r="G60" s="274">
        <v>0.46700000000000003</v>
      </c>
      <c r="H60" s="274">
        <v>0.59997</v>
      </c>
      <c r="I60" s="276"/>
    </row>
    <row r="61" spans="1:9" ht="19.5" customHeight="1" x14ac:dyDescent="0.3">
      <c r="A61" s="266"/>
      <c r="B61" s="273" t="s">
        <v>311</v>
      </c>
      <c r="C61" s="274">
        <v>0.16</v>
      </c>
      <c r="D61" s="274">
        <v>0.11</v>
      </c>
      <c r="E61" s="274">
        <v>3.5200000000000002E-2</v>
      </c>
      <c r="F61" s="274">
        <v>0.23</v>
      </c>
      <c r="G61" s="274">
        <v>0.23</v>
      </c>
      <c r="H61" s="274">
        <v>0.27684999999999998</v>
      </c>
      <c r="I61" s="276"/>
    </row>
    <row r="62" spans="1:9" ht="19.5" customHeight="1" x14ac:dyDescent="0.3">
      <c r="A62" s="266"/>
      <c r="B62" s="278" t="s">
        <v>303</v>
      </c>
      <c r="C62" s="279">
        <v>2.7799999999999998E-2</v>
      </c>
      <c r="D62" s="279">
        <v>2.1700000000000001E-2</v>
      </c>
      <c r="E62" s="279">
        <v>7.1999999999999998E-3</v>
      </c>
      <c r="F62" s="279">
        <v>3.7304476000000003E-2</v>
      </c>
      <c r="G62" s="279">
        <v>3.49E-2</v>
      </c>
      <c r="H62" s="279">
        <v>3.7699999999999997E-2</v>
      </c>
      <c r="I62" s="276"/>
    </row>
    <row r="63" spans="1:9" ht="19.5" customHeight="1" x14ac:dyDescent="0.3">
      <c r="A63" s="266"/>
      <c r="B63" s="273" t="s">
        <v>2</v>
      </c>
      <c r="C63" s="274">
        <v>-0.49013000000000001</v>
      </c>
      <c r="D63" s="274">
        <v>-0.44350000000000001</v>
      </c>
      <c r="E63" s="274">
        <v>-0.46444000000000002</v>
      </c>
      <c r="F63" s="274">
        <v>-0.33800000000000002</v>
      </c>
      <c r="G63" s="274">
        <v>-0.13156999999999999</v>
      </c>
      <c r="H63" s="274">
        <v>-9.2619999999999994E-2</v>
      </c>
      <c r="I63" s="276"/>
    </row>
    <row r="64" spans="1:9" ht="19.5" customHeight="1" x14ac:dyDescent="0.3">
      <c r="A64" s="277"/>
      <c r="B64" s="278" t="s">
        <v>76</v>
      </c>
      <c r="C64" s="279">
        <v>-8.4955141716124019E-2</v>
      </c>
      <c r="D64" s="279">
        <v>-8.8446159522171358E-2</v>
      </c>
      <c r="E64" s="279">
        <v>-9.497789357011685E-2</v>
      </c>
      <c r="F64" s="279">
        <v>-5.4896419551570964E-2</v>
      </c>
      <c r="G64" s="279">
        <v>-2.0019933200952533E-2</v>
      </c>
      <c r="H64" s="279">
        <v>-1.2626441639174413E-2</v>
      </c>
      <c r="I64" s="276"/>
    </row>
    <row r="65" spans="1:9" ht="19.5" customHeight="1" x14ac:dyDescent="0.3">
      <c r="A65" s="266"/>
      <c r="B65" s="273" t="s">
        <v>312</v>
      </c>
      <c r="C65" s="284">
        <v>22889</v>
      </c>
      <c r="D65" s="284">
        <v>25599</v>
      </c>
      <c r="E65" s="284">
        <v>27444</v>
      </c>
      <c r="F65" s="284">
        <v>30365</v>
      </c>
      <c r="G65" s="284">
        <v>33352</v>
      </c>
      <c r="H65" s="284">
        <v>34683</v>
      </c>
      <c r="I65" s="276"/>
    </row>
    <row r="66" spans="1:9" ht="15.65" customHeight="1" x14ac:dyDescent="0.3">
      <c r="A66" s="266"/>
      <c r="B66" s="266"/>
      <c r="C66" s="266"/>
      <c r="D66" s="266"/>
      <c r="E66" s="266"/>
      <c r="F66" s="266"/>
      <c r="G66" s="266"/>
      <c r="H66" s="266"/>
      <c r="I66" s="266"/>
    </row>
    <row r="67" spans="1:9" ht="19.5" customHeight="1" x14ac:dyDescent="0.3">
      <c r="A67" s="266"/>
      <c r="B67" s="288"/>
      <c r="C67" s="266"/>
      <c r="D67" s="308"/>
      <c r="E67" s="308"/>
      <c r="F67" s="308"/>
      <c r="G67" s="308"/>
      <c r="H67" s="308"/>
      <c r="I67" s="266"/>
    </row>
    <row r="68" spans="1:9" ht="19.5" customHeight="1" x14ac:dyDescent="0.3">
      <c r="A68" s="266"/>
      <c r="B68" s="270" t="s">
        <v>313</v>
      </c>
      <c r="G68" s="266"/>
      <c r="H68" s="266"/>
      <c r="I68" s="266"/>
    </row>
    <row r="69" spans="1:9" ht="19.5" customHeight="1" thickBot="1" x14ac:dyDescent="0.35">
      <c r="A69" s="266"/>
      <c r="B69" s="271" t="s">
        <v>291</v>
      </c>
      <c r="C69" s="272" t="s">
        <v>109</v>
      </c>
      <c r="D69" s="272" t="s">
        <v>120</v>
      </c>
      <c r="E69" s="272" t="s">
        <v>150</v>
      </c>
      <c r="F69" s="272" t="s">
        <v>158</v>
      </c>
      <c r="G69" s="272" t="s">
        <v>173</v>
      </c>
      <c r="H69" s="272" t="s">
        <v>175</v>
      </c>
      <c r="I69" s="266"/>
    </row>
    <row r="70" spans="1:9" ht="19.5" customHeight="1" x14ac:dyDescent="0.3">
      <c r="A70" s="266"/>
      <c r="B70" s="273" t="s">
        <v>11</v>
      </c>
      <c r="C70" s="309">
        <v>9.4758099999999992</v>
      </c>
      <c r="D70" s="309">
        <v>11.901999999999999</v>
      </c>
      <c r="E70" s="309">
        <v>13.768000000000001</v>
      </c>
      <c r="F70" s="309">
        <v>12.65</v>
      </c>
      <c r="G70" s="275">
        <v>12.68257</v>
      </c>
      <c r="H70" s="275">
        <v>14.525589999999999</v>
      </c>
      <c r="I70" s="276"/>
    </row>
    <row r="71" spans="1:9" ht="19.5" customHeight="1" x14ac:dyDescent="0.3">
      <c r="A71" s="266"/>
      <c r="B71" s="273" t="s">
        <v>2</v>
      </c>
      <c r="C71" s="275">
        <v>-0.42662</v>
      </c>
      <c r="D71" s="275">
        <v>-0.129</v>
      </c>
      <c r="E71" s="275">
        <v>-0.95299999999999996</v>
      </c>
      <c r="F71" s="275">
        <v>-0.35799999999999998</v>
      </c>
      <c r="G71" s="275">
        <v>-0.57890999999999992</v>
      </c>
      <c r="H71" s="275">
        <v>-0.74104000000000003</v>
      </c>
      <c r="I71" s="276"/>
    </row>
    <row r="72" spans="1:9" ht="13" x14ac:dyDescent="0.3">
      <c r="A72" s="266"/>
      <c r="B72" s="266"/>
      <c r="C72" s="307"/>
      <c r="D72" s="307"/>
      <c r="E72" s="307"/>
      <c r="F72" s="307"/>
      <c r="G72" s="307"/>
      <c r="H72" s="307"/>
      <c r="I72" s="266"/>
    </row>
    <row r="73" spans="1:9" ht="19.5" customHeight="1" x14ac:dyDescent="0.3">
      <c r="A73" s="266"/>
      <c r="B73" s="288"/>
      <c r="C73" s="266"/>
      <c r="D73" s="266"/>
      <c r="E73" s="266"/>
      <c r="F73" s="266"/>
      <c r="G73" s="266"/>
      <c r="H73" s="266"/>
      <c r="I73" s="266"/>
    </row>
    <row r="74" spans="1:9" ht="19.5" customHeight="1" x14ac:dyDescent="0.3">
      <c r="A74" s="266"/>
      <c r="B74" s="270" t="s">
        <v>314</v>
      </c>
      <c r="G74" s="266"/>
      <c r="H74" s="266"/>
      <c r="I74" s="266"/>
    </row>
    <row r="75" spans="1:9" ht="19.5" customHeight="1" thickBot="1" x14ac:dyDescent="0.35">
      <c r="A75" s="266"/>
      <c r="B75" s="271" t="s">
        <v>291</v>
      </c>
      <c r="C75" s="272" t="s">
        <v>109</v>
      </c>
      <c r="D75" s="272" t="s">
        <v>120</v>
      </c>
      <c r="E75" s="272" t="s">
        <v>150</v>
      </c>
      <c r="F75" s="272" t="s">
        <v>158</v>
      </c>
      <c r="G75" s="272" t="s">
        <v>173</v>
      </c>
      <c r="H75" s="272" t="s">
        <v>175</v>
      </c>
      <c r="I75" s="266"/>
    </row>
    <row r="76" spans="1:9" ht="19.5" customHeight="1" x14ac:dyDescent="0.3">
      <c r="A76" s="266"/>
      <c r="B76" s="310" t="s">
        <v>12</v>
      </c>
      <c r="C76" s="311">
        <v>0.48299999999999998</v>
      </c>
      <c r="D76" s="311">
        <v>0.59770000000000001</v>
      </c>
      <c r="E76" s="311">
        <v>0.59099999999999997</v>
      </c>
      <c r="F76" s="311">
        <v>0.47099999999999997</v>
      </c>
      <c r="G76" s="311">
        <v>0.29299999999999998</v>
      </c>
      <c r="H76" s="311">
        <v>0.39389999999999997</v>
      </c>
      <c r="I76" s="276"/>
    </row>
    <row r="77" spans="1:9" ht="14" x14ac:dyDescent="0.3">
      <c r="A77" s="266"/>
      <c r="B77" s="273" t="s">
        <v>2</v>
      </c>
      <c r="C77" s="275">
        <v>-0.39917000000000002</v>
      </c>
      <c r="D77" s="275">
        <v>-0.29654999999999998</v>
      </c>
      <c r="E77" s="275">
        <v>-0.318</v>
      </c>
      <c r="F77" s="275">
        <v>-0.17599999999999999</v>
      </c>
      <c r="G77" s="275">
        <v>-0.1668</v>
      </c>
      <c r="H77" s="275">
        <v>-0.1133</v>
      </c>
      <c r="I77" s="276"/>
    </row>
  </sheetData>
  <pageMargins left="0.7" right="0.7" top="0.75" bottom="0.75" header="0" footer="0"/>
  <pageSetup scale="80" fitToHeight="0" orientation="landscape" r:id="rId1"/>
  <extLst>
    <ext xmlns:x14="http://schemas.microsoft.com/office/spreadsheetml/2009/9/main" uri="{05C60535-1F16-4fd2-B633-F4F36F0B64E0}">
      <x14:sparklineGroups xmlns:xm="http://schemas.microsoft.com/office/excel/2006/main">
        <x14:sparklineGroup type="column" displayEmptyCellsAs="gap" xr2:uid="{023AFBCF-EBA5-433C-83CA-80C7D7E71D44}">
          <x14:colorSeries rgb="FF376092"/>
          <x14:colorNegative rgb="FFD00000"/>
          <x14:colorAxis rgb="FF000000"/>
          <x14:colorMarkers rgb="FFD00000"/>
          <x14:colorFirst rgb="FFD00000"/>
          <x14:colorLast rgb="FFD00000"/>
          <x14:colorHigh rgb="FFD00000"/>
          <x14:colorLow rgb="FFD00000"/>
          <x14:sparklines>
            <x14:sparkline>
              <xm:f>'Swiggy Quarterly numbers'!C51:H51</xm:f>
              <xm:sqref>I51</xm:sqref>
            </x14:sparkline>
            <x14:sparkline>
              <xm:f>'Swiggy Quarterly numbers'!C52:H52</xm:f>
              <xm:sqref>I52</xm:sqref>
            </x14:sparkline>
            <x14:sparkline>
              <xm:f>'Swiggy Quarterly numbers'!C53:H53</xm:f>
              <xm:sqref>I53</xm:sqref>
            </x14:sparkline>
            <x14:sparkline>
              <xm:f>'Swiggy Quarterly numbers'!C54:H54</xm:f>
              <xm:sqref>I54</xm:sqref>
            </x14:sparkline>
          </x14:sparklines>
        </x14:sparklineGroup>
        <x14:sparklineGroup type="column" displayEmptyCellsAs="gap" xr2:uid="{FD5EE7CE-5D9B-4394-AF76-0B8C9362F00F}">
          <x14:colorSeries rgb="FF376092"/>
          <x14:colorNegative rgb="FFD00000"/>
          <x14:colorAxis rgb="FF000000"/>
          <x14:colorMarkers rgb="FFD00000"/>
          <x14:colorFirst rgb="FFD00000"/>
          <x14:colorLast rgb="FFD00000"/>
          <x14:colorHigh rgb="FFD00000"/>
          <x14:colorLow rgb="FFD00000"/>
          <x14:sparklines>
            <x14:sparkline>
              <xm:f>'Swiggy Quarterly numbers'!C33:H33</xm:f>
              <xm:sqref>I33</xm:sqref>
            </x14:sparkline>
            <x14:sparkline>
              <xm:f>'Swiggy Quarterly numbers'!C34:H34</xm:f>
              <xm:sqref>I34</xm:sqref>
            </x14:sparkline>
            <x14:sparkline>
              <xm:f>'Swiggy Quarterly numbers'!C35:H35</xm:f>
              <xm:sqref>I35</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91FBBA-BC37-4D64-A155-2EDE86B339DD}">
  <sheetPr codeName="Sheet6">
    <tabColor rgb="FFFF0000"/>
    <pageSetUpPr fitToPage="1"/>
  </sheetPr>
  <dimension ref="A1:XFD141"/>
  <sheetViews>
    <sheetView showGridLines="0" zoomScale="55" zoomScaleNormal="50" workbookViewId="0">
      <selection activeCell="P89" sqref="P89"/>
    </sheetView>
  </sheetViews>
  <sheetFormatPr defaultColWidth="9.1796875" defaultRowHeight="18.5" x14ac:dyDescent="0.5"/>
  <cols>
    <col min="1" max="2" width="2.7265625" style="3" customWidth="1"/>
    <col min="3" max="3" width="50.54296875" style="3" customWidth="1"/>
    <col min="4" max="18" width="15.7265625" style="3" customWidth="1"/>
    <col min="19" max="16384" width="9.1796875" style="3"/>
  </cols>
  <sheetData>
    <row r="1" spans="1:4" s="2" customFormat="1" ht="39" x14ac:dyDescent="1">
      <c r="A1" s="2" t="s">
        <v>66</v>
      </c>
    </row>
    <row r="2" spans="1:4" ht="14.5" customHeight="1" x14ac:dyDescent="0.5"/>
    <row r="3" spans="1:4" ht="20.25" customHeight="1" x14ac:dyDescent="0.55000000000000004">
      <c r="A3" s="60" t="s">
        <v>81</v>
      </c>
      <c r="D3" s="80" t="s">
        <v>82</v>
      </c>
    </row>
    <row r="4" spans="1:4" ht="15" customHeight="1" x14ac:dyDescent="0.55000000000000004">
      <c r="A4" s="60"/>
    </row>
    <row r="5" spans="1:4" ht="15" customHeight="1" x14ac:dyDescent="0.5">
      <c r="B5" s="80" t="s">
        <v>83</v>
      </c>
      <c r="C5" s="80" t="s">
        <v>16</v>
      </c>
    </row>
    <row r="6" spans="1:4" ht="5.25" customHeight="1" x14ac:dyDescent="0.5">
      <c r="B6" s="80"/>
      <c r="C6" s="80"/>
    </row>
    <row r="7" spans="1:4" ht="15" customHeight="1" x14ac:dyDescent="0.5">
      <c r="B7" s="80" t="s">
        <v>84</v>
      </c>
      <c r="C7" s="80" t="s">
        <v>21</v>
      </c>
    </row>
    <row r="8" spans="1:4" ht="5.25" customHeight="1" x14ac:dyDescent="0.5">
      <c r="B8" s="80"/>
      <c r="C8" s="80"/>
      <c r="D8" s="95"/>
    </row>
    <row r="9" spans="1:4" ht="15" customHeight="1" x14ac:dyDescent="0.5">
      <c r="B9" s="80" t="s">
        <v>85</v>
      </c>
      <c r="C9" s="80" t="s">
        <v>0</v>
      </c>
    </row>
    <row r="10" spans="1:4" ht="5.25" customHeight="1" x14ac:dyDescent="0.5">
      <c r="B10" s="80"/>
      <c r="C10" s="80"/>
      <c r="D10" s="95"/>
    </row>
    <row r="11" spans="1:4" ht="15" customHeight="1" x14ac:dyDescent="0.5">
      <c r="B11" s="80" t="s">
        <v>86</v>
      </c>
      <c r="C11" s="80" t="s">
        <v>104</v>
      </c>
    </row>
    <row r="12" spans="1:4" ht="5.25" customHeight="1" x14ac:dyDescent="0.5">
      <c r="B12" s="80"/>
      <c r="C12" s="80"/>
      <c r="D12" s="95"/>
    </row>
    <row r="13" spans="1:4" ht="15" customHeight="1" x14ac:dyDescent="0.5">
      <c r="B13" s="80" t="s">
        <v>136</v>
      </c>
      <c r="C13" s="80" t="s">
        <v>121</v>
      </c>
    </row>
    <row r="14" spans="1:4" ht="14.5" customHeight="1" x14ac:dyDescent="0.5">
      <c r="C14" s="79"/>
    </row>
    <row r="15" spans="1:4" ht="21" x14ac:dyDescent="0.55000000000000004">
      <c r="A15" s="60" t="s">
        <v>87</v>
      </c>
      <c r="B15" s="13"/>
    </row>
    <row r="17" spans="1:20" x14ac:dyDescent="0.5">
      <c r="B17" s="4" t="s">
        <v>123</v>
      </c>
    </row>
    <row r="18" spans="1:20" ht="19" thickBot="1" x14ac:dyDescent="0.55000000000000004">
      <c r="C18" s="6" t="s">
        <v>74</v>
      </c>
      <c r="D18" s="7" t="s">
        <v>22</v>
      </c>
      <c r="E18" s="7" t="s">
        <v>23</v>
      </c>
      <c r="F18" s="7" t="s">
        <v>24</v>
      </c>
      <c r="G18" s="7" t="s">
        <v>55</v>
      </c>
      <c r="H18" s="7" t="s">
        <v>95</v>
      </c>
      <c r="I18" s="7" t="s">
        <v>96</v>
      </c>
      <c r="J18" s="7" t="s">
        <v>102</v>
      </c>
      <c r="K18" s="7" t="s">
        <v>109</v>
      </c>
      <c r="L18" s="7" t="s">
        <v>120</v>
      </c>
      <c r="M18" s="7" t="s">
        <v>150</v>
      </c>
      <c r="N18" s="7" t="s">
        <v>158</v>
      </c>
      <c r="O18" s="7" t="s">
        <v>173</v>
      </c>
      <c r="P18" s="7" t="s">
        <v>175</v>
      </c>
    </row>
    <row r="19" spans="1:20" x14ac:dyDescent="0.5">
      <c r="C19" s="8" t="s">
        <v>21</v>
      </c>
      <c r="D19" s="88"/>
      <c r="E19" s="88"/>
      <c r="F19" s="88"/>
      <c r="G19" s="88"/>
      <c r="H19" s="24">
        <v>66.31</v>
      </c>
      <c r="I19" s="24">
        <v>66.8</v>
      </c>
      <c r="J19" s="24">
        <v>65.69</v>
      </c>
      <c r="K19" s="24">
        <v>73.180000000000007</v>
      </c>
      <c r="L19" s="24">
        <v>79.8</v>
      </c>
      <c r="M19" s="24">
        <v>84.86</v>
      </c>
      <c r="N19" s="24">
        <v>84.39</v>
      </c>
      <c r="O19" s="24">
        <v>92.64</v>
      </c>
      <c r="P19" s="24">
        <v>96.9</v>
      </c>
    </row>
    <row r="20" spans="1:20" ht="20" x14ac:dyDescent="0.5">
      <c r="C20" s="8" t="s">
        <v>56</v>
      </c>
      <c r="D20" s="88"/>
      <c r="E20" s="88"/>
      <c r="F20" s="88"/>
      <c r="G20" s="88"/>
      <c r="H20" s="24" t="s">
        <v>124</v>
      </c>
      <c r="I20" s="24">
        <v>17.489999999999998</v>
      </c>
      <c r="J20" s="24">
        <v>20.46</v>
      </c>
      <c r="K20" s="24">
        <v>21.4</v>
      </c>
      <c r="L20" s="24">
        <v>27.6</v>
      </c>
      <c r="M20" s="24">
        <v>35.42</v>
      </c>
      <c r="N20" s="24">
        <v>40.270000000000003</v>
      </c>
      <c r="O20" s="24">
        <v>49.23</v>
      </c>
      <c r="P20" s="24">
        <v>61.32</v>
      </c>
    </row>
    <row r="21" spans="1:20" ht="20" x14ac:dyDescent="0.5">
      <c r="C21" s="8" t="s">
        <v>139</v>
      </c>
      <c r="D21" s="88"/>
      <c r="E21" s="88"/>
      <c r="F21" s="88"/>
      <c r="G21" s="88"/>
      <c r="H21" s="24">
        <v>2.98</v>
      </c>
      <c r="I21" s="24">
        <v>3.38</v>
      </c>
      <c r="J21" s="24">
        <v>3.48</v>
      </c>
      <c r="K21" s="24">
        <v>6.16</v>
      </c>
      <c r="L21" s="24">
        <v>6.82</v>
      </c>
      <c r="M21" s="24">
        <v>8.58</v>
      </c>
      <c r="N21" s="24">
        <v>10.69</v>
      </c>
      <c r="O21" s="24">
        <v>12.68</v>
      </c>
      <c r="P21" s="24">
        <v>18.489999999999998</v>
      </c>
    </row>
    <row r="22" spans="1:20" x14ac:dyDescent="0.5">
      <c r="C22" s="11" t="s">
        <v>122</v>
      </c>
      <c r="D22" s="88"/>
      <c r="E22" s="88"/>
      <c r="F22" s="88"/>
      <c r="G22" s="88"/>
      <c r="H22" s="44">
        <v>77.709999999999994</v>
      </c>
      <c r="I22" s="44">
        <v>87.67</v>
      </c>
      <c r="J22" s="44">
        <v>89.63</v>
      </c>
      <c r="K22" s="44">
        <v>100.74</v>
      </c>
      <c r="L22" s="44">
        <v>114.22</v>
      </c>
      <c r="M22" s="44">
        <v>128.86000000000001</v>
      </c>
      <c r="N22" s="44">
        <v>135.36000000000001</v>
      </c>
      <c r="O22" s="44">
        <v>154.55000000000001</v>
      </c>
      <c r="P22" s="44">
        <v>176.7</v>
      </c>
    </row>
    <row r="23" spans="1:20" x14ac:dyDescent="0.5">
      <c r="C23" s="12" t="s">
        <v>126</v>
      </c>
      <c r="D23" s="88"/>
      <c r="E23" s="88"/>
      <c r="F23" s="88"/>
      <c r="G23" s="88"/>
      <c r="H23" s="10">
        <v>0.23</v>
      </c>
      <c r="I23" s="10">
        <v>0.21</v>
      </c>
      <c r="J23" s="10">
        <v>0.12</v>
      </c>
      <c r="K23" s="10">
        <v>0.14000000000000001</v>
      </c>
      <c r="L23" s="10">
        <v>0.2</v>
      </c>
      <c r="M23" s="10">
        <v>0.27</v>
      </c>
      <c r="N23" s="10">
        <v>0.28000000000000003</v>
      </c>
      <c r="O23" s="10">
        <v>0.27</v>
      </c>
      <c r="P23" s="10">
        <v>0.21</v>
      </c>
    </row>
    <row r="24" spans="1:20" x14ac:dyDescent="0.5">
      <c r="C24" s="12" t="s">
        <v>154</v>
      </c>
      <c r="D24" s="88"/>
      <c r="E24" s="88"/>
      <c r="F24" s="88"/>
      <c r="G24" s="88"/>
      <c r="H24" s="10" t="s">
        <v>10</v>
      </c>
      <c r="I24" s="10" t="s">
        <v>10</v>
      </c>
      <c r="J24" s="10" t="s">
        <v>10</v>
      </c>
      <c r="K24" s="10" t="s">
        <v>10</v>
      </c>
      <c r="L24" s="10" t="s">
        <v>10</v>
      </c>
      <c r="M24" s="10">
        <v>1.03</v>
      </c>
      <c r="N24" s="10">
        <v>0.97</v>
      </c>
      <c r="O24" s="10">
        <v>1.3</v>
      </c>
      <c r="P24" s="10">
        <v>1.22</v>
      </c>
    </row>
    <row r="25" spans="1:20" x14ac:dyDescent="0.5">
      <c r="C25" s="12" t="s">
        <v>155</v>
      </c>
      <c r="D25" s="88"/>
      <c r="E25" s="88"/>
      <c r="F25" s="88"/>
      <c r="G25" s="88"/>
      <c r="H25" s="10">
        <v>-0.01</v>
      </c>
      <c r="I25" s="10">
        <v>0</v>
      </c>
      <c r="J25" s="10">
        <v>0.1</v>
      </c>
      <c r="K25" s="10">
        <v>0.61</v>
      </c>
      <c r="L25" s="10">
        <v>1.29</v>
      </c>
      <c r="M25" s="10">
        <v>1.54</v>
      </c>
      <c r="N25" s="10">
        <v>2.0699999999999998</v>
      </c>
      <c r="O25" s="10">
        <v>1.06</v>
      </c>
      <c r="P25" s="10">
        <v>1.71</v>
      </c>
    </row>
    <row r="26" spans="1:20" s="13" customFormat="1" x14ac:dyDescent="0.5">
      <c r="C26" s="115" t="s">
        <v>125</v>
      </c>
      <c r="D26" s="116"/>
      <c r="E26" s="116"/>
      <c r="F26" s="116"/>
      <c r="G26" s="116"/>
      <c r="H26" s="117">
        <v>0.36</v>
      </c>
      <c r="I26" s="117">
        <v>0.5</v>
      </c>
      <c r="J26" s="117">
        <v>0.45</v>
      </c>
      <c r="K26" s="117">
        <v>0.48</v>
      </c>
      <c r="L26" s="117">
        <v>0.47</v>
      </c>
      <c r="M26" s="117">
        <v>0.47</v>
      </c>
      <c r="N26" s="117">
        <v>0.51</v>
      </c>
      <c r="O26" s="117">
        <v>0.53</v>
      </c>
      <c r="P26" s="117">
        <v>0.55000000000000004</v>
      </c>
    </row>
    <row r="27" spans="1:20" ht="5.25" customHeight="1" x14ac:dyDescent="0.5"/>
    <row r="28" spans="1:20" x14ac:dyDescent="0.5">
      <c r="I28" s="37"/>
      <c r="J28" s="37"/>
      <c r="K28" s="37"/>
      <c r="L28" s="37"/>
      <c r="M28" s="37"/>
      <c r="N28" s="37"/>
      <c r="O28" s="37"/>
      <c r="P28" s="37"/>
      <c r="Q28" s="124"/>
    </row>
    <row r="29" spans="1:20" x14ac:dyDescent="0.5">
      <c r="A29" s="47"/>
      <c r="B29" s="4" t="s">
        <v>137</v>
      </c>
      <c r="D29" s="353"/>
      <c r="E29" s="353"/>
      <c r="F29" s="353"/>
      <c r="G29" s="353"/>
      <c r="H29" s="353"/>
      <c r="I29" s="37"/>
      <c r="J29" s="37"/>
      <c r="K29" s="37"/>
      <c r="L29" s="37"/>
      <c r="M29" s="37"/>
      <c r="N29" s="37"/>
      <c r="O29" s="37"/>
      <c r="P29" s="37"/>
      <c r="Q29" s="124"/>
    </row>
    <row r="30" spans="1:20" ht="19" thickBot="1" x14ac:dyDescent="0.55000000000000004">
      <c r="C30" s="6" t="s">
        <v>74</v>
      </c>
      <c r="D30" s="7" t="s">
        <v>22</v>
      </c>
      <c r="E30" s="7" t="s">
        <v>23</v>
      </c>
      <c r="F30" s="7" t="s">
        <v>24</v>
      </c>
      <c r="G30" s="7" t="s">
        <v>55</v>
      </c>
      <c r="H30" s="7" t="s">
        <v>95</v>
      </c>
      <c r="I30" s="7" t="s">
        <v>96</v>
      </c>
      <c r="J30" s="7" t="s">
        <v>102</v>
      </c>
      <c r="K30" s="7" t="s">
        <v>109</v>
      </c>
      <c r="L30" s="7" t="s">
        <v>120</v>
      </c>
      <c r="M30" s="7" t="s">
        <v>150</v>
      </c>
      <c r="N30" s="7" t="s">
        <v>158</v>
      </c>
      <c r="O30" s="7" t="s">
        <v>173</v>
      </c>
      <c r="P30" s="7" t="s">
        <v>175</v>
      </c>
      <c r="Q30" s="13" t="s">
        <v>287</v>
      </c>
    </row>
    <row r="31" spans="1:20" x14ac:dyDescent="0.5">
      <c r="C31" s="8" t="s">
        <v>21</v>
      </c>
      <c r="D31" s="24">
        <v>12.48</v>
      </c>
      <c r="E31" s="24">
        <v>12</v>
      </c>
      <c r="F31" s="24">
        <v>12.84</v>
      </c>
      <c r="G31" s="24">
        <v>14.7</v>
      </c>
      <c r="H31" s="24">
        <v>15.81</v>
      </c>
      <c r="I31" s="24">
        <v>15.65</v>
      </c>
      <c r="J31" s="24">
        <v>15.3</v>
      </c>
      <c r="K31" s="24">
        <v>17.420000000000002</v>
      </c>
      <c r="L31" s="24">
        <v>19.38</v>
      </c>
      <c r="M31" s="24">
        <v>20.62</v>
      </c>
      <c r="N31" s="24">
        <v>20.5</v>
      </c>
      <c r="O31" s="24">
        <v>22.56</v>
      </c>
      <c r="P31" s="24">
        <v>23.4</v>
      </c>
      <c r="Q31" s="37">
        <f>M31/M$36</f>
        <v>0.5655512890839276</v>
      </c>
      <c r="R31" s="37">
        <f t="shared" ref="R31:T35" si="0">N31/N$36</f>
        <v>0.52930544797314749</v>
      </c>
      <c r="S31" s="37">
        <f t="shared" si="0"/>
        <v>0.49911504424778758</v>
      </c>
      <c r="T31" s="37">
        <f t="shared" si="0"/>
        <v>0.45640725570509066</v>
      </c>
    </row>
    <row r="32" spans="1:20" ht="20" x14ac:dyDescent="0.5">
      <c r="C32" s="8" t="s">
        <v>56</v>
      </c>
      <c r="D32" s="24" t="s">
        <v>10</v>
      </c>
      <c r="E32" s="24" t="s">
        <v>10</v>
      </c>
      <c r="F32" s="24" t="s">
        <v>10</v>
      </c>
      <c r="G32" s="24" t="s">
        <v>10</v>
      </c>
      <c r="H32" s="24" t="s">
        <v>97</v>
      </c>
      <c r="I32" s="24">
        <v>3.01</v>
      </c>
      <c r="J32" s="24">
        <v>3.63</v>
      </c>
      <c r="K32" s="24">
        <v>3.84</v>
      </c>
      <c r="L32" s="24">
        <v>5.05</v>
      </c>
      <c r="M32" s="24">
        <v>6.44</v>
      </c>
      <c r="N32" s="24">
        <v>7.69</v>
      </c>
      <c r="O32" s="24">
        <v>9.42</v>
      </c>
      <c r="P32" s="24">
        <v>11.56</v>
      </c>
      <c r="Q32" s="37">
        <f t="shared" ref="Q32:Q35" si="1">M32/M$36</f>
        <v>0.17663192539769612</v>
      </c>
      <c r="R32" s="37">
        <f t="shared" si="0"/>
        <v>0.1985540924348051</v>
      </c>
      <c r="S32" s="37">
        <f t="shared" si="0"/>
        <v>0.20840707964601768</v>
      </c>
      <c r="T32" s="37">
        <f t="shared" si="0"/>
        <v>0.22547298615174566</v>
      </c>
    </row>
    <row r="33" spans="1:21" x14ac:dyDescent="0.5">
      <c r="C33" s="8" t="s">
        <v>15</v>
      </c>
      <c r="D33" s="24">
        <v>1.1200000000000001</v>
      </c>
      <c r="E33" s="24">
        <v>1.57</v>
      </c>
      <c r="F33" s="24">
        <v>1.94</v>
      </c>
      <c r="G33" s="24">
        <v>2.73</v>
      </c>
      <c r="H33" s="24">
        <v>3.34</v>
      </c>
      <c r="I33" s="24">
        <v>4.21</v>
      </c>
      <c r="J33" s="24">
        <v>4.78</v>
      </c>
      <c r="K33" s="24">
        <v>6.17</v>
      </c>
      <c r="L33" s="24">
        <v>7.45</v>
      </c>
      <c r="M33" s="24">
        <v>8.59</v>
      </c>
      <c r="N33" s="24">
        <v>9.51</v>
      </c>
      <c r="O33" s="24">
        <v>12.12</v>
      </c>
      <c r="P33" s="24">
        <v>14.73</v>
      </c>
      <c r="Q33" s="37">
        <f t="shared" si="1"/>
        <v>0.2356006582556226</v>
      </c>
      <c r="R33" s="37">
        <f t="shared" si="0"/>
        <v>0.24554608830364061</v>
      </c>
      <c r="S33" s="37">
        <f t="shared" si="0"/>
        <v>0.26814159292035394</v>
      </c>
      <c r="T33" s="37">
        <f t="shared" si="0"/>
        <v>0.28730251609128143</v>
      </c>
    </row>
    <row r="34" spans="1:21" ht="20" x14ac:dyDescent="0.5">
      <c r="C34" s="8" t="s">
        <v>178</v>
      </c>
      <c r="D34" s="354">
        <v>0.61</v>
      </c>
      <c r="E34" s="354">
        <v>0.66</v>
      </c>
      <c r="F34" s="354">
        <v>0.61</v>
      </c>
      <c r="G34" s="354">
        <v>0.67</v>
      </c>
      <c r="H34" s="24">
        <v>0.26</v>
      </c>
      <c r="I34" s="24">
        <v>0.57999999999999996</v>
      </c>
      <c r="J34" s="24">
        <v>0.41</v>
      </c>
      <c r="K34" s="24">
        <v>0.42</v>
      </c>
      <c r="L34" s="24">
        <v>0.49</v>
      </c>
      <c r="M34" s="24">
        <v>0.73</v>
      </c>
      <c r="N34" s="24">
        <v>0.93</v>
      </c>
      <c r="O34" s="24">
        <v>0.95</v>
      </c>
      <c r="P34" s="24">
        <v>1.54</v>
      </c>
      <c r="Q34" s="37">
        <f t="shared" si="1"/>
        <v>2.0021941854086671E-2</v>
      </c>
      <c r="R34" s="37">
        <f t="shared" si="0"/>
        <v>2.4012393493415961E-2</v>
      </c>
      <c r="S34" s="37">
        <f t="shared" si="0"/>
        <v>2.1017699115044246E-2</v>
      </c>
      <c r="T34" s="37">
        <f t="shared" si="0"/>
        <v>3.0037058708796565E-2</v>
      </c>
    </row>
    <row r="35" spans="1:21" ht="20" x14ac:dyDescent="0.5">
      <c r="C35" s="8" t="s">
        <v>183</v>
      </c>
      <c r="D35" s="355"/>
      <c r="E35" s="355"/>
      <c r="F35" s="355"/>
      <c r="G35" s="355"/>
      <c r="H35" s="24">
        <v>0.23</v>
      </c>
      <c r="I35" s="24">
        <v>0.17</v>
      </c>
      <c r="J35" s="24">
        <v>0.02</v>
      </c>
      <c r="K35" s="24">
        <v>0.01</v>
      </c>
      <c r="L35" s="24">
        <v>0.03</v>
      </c>
      <c r="M35" s="24">
        <v>0.08</v>
      </c>
      <c r="N35" s="24">
        <v>0.1</v>
      </c>
      <c r="O35" s="24">
        <v>0.15</v>
      </c>
      <c r="P35" s="24">
        <v>0.04</v>
      </c>
      <c r="Q35" s="37">
        <f t="shared" si="1"/>
        <v>2.1941854086670325E-3</v>
      </c>
      <c r="R35" s="37">
        <f t="shared" si="0"/>
        <v>2.5819777949909633E-3</v>
      </c>
      <c r="S35" s="37">
        <f t="shared" si="0"/>
        <v>3.3185840707964597E-3</v>
      </c>
      <c r="T35" s="37">
        <f t="shared" si="0"/>
        <v>7.8018334308562506E-4</v>
      </c>
    </row>
    <row r="36" spans="1:21" ht="20" x14ac:dyDescent="0.5">
      <c r="C36" s="11" t="s">
        <v>33</v>
      </c>
      <c r="D36" s="44">
        <v>14.21</v>
      </c>
      <c r="E36" s="44">
        <v>14.22</v>
      </c>
      <c r="F36" s="44">
        <v>15.39</v>
      </c>
      <c r="G36" s="44">
        <v>18.100000000000001</v>
      </c>
      <c r="H36" s="44" t="s">
        <v>98</v>
      </c>
      <c r="I36" s="44">
        <v>23.63</v>
      </c>
      <c r="J36" s="44">
        <v>24.13</v>
      </c>
      <c r="K36" s="44">
        <v>27.86</v>
      </c>
      <c r="L36" s="44">
        <v>32.4</v>
      </c>
      <c r="M36" s="44">
        <v>36.46</v>
      </c>
      <c r="N36" s="44">
        <v>38.729999999999997</v>
      </c>
      <c r="O36" s="44">
        <v>45.2</v>
      </c>
      <c r="P36" s="44">
        <v>51.27</v>
      </c>
      <c r="Q36" s="124">
        <f>SUM(Q31:Q35)</f>
        <v>1</v>
      </c>
      <c r="R36" s="124">
        <f t="shared" ref="R36:T36" si="2">SUM(R31:R35)</f>
        <v>1.0000000000000002</v>
      </c>
      <c r="S36" s="124">
        <f t="shared" si="2"/>
        <v>0.99999999999999978</v>
      </c>
      <c r="T36" s="124">
        <f t="shared" si="2"/>
        <v>1</v>
      </c>
    </row>
    <row r="37" spans="1:21" x14ac:dyDescent="0.5">
      <c r="C37" s="12" t="s">
        <v>14</v>
      </c>
      <c r="D37" s="10">
        <v>1.45</v>
      </c>
      <c r="E37" s="10">
        <v>0.78</v>
      </c>
      <c r="F37" s="10">
        <v>0.67</v>
      </c>
      <c r="G37" s="10">
        <v>0.56000000000000005</v>
      </c>
      <c r="H37" s="10">
        <v>0.48</v>
      </c>
      <c r="I37" s="10">
        <v>0.66</v>
      </c>
      <c r="J37" s="10">
        <v>0.56999999999999995</v>
      </c>
      <c r="K37" s="10">
        <v>0.54</v>
      </c>
      <c r="L37" s="10">
        <v>0.54</v>
      </c>
      <c r="M37" s="10">
        <v>0.54</v>
      </c>
      <c r="N37" s="10">
        <v>0.61</v>
      </c>
      <c r="O37" s="10">
        <v>0.62</v>
      </c>
      <c r="P37" s="10">
        <v>0.57999999999999996</v>
      </c>
    </row>
    <row r="38" spans="1:21" ht="20.25" customHeight="1" x14ac:dyDescent="0.5">
      <c r="C38" s="11" t="s">
        <v>34</v>
      </c>
      <c r="D38" s="44">
        <v>14.21</v>
      </c>
      <c r="E38" s="44">
        <v>14.22</v>
      </c>
      <c r="F38" s="44">
        <v>15.39</v>
      </c>
      <c r="G38" s="44">
        <v>18.100000000000001</v>
      </c>
      <c r="H38" s="44">
        <v>19.649999999999999</v>
      </c>
      <c r="I38" s="44">
        <v>20.62</v>
      </c>
      <c r="J38" s="44">
        <v>20.51</v>
      </c>
      <c r="K38" s="44">
        <v>24.02</v>
      </c>
      <c r="L38" s="44">
        <v>27.35</v>
      </c>
      <c r="M38" s="116"/>
      <c r="N38" s="116"/>
      <c r="O38" s="116"/>
      <c r="P38" s="116"/>
    </row>
    <row r="39" spans="1:21" x14ac:dyDescent="0.5">
      <c r="C39" s="12" t="s">
        <v>14</v>
      </c>
      <c r="D39" s="10">
        <v>1.45</v>
      </c>
      <c r="E39" s="10">
        <v>0.78</v>
      </c>
      <c r="F39" s="10">
        <v>0.67</v>
      </c>
      <c r="G39" s="10">
        <v>0.56000000000000005</v>
      </c>
      <c r="H39" s="10">
        <v>0.38</v>
      </c>
      <c r="I39" s="10">
        <v>0.45</v>
      </c>
      <c r="J39" s="10">
        <v>0.33</v>
      </c>
      <c r="K39" s="10">
        <v>0.33</v>
      </c>
      <c r="L39" s="10">
        <v>0.39</v>
      </c>
      <c r="M39" s="120"/>
      <c r="N39" s="120"/>
      <c r="O39" s="120"/>
      <c r="P39" s="120"/>
      <c r="Q39" s="31"/>
    </row>
    <row r="40" spans="1:21" ht="15" customHeight="1" x14ac:dyDescent="0.5">
      <c r="C40" s="20"/>
      <c r="D40" s="19"/>
      <c r="E40" s="19"/>
      <c r="F40" s="40"/>
      <c r="G40" s="40"/>
      <c r="H40" s="40"/>
      <c r="I40" s="40"/>
    </row>
    <row r="41" spans="1:21" x14ac:dyDescent="0.5">
      <c r="A41" s="47"/>
      <c r="B41" s="4" t="s">
        <v>138</v>
      </c>
      <c r="D41" s="5"/>
      <c r="E41" s="5"/>
      <c r="F41" s="5"/>
      <c r="G41" s="5"/>
      <c r="M41" s="37"/>
      <c r="N41" s="37"/>
      <c r="O41" s="37"/>
      <c r="P41" s="37"/>
      <c r="Q41" s="124"/>
    </row>
    <row r="42" spans="1:21" ht="19" thickBot="1" x14ac:dyDescent="0.55000000000000004">
      <c r="C42" s="6" t="s">
        <v>32</v>
      </c>
      <c r="D42" s="7" t="s">
        <v>22</v>
      </c>
      <c r="E42" s="7" t="s">
        <v>23</v>
      </c>
      <c r="F42" s="7" t="s">
        <v>24</v>
      </c>
      <c r="G42" s="7" t="s">
        <v>55</v>
      </c>
      <c r="H42" s="7" t="s">
        <v>95</v>
      </c>
      <c r="I42" s="7" t="s">
        <v>96</v>
      </c>
      <c r="J42" s="7" t="s">
        <v>102</v>
      </c>
      <c r="K42" s="7" t="s">
        <v>109</v>
      </c>
      <c r="L42" s="7" t="s">
        <v>120</v>
      </c>
      <c r="M42" s="7" t="s">
        <v>150</v>
      </c>
      <c r="N42" s="7" t="s">
        <v>158</v>
      </c>
      <c r="O42" s="7" t="s">
        <v>173</v>
      </c>
      <c r="P42" s="7" t="s">
        <v>175</v>
      </c>
      <c r="R42" s="13" t="s">
        <v>286</v>
      </c>
    </row>
    <row r="43" spans="1:21" x14ac:dyDescent="0.5">
      <c r="C43" s="8" t="s">
        <v>21</v>
      </c>
      <c r="D43" s="24">
        <v>-2.29</v>
      </c>
      <c r="E43" s="24">
        <v>-2.21</v>
      </c>
      <c r="F43" s="24">
        <v>-1.89</v>
      </c>
      <c r="G43" s="24">
        <v>-1.1299999999999999</v>
      </c>
      <c r="H43" s="24">
        <v>0.02</v>
      </c>
      <c r="I43" s="24">
        <v>0.23</v>
      </c>
      <c r="J43" s="24">
        <v>0.78</v>
      </c>
      <c r="K43" s="24">
        <v>1.81</v>
      </c>
      <c r="L43" s="24">
        <v>2.04</v>
      </c>
      <c r="M43" s="24">
        <v>2.52</v>
      </c>
      <c r="N43" s="24">
        <v>2.75</v>
      </c>
      <c r="O43" s="24">
        <v>3.13</v>
      </c>
      <c r="P43" s="24">
        <v>3.41</v>
      </c>
      <c r="R43" s="37">
        <f t="shared" ref="R43:U47" si="3">M43/M$48</f>
        <v>2.016</v>
      </c>
      <c r="S43" s="37">
        <f t="shared" si="3"/>
        <v>1.4175257731958764</v>
      </c>
      <c r="T43" s="37">
        <f t="shared" si="3"/>
        <v>1.0468227424749164</v>
      </c>
      <c r="U43" s="37">
        <f t="shared" si="3"/>
        <v>1.0333333333333334</v>
      </c>
    </row>
    <row r="44" spans="1:21" ht="20" x14ac:dyDescent="0.5">
      <c r="C44" s="8" t="s">
        <v>56</v>
      </c>
      <c r="D44" s="9" t="s">
        <v>10</v>
      </c>
      <c r="E44" s="9" t="s">
        <v>10</v>
      </c>
      <c r="F44" s="9" t="s">
        <v>10</v>
      </c>
      <c r="G44" s="9" t="s">
        <v>10</v>
      </c>
      <c r="H44" s="83" t="s">
        <v>99</v>
      </c>
      <c r="I44" s="24">
        <v>-2.27</v>
      </c>
      <c r="J44" s="24">
        <v>-2.0299999999999998</v>
      </c>
      <c r="K44" s="24">
        <v>-1.33</v>
      </c>
      <c r="L44" s="24">
        <v>-1.25</v>
      </c>
      <c r="M44" s="24">
        <v>-0.89</v>
      </c>
      <c r="N44" s="24">
        <v>-0.37</v>
      </c>
      <c r="O44" s="24">
        <v>-0.03</v>
      </c>
      <c r="P44" s="24">
        <v>-0.08</v>
      </c>
      <c r="R44" s="37">
        <f t="shared" si="3"/>
        <v>-0.71199999999999997</v>
      </c>
      <c r="S44" s="37">
        <f t="shared" si="3"/>
        <v>-0.1907216494845361</v>
      </c>
      <c r="T44" s="37">
        <f t="shared" si="3"/>
        <v>-1.003344481605351E-2</v>
      </c>
      <c r="U44" s="37">
        <f t="shared" si="3"/>
        <v>-2.4242424242424246E-2</v>
      </c>
    </row>
    <row r="45" spans="1:21" x14ac:dyDescent="0.5">
      <c r="C45" s="8" t="s">
        <v>15</v>
      </c>
      <c r="D45" s="24">
        <v>-0.3</v>
      </c>
      <c r="E45" s="24">
        <v>-0.41</v>
      </c>
      <c r="F45" s="24">
        <v>-0.44</v>
      </c>
      <c r="G45" s="24">
        <v>-0.44</v>
      </c>
      <c r="H45" s="24">
        <v>-0.53</v>
      </c>
      <c r="I45" s="24">
        <v>-0.53</v>
      </c>
      <c r="J45" s="24">
        <v>-0.45</v>
      </c>
      <c r="K45" s="24">
        <v>-0.35</v>
      </c>
      <c r="L45" s="24">
        <v>-0.34</v>
      </c>
      <c r="M45" s="24">
        <v>-0.34</v>
      </c>
      <c r="N45" s="24">
        <v>-0.23</v>
      </c>
      <c r="O45" s="24">
        <v>-0.22</v>
      </c>
      <c r="P45" s="24">
        <v>-0.21</v>
      </c>
      <c r="R45" s="37">
        <f t="shared" si="3"/>
        <v>-0.27200000000000002</v>
      </c>
      <c r="S45" s="37">
        <f t="shared" si="3"/>
        <v>-0.11855670103092784</v>
      </c>
      <c r="T45" s="37">
        <f t="shared" si="3"/>
        <v>-7.3578595317725745E-2</v>
      </c>
      <c r="U45" s="37">
        <f t="shared" si="3"/>
        <v>-6.3636363636363644E-2</v>
      </c>
    </row>
    <row r="46" spans="1:21" ht="20" x14ac:dyDescent="0.5">
      <c r="C46" s="8" t="s">
        <v>178</v>
      </c>
      <c r="D46" s="354">
        <v>-0.51</v>
      </c>
      <c r="E46" s="354">
        <v>-0.1</v>
      </c>
      <c r="F46" s="354">
        <v>0.08</v>
      </c>
      <c r="G46" s="354">
        <v>0.06</v>
      </c>
      <c r="H46" s="83">
        <v>-0.11</v>
      </c>
      <c r="I46" s="24">
        <v>-7.0000000000000007E-2</v>
      </c>
      <c r="J46" s="24">
        <v>-0.02</v>
      </c>
      <c r="K46" s="24">
        <v>0.03</v>
      </c>
      <c r="L46" s="24">
        <v>0.01</v>
      </c>
      <c r="M46" s="24">
        <v>0.01</v>
      </c>
      <c r="N46" s="24">
        <v>-0.11</v>
      </c>
      <c r="O46" s="24">
        <v>0.1</v>
      </c>
      <c r="P46" s="24">
        <v>0.16</v>
      </c>
      <c r="R46" s="37">
        <f t="shared" si="3"/>
        <v>8.0000000000000002E-3</v>
      </c>
      <c r="S46" s="37">
        <f t="shared" si="3"/>
        <v>-5.6701030927835051E-2</v>
      </c>
      <c r="T46" s="37">
        <f t="shared" si="3"/>
        <v>3.3444816053511704E-2</v>
      </c>
      <c r="U46" s="37">
        <f t="shared" si="3"/>
        <v>4.8484848484848492E-2</v>
      </c>
    </row>
    <row r="47" spans="1:21" ht="20" x14ac:dyDescent="0.5">
      <c r="C47" s="8" t="s">
        <v>183</v>
      </c>
      <c r="D47" s="355"/>
      <c r="E47" s="355"/>
      <c r="F47" s="355"/>
      <c r="G47" s="355"/>
      <c r="H47" s="24">
        <v>0.02</v>
      </c>
      <c r="I47" s="24">
        <v>-0.02</v>
      </c>
      <c r="J47" s="24">
        <v>-0.03</v>
      </c>
      <c r="K47" s="24">
        <v>-0.04</v>
      </c>
      <c r="L47" s="24">
        <v>-0.05</v>
      </c>
      <c r="M47" s="24">
        <v>-0.05</v>
      </c>
      <c r="N47" s="24">
        <v>-0.1</v>
      </c>
      <c r="O47" s="24">
        <v>0.01</v>
      </c>
      <c r="P47" s="24">
        <v>0.02</v>
      </c>
      <c r="R47" s="37">
        <f t="shared" si="3"/>
        <v>-0.04</v>
      </c>
      <c r="S47" s="37">
        <f t="shared" si="3"/>
        <v>-5.1546391752577324E-2</v>
      </c>
      <c r="T47" s="37">
        <f t="shared" si="3"/>
        <v>3.3444816053511705E-3</v>
      </c>
      <c r="U47" s="37">
        <f t="shared" si="3"/>
        <v>6.0606060606060615E-3</v>
      </c>
    </row>
    <row r="48" spans="1:21" ht="20.25" customHeight="1" x14ac:dyDescent="0.5">
      <c r="C48" s="11" t="s">
        <v>20</v>
      </c>
      <c r="D48" s="44">
        <v>-3.1</v>
      </c>
      <c r="E48" s="44">
        <v>-2.72</v>
      </c>
      <c r="F48" s="44">
        <v>-2.25</v>
      </c>
      <c r="G48" s="44">
        <v>-1.5</v>
      </c>
      <c r="H48" s="84" t="s">
        <v>100</v>
      </c>
      <c r="I48" s="44">
        <v>-2.65</v>
      </c>
      <c r="J48" s="44">
        <v>-1.75</v>
      </c>
      <c r="K48" s="44">
        <v>0.12</v>
      </c>
      <c r="L48" s="44">
        <v>0.41</v>
      </c>
      <c r="M48" s="44">
        <v>1.25</v>
      </c>
      <c r="N48" s="44">
        <v>1.94</v>
      </c>
      <c r="O48" s="44">
        <v>2.99</v>
      </c>
      <c r="P48" s="44">
        <v>3.3</v>
      </c>
      <c r="Q48" s="44">
        <v>2.85</v>
      </c>
      <c r="R48" s="124">
        <f>SUM(R43:R47)</f>
        <v>1</v>
      </c>
      <c r="S48" s="124">
        <f t="shared" ref="S48" si="4">SUM(S43:S47)</f>
        <v>1</v>
      </c>
      <c r="T48" s="124">
        <f t="shared" ref="T48" si="5">SUM(T43:T47)</f>
        <v>1</v>
      </c>
      <c r="U48" s="124">
        <f t="shared" ref="U48" si="6">SUM(U43:U47)</f>
        <v>1.0000000000000002</v>
      </c>
    </row>
    <row r="49" spans="3:17" ht="20.25" customHeight="1" x14ac:dyDescent="0.5">
      <c r="C49" s="12" t="s">
        <v>17</v>
      </c>
      <c r="D49" s="45">
        <v>-0.22</v>
      </c>
      <c r="E49" s="45">
        <v>-0.19</v>
      </c>
      <c r="F49" s="45">
        <v>-0.15</v>
      </c>
      <c r="G49" s="45">
        <v>-0.08</v>
      </c>
      <c r="H49" s="45">
        <v>-0.09</v>
      </c>
      <c r="I49" s="45">
        <v>-0.11</v>
      </c>
      <c r="J49" s="45">
        <v>-7.0000000000000007E-2</v>
      </c>
      <c r="K49" s="96">
        <v>4.0000000000000001E-3</v>
      </c>
      <c r="L49" s="45">
        <v>0.01</v>
      </c>
      <c r="M49" s="45">
        <v>0.03</v>
      </c>
      <c r="N49" s="45">
        <v>0.05</v>
      </c>
      <c r="O49" s="45">
        <v>7.0000000000000007E-2</v>
      </c>
      <c r="P49" s="45">
        <v>0.06</v>
      </c>
      <c r="Q49" s="121"/>
    </row>
    <row r="50" spans="3:17" ht="20.25" customHeight="1" x14ac:dyDescent="0.5">
      <c r="C50" s="11" t="s">
        <v>35</v>
      </c>
      <c r="D50" s="44">
        <v>-3.1</v>
      </c>
      <c r="E50" s="44">
        <v>-2.72</v>
      </c>
      <c r="F50" s="44">
        <v>-2.25</v>
      </c>
      <c r="G50" s="44">
        <v>-1.5</v>
      </c>
      <c r="H50" s="44">
        <v>-0.6</v>
      </c>
      <c r="I50" s="44">
        <v>-0.38</v>
      </c>
      <c r="J50" s="44">
        <v>0.28000000000000003</v>
      </c>
      <c r="K50" s="44">
        <v>1.45</v>
      </c>
      <c r="L50" s="44">
        <v>1.65</v>
      </c>
      <c r="M50" s="116"/>
      <c r="N50" s="116"/>
      <c r="O50" s="116"/>
      <c r="P50" s="116"/>
    </row>
    <row r="51" spans="3:17" ht="20.5" customHeight="1" x14ac:dyDescent="0.5">
      <c r="C51" s="12" t="s">
        <v>36</v>
      </c>
      <c r="D51" s="45">
        <v>-0.22</v>
      </c>
      <c r="E51" s="45">
        <v>-0.19</v>
      </c>
      <c r="F51" s="45">
        <v>-0.15</v>
      </c>
      <c r="G51" s="45">
        <v>-0.08</v>
      </c>
      <c r="H51" s="45">
        <v>-0.03</v>
      </c>
      <c r="I51" s="45">
        <v>-0.02</v>
      </c>
      <c r="J51" s="45">
        <v>0.01</v>
      </c>
      <c r="K51" s="45">
        <v>0.06</v>
      </c>
      <c r="L51" s="45">
        <v>0.06</v>
      </c>
      <c r="M51" s="120"/>
      <c r="N51" s="120"/>
      <c r="O51" s="120"/>
      <c r="P51" s="120"/>
    </row>
    <row r="52" spans="3:17" ht="5.25" customHeight="1" x14ac:dyDescent="0.5"/>
    <row r="53" spans="3:17" ht="18.75" customHeight="1" x14ac:dyDescent="0.5">
      <c r="C53" s="20" t="s">
        <v>63</v>
      </c>
      <c r="J53" s="37"/>
      <c r="K53" s="37"/>
      <c r="L53" s="37"/>
      <c r="M53" s="37"/>
      <c r="N53" s="37"/>
      <c r="O53" s="37"/>
      <c r="P53" s="37"/>
    </row>
    <row r="54" spans="3:17" ht="16" customHeight="1" x14ac:dyDescent="0.5">
      <c r="C54" s="352" t="s">
        <v>177</v>
      </c>
      <c r="D54" s="352"/>
      <c r="E54" s="352"/>
      <c r="F54" s="352"/>
      <c r="G54" s="352"/>
      <c r="H54" s="352"/>
      <c r="I54" s="41"/>
      <c r="J54" s="41"/>
      <c r="K54" s="41"/>
      <c r="L54" s="41"/>
      <c r="M54" s="41"/>
      <c r="N54" s="41"/>
      <c r="O54" s="41"/>
      <c r="P54" s="41"/>
    </row>
    <row r="55" spans="3:17" ht="16" customHeight="1" x14ac:dyDescent="0.5">
      <c r="C55" s="352"/>
      <c r="D55" s="352"/>
      <c r="E55" s="352"/>
      <c r="F55" s="352"/>
      <c r="G55" s="352"/>
      <c r="H55" s="352"/>
      <c r="I55" s="41"/>
      <c r="J55" s="41"/>
      <c r="K55" s="41"/>
      <c r="L55" s="41"/>
      <c r="M55" s="41"/>
      <c r="N55" s="41"/>
      <c r="O55" s="41"/>
      <c r="P55" s="41"/>
    </row>
    <row r="56" spans="3:17" x14ac:dyDescent="0.5">
      <c r="C56" s="352" t="s">
        <v>189</v>
      </c>
      <c r="D56" s="352"/>
      <c r="E56" s="352"/>
      <c r="F56" s="352"/>
      <c r="G56" s="352"/>
      <c r="H56" s="352"/>
      <c r="I56" s="41"/>
      <c r="J56" s="41"/>
      <c r="K56" s="41"/>
      <c r="L56" s="41"/>
      <c r="M56" s="41"/>
      <c r="N56" s="41"/>
      <c r="O56" s="41"/>
      <c r="P56" s="41"/>
    </row>
    <row r="57" spans="3:17" ht="16" customHeight="1" x14ac:dyDescent="0.5">
      <c r="C57" s="352"/>
      <c r="D57" s="352"/>
      <c r="E57" s="352"/>
      <c r="F57" s="352"/>
      <c r="G57" s="352"/>
      <c r="H57" s="352"/>
      <c r="I57" s="41"/>
      <c r="J57" s="41"/>
      <c r="K57" s="41"/>
      <c r="L57" s="41"/>
      <c r="M57" s="41"/>
      <c r="N57" s="41"/>
      <c r="O57" s="41"/>
      <c r="P57" s="41"/>
    </row>
    <row r="58" spans="3:17" ht="16" customHeight="1" x14ac:dyDescent="0.5">
      <c r="C58" s="352"/>
      <c r="D58" s="352"/>
      <c r="E58" s="352"/>
      <c r="F58" s="352"/>
      <c r="G58" s="352"/>
      <c r="H58" s="352"/>
      <c r="I58" s="41"/>
      <c r="J58" s="41"/>
      <c r="K58" s="41"/>
      <c r="L58" s="41"/>
      <c r="M58" s="41"/>
      <c r="N58" s="41"/>
      <c r="O58" s="41"/>
      <c r="P58" s="41"/>
    </row>
    <row r="59" spans="3:17" ht="16" customHeight="1" x14ac:dyDescent="0.5">
      <c r="C59" s="352"/>
      <c r="D59" s="352"/>
      <c r="E59" s="352"/>
      <c r="F59" s="352"/>
      <c r="G59" s="352"/>
      <c r="H59" s="352"/>
      <c r="I59" s="41"/>
      <c r="J59" s="41"/>
      <c r="K59" s="41"/>
      <c r="L59" s="41"/>
      <c r="M59" s="41"/>
      <c r="N59" s="41"/>
      <c r="O59" s="41"/>
      <c r="P59" s="41"/>
    </row>
    <row r="60" spans="3:17" ht="16" customHeight="1" x14ac:dyDescent="0.5">
      <c r="C60" s="352" t="s">
        <v>182</v>
      </c>
      <c r="D60" s="352"/>
      <c r="E60" s="352"/>
      <c r="F60" s="352"/>
      <c r="G60" s="352"/>
      <c r="H60" s="352"/>
      <c r="I60" s="41"/>
      <c r="J60" s="41"/>
      <c r="K60" s="41"/>
      <c r="L60" s="41"/>
      <c r="M60" s="41"/>
      <c r="N60" s="41"/>
      <c r="O60" s="41"/>
      <c r="P60" s="41"/>
    </row>
    <row r="61" spans="3:17" ht="16" customHeight="1" x14ac:dyDescent="0.5">
      <c r="C61" s="352"/>
      <c r="D61" s="352"/>
      <c r="E61" s="352"/>
      <c r="F61" s="352"/>
      <c r="G61" s="352"/>
      <c r="H61" s="352"/>
      <c r="I61" s="41"/>
      <c r="J61" s="41"/>
      <c r="K61" s="41"/>
      <c r="L61" s="41"/>
      <c r="M61" s="41"/>
      <c r="N61" s="41"/>
      <c r="O61" s="41"/>
      <c r="P61" s="41"/>
    </row>
    <row r="62" spans="3:17" ht="16" customHeight="1" x14ac:dyDescent="0.5">
      <c r="C62" s="352"/>
      <c r="D62" s="352"/>
      <c r="E62" s="352"/>
      <c r="F62" s="352"/>
      <c r="G62" s="352"/>
      <c r="H62" s="352"/>
      <c r="I62" s="41"/>
      <c r="J62" s="41"/>
      <c r="K62" s="41"/>
      <c r="L62" s="41"/>
      <c r="M62" s="41"/>
      <c r="N62" s="41"/>
      <c r="O62" s="41"/>
      <c r="P62" s="41"/>
    </row>
    <row r="63" spans="3:17" x14ac:dyDescent="0.5">
      <c r="C63" s="352" t="s">
        <v>179</v>
      </c>
      <c r="D63" s="352"/>
      <c r="E63" s="352"/>
      <c r="F63" s="352"/>
      <c r="G63" s="352"/>
      <c r="H63" s="352"/>
      <c r="I63" s="41"/>
      <c r="J63" s="41"/>
      <c r="K63" s="41"/>
      <c r="L63" s="41"/>
      <c r="M63" s="41"/>
      <c r="N63" s="41"/>
      <c r="O63" s="41"/>
      <c r="P63" s="41"/>
    </row>
    <row r="64" spans="3:17" ht="25" customHeight="1" x14ac:dyDescent="0.5">
      <c r="C64" s="352"/>
      <c r="D64" s="352"/>
      <c r="E64" s="352"/>
      <c r="F64" s="352"/>
      <c r="G64" s="352"/>
      <c r="H64" s="352"/>
      <c r="I64" s="41"/>
      <c r="J64" s="41"/>
      <c r="K64" s="41"/>
      <c r="L64" s="41"/>
      <c r="M64" s="41"/>
      <c r="N64" s="41"/>
      <c r="O64" s="41"/>
      <c r="P64" s="41"/>
    </row>
    <row r="65" spans="1:20" ht="16" customHeight="1" x14ac:dyDescent="0.5">
      <c r="C65" s="71" t="s">
        <v>180</v>
      </c>
      <c r="D65" s="59"/>
      <c r="E65" s="59"/>
      <c r="F65" s="59"/>
      <c r="G65" s="59"/>
      <c r="H65" s="59"/>
    </row>
    <row r="66" spans="1:20" s="49" customFormat="1" ht="16" customHeight="1" x14ac:dyDescent="0.35">
      <c r="C66" s="20" t="s">
        <v>181</v>
      </c>
      <c r="D66" s="20"/>
      <c r="E66" s="20"/>
      <c r="F66" s="20"/>
      <c r="G66" s="20"/>
      <c r="H66" s="20"/>
    </row>
    <row r="67" spans="1:20" s="49" customFormat="1" ht="20.25" customHeight="1" x14ac:dyDescent="0.35">
      <c r="C67" s="80" t="s">
        <v>90</v>
      </c>
      <c r="D67" s="20"/>
      <c r="E67" s="20"/>
      <c r="F67" s="20"/>
      <c r="G67" s="20"/>
      <c r="H67" s="20"/>
      <c r="L67" s="118"/>
    </row>
    <row r="68" spans="1:20" ht="14.5" customHeight="1" x14ac:dyDescent="0.5">
      <c r="C68" s="42"/>
      <c r="D68" s="42"/>
      <c r="E68" s="42"/>
      <c r="F68" s="42"/>
      <c r="G68" s="42"/>
      <c r="H68" s="42"/>
      <c r="M68" s="36"/>
    </row>
    <row r="69" spans="1:20" ht="14.5" customHeight="1" x14ac:dyDescent="0.5"/>
    <row r="70" spans="1:20" ht="21" x14ac:dyDescent="0.55000000000000004">
      <c r="A70" s="60" t="s">
        <v>88</v>
      </c>
      <c r="B70" s="13"/>
      <c r="D70" s="110"/>
      <c r="E70" s="110"/>
      <c r="F70" s="110"/>
      <c r="G70" s="110"/>
    </row>
    <row r="71" spans="1:20" x14ac:dyDescent="0.5">
      <c r="A71" s="13"/>
      <c r="B71" s="13"/>
    </row>
    <row r="72" spans="1:20" x14ac:dyDescent="0.5">
      <c r="A72" s="47"/>
      <c r="B72" s="4" t="s">
        <v>60</v>
      </c>
      <c r="D72" s="5"/>
      <c r="E72" s="5"/>
      <c r="F72" s="5"/>
      <c r="G72" s="5"/>
    </row>
    <row r="73" spans="1:20" ht="19" thickBot="1" x14ac:dyDescent="0.55000000000000004">
      <c r="C73" s="6" t="s">
        <v>32</v>
      </c>
      <c r="D73" s="7" t="s">
        <v>22</v>
      </c>
      <c r="E73" s="7" t="s">
        <v>23</v>
      </c>
      <c r="F73" s="7" t="s">
        <v>24</v>
      </c>
      <c r="G73" s="7" t="s">
        <v>55</v>
      </c>
      <c r="H73" s="7" t="s">
        <v>95</v>
      </c>
      <c r="I73" s="7" t="s">
        <v>96</v>
      </c>
      <c r="J73" s="7" t="s">
        <v>102</v>
      </c>
      <c r="K73" s="7" t="s">
        <v>109</v>
      </c>
      <c r="L73" s="7" t="s">
        <v>120</v>
      </c>
      <c r="M73" s="7" t="s">
        <v>150</v>
      </c>
      <c r="N73" s="7" t="s">
        <v>158</v>
      </c>
      <c r="O73" s="7" t="s">
        <v>173</v>
      </c>
      <c r="P73" s="7" t="s">
        <v>175</v>
      </c>
    </row>
    <row r="74" spans="1:20" x14ac:dyDescent="0.5">
      <c r="C74" s="8" t="s">
        <v>8</v>
      </c>
      <c r="D74" s="24">
        <v>54.07</v>
      </c>
      <c r="E74" s="24">
        <v>54.99</v>
      </c>
      <c r="F74" s="24">
        <v>58.53</v>
      </c>
      <c r="G74" s="24">
        <v>64.25</v>
      </c>
      <c r="H74" s="24">
        <v>66.31</v>
      </c>
      <c r="I74" s="24">
        <v>66.8</v>
      </c>
      <c r="J74" s="24">
        <v>65.69</v>
      </c>
      <c r="K74" s="24">
        <v>73.180000000000007</v>
      </c>
      <c r="L74" s="24">
        <v>79.8</v>
      </c>
      <c r="M74" s="24">
        <v>84.86</v>
      </c>
      <c r="N74" s="24">
        <v>84.39</v>
      </c>
      <c r="O74" s="24">
        <v>92.64</v>
      </c>
      <c r="P74" s="24">
        <v>96.9</v>
      </c>
    </row>
    <row r="75" spans="1:20" x14ac:dyDescent="0.5">
      <c r="C75" s="8" t="s">
        <v>12</v>
      </c>
      <c r="D75" s="24">
        <v>12.48</v>
      </c>
      <c r="E75" s="24">
        <v>12</v>
      </c>
      <c r="F75" s="24">
        <v>12.84</v>
      </c>
      <c r="G75" s="24">
        <v>14.7</v>
      </c>
      <c r="H75" s="24">
        <v>15.81</v>
      </c>
      <c r="I75" s="24">
        <v>15.65</v>
      </c>
      <c r="J75" s="24">
        <v>15.3</v>
      </c>
      <c r="K75" s="24">
        <v>17.420000000000002</v>
      </c>
      <c r="L75" s="24">
        <v>19.38</v>
      </c>
      <c r="M75" s="24">
        <v>20.62</v>
      </c>
      <c r="N75" s="24">
        <v>20.5</v>
      </c>
      <c r="O75" s="24">
        <v>22.56</v>
      </c>
      <c r="P75" s="24">
        <v>23.4</v>
      </c>
      <c r="Q75" s="37">
        <f>P75/P74</f>
        <v>0.24148606811145509</v>
      </c>
      <c r="R75" s="37"/>
      <c r="S75" s="37"/>
      <c r="T75" s="37"/>
    </row>
    <row r="76" spans="1:20" x14ac:dyDescent="0.5">
      <c r="C76" s="8" t="s">
        <v>1</v>
      </c>
      <c r="D76" s="24">
        <v>0.65</v>
      </c>
      <c r="E76" s="24">
        <v>0.62</v>
      </c>
      <c r="F76" s="24">
        <v>0.98</v>
      </c>
      <c r="G76" s="24">
        <v>1.79</v>
      </c>
      <c r="H76" s="24">
        <v>2.97</v>
      </c>
      <c r="I76" s="24">
        <v>3.39</v>
      </c>
      <c r="J76" s="24">
        <v>3.8</v>
      </c>
      <c r="K76" s="24">
        <v>4.66</v>
      </c>
      <c r="L76" s="24">
        <v>5.25</v>
      </c>
      <c r="M76" s="24">
        <v>6.01</v>
      </c>
      <c r="N76" s="24">
        <v>6.33</v>
      </c>
      <c r="O76" s="24">
        <v>6.73</v>
      </c>
      <c r="P76" s="24">
        <v>7.35</v>
      </c>
    </row>
    <row r="77" spans="1:20" x14ac:dyDescent="0.5">
      <c r="C77" s="8" t="s">
        <v>26</v>
      </c>
      <c r="D77" s="39">
        <v>1.2E-2</v>
      </c>
      <c r="E77" s="39">
        <v>1.0999999999999999E-2</v>
      </c>
      <c r="F77" s="39">
        <v>1.7000000000000001E-2</v>
      </c>
      <c r="G77" s="39">
        <v>2.8000000000000001E-2</v>
      </c>
      <c r="H77" s="39">
        <v>4.4999999999999998E-2</v>
      </c>
      <c r="I77" s="39">
        <v>5.0999999999999997E-2</v>
      </c>
      <c r="J77" s="39">
        <v>5.8000000000000003E-2</v>
      </c>
      <c r="K77" s="39">
        <v>6.4000000000000001E-2</v>
      </c>
      <c r="L77" s="39">
        <v>6.6000000000000003E-2</v>
      </c>
      <c r="M77" s="39">
        <v>7.0999999999999994E-2</v>
      </c>
      <c r="N77" s="39">
        <v>7.4999999999999997E-2</v>
      </c>
      <c r="O77" s="39">
        <v>7.2999999999999995E-2</v>
      </c>
      <c r="P77" s="39">
        <v>7.5999999999999998E-2</v>
      </c>
    </row>
    <row r="78" spans="1:20" x14ac:dyDescent="0.5">
      <c r="C78" s="8" t="s">
        <v>2</v>
      </c>
      <c r="D78" s="24">
        <v>-2.29</v>
      </c>
      <c r="E78" s="24">
        <v>-2.21</v>
      </c>
      <c r="F78" s="24">
        <v>-1.89</v>
      </c>
      <c r="G78" s="24">
        <v>-1.1299999999999999</v>
      </c>
      <c r="H78" s="24">
        <v>0.02</v>
      </c>
      <c r="I78" s="24">
        <v>0.23</v>
      </c>
      <c r="J78" s="24">
        <v>0.78</v>
      </c>
      <c r="K78" s="24">
        <v>1.81</v>
      </c>
      <c r="L78" s="24">
        <v>2.04</v>
      </c>
      <c r="M78" s="24">
        <v>2.52</v>
      </c>
      <c r="N78" s="24">
        <v>2.75</v>
      </c>
      <c r="O78" s="24">
        <v>3.13</v>
      </c>
      <c r="P78" s="24">
        <v>3.41</v>
      </c>
    </row>
    <row r="79" spans="1:20" x14ac:dyDescent="0.5">
      <c r="C79" s="8" t="s">
        <v>30</v>
      </c>
      <c r="D79" s="39">
        <v>-4.2000000000000003E-2</v>
      </c>
      <c r="E79" s="39">
        <v>-0.04</v>
      </c>
      <c r="F79" s="39">
        <v>-3.2000000000000001E-2</v>
      </c>
      <c r="G79" s="39">
        <v>-1.7999999999999999E-2</v>
      </c>
      <c r="H79" s="39">
        <v>0</v>
      </c>
      <c r="I79" s="39">
        <v>3.0000000000000001E-3</v>
      </c>
      <c r="J79" s="39">
        <v>1.2E-2</v>
      </c>
      <c r="K79" s="39">
        <v>2.5000000000000001E-2</v>
      </c>
      <c r="L79" s="39">
        <v>2.5999999999999999E-2</v>
      </c>
      <c r="M79" s="39">
        <v>0.03</v>
      </c>
      <c r="N79" s="39">
        <v>3.3000000000000002E-2</v>
      </c>
      <c r="O79" s="39">
        <v>3.4000000000000002E-2</v>
      </c>
      <c r="P79" s="39">
        <v>3.5000000000000003E-2</v>
      </c>
    </row>
    <row r="80" spans="1:20" ht="18.75" customHeight="1" x14ac:dyDescent="0.5">
      <c r="C80" s="8" t="s">
        <v>28</v>
      </c>
      <c r="D80" s="9">
        <v>15.5</v>
      </c>
      <c r="E80" s="9">
        <v>15.3</v>
      </c>
      <c r="F80" s="9">
        <v>15.7</v>
      </c>
      <c r="G80" s="9">
        <v>16.7</v>
      </c>
      <c r="H80" s="9">
        <v>17.5</v>
      </c>
      <c r="I80" s="9">
        <v>17.399999999999999</v>
      </c>
      <c r="J80" s="9">
        <v>16.600000000000001</v>
      </c>
      <c r="K80" s="9">
        <v>17.5</v>
      </c>
      <c r="L80" s="9">
        <v>18.399999999999999</v>
      </c>
      <c r="M80" s="9">
        <v>18.8</v>
      </c>
      <c r="N80" s="9">
        <v>19</v>
      </c>
      <c r="O80" s="9">
        <v>20.3</v>
      </c>
      <c r="P80" s="9">
        <v>20.7</v>
      </c>
      <c r="Q80" s="31"/>
      <c r="R80" s="31"/>
      <c r="S80" s="29"/>
    </row>
    <row r="81" spans="1:21" ht="37" x14ac:dyDescent="0.5">
      <c r="C81" s="8" t="s">
        <v>29</v>
      </c>
      <c r="D81" s="14">
        <v>173</v>
      </c>
      <c r="E81" s="14">
        <v>191</v>
      </c>
      <c r="F81" s="14">
        <v>205</v>
      </c>
      <c r="G81" s="14">
        <v>208</v>
      </c>
      <c r="H81" s="14">
        <v>207</v>
      </c>
      <c r="I81" s="14">
        <v>209</v>
      </c>
      <c r="J81" s="14">
        <v>215</v>
      </c>
      <c r="K81" s="14">
        <v>226</v>
      </c>
      <c r="L81" s="14">
        <v>238</v>
      </c>
      <c r="M81" s="14">
        <v>254</v>
      </c>
      <c r="N81" s="14">
        <v>270</v>
      </c>
      <c r="O81" s="14">
        <v>276</v>
      </c>
      <c r="P81" s="14">
        <v>292</v>
      </c>
      <c r="Q81" s="38"/>
      <c r="R81" s="38"/>
      <c r="S81" s="38"/>
      <c r="T81" s="38"/>
      <c r="U81" s="29"/>
    </row>
    <row r="82" spans="1:21" x14ac:dyDescent="0.5">
      <c r="C82" s="8" t="s">
        <v>19</v>
      </c>
      <c r="D82" s="14">
        <v>301</v>
      </c>
      <c r="E82" s="14">
        <v>296</v>
      </c>
      <c r="F82" s="14">
        <v>316</v>
      </c>
      <c r="G82" s="14">
        <v>319</v>
      </c>
      <c r="H82" s="14">
        <v>341</v>
      </c>
      <c r="I82" s="14">
        <v>330</v>
      </c>
      <c r="J82" s="14">
        <v>316</v>
      </c>
      <c r="K82" s="14">
        <v>352</v>
      </c>
      <c r="L82" s="14">
        <v>410</v>
      </c>
      <c r="M82" s="14">
        <v>419</v>
      </c>
      <c r="N82" s="14">
        <v>418</v>
      </c>
      <c r="O82" s="14">
        <v>469</v>
      </c>
      <c r="P82" s="14">
        <v>498</v>
      </c>
      <c r="Q82" s="38"/>
      <c r="R82" s="38"/>
      <c r="S82" s="38"/>
      <c r="T82" s="38"/>
      <c r="U82" s="29"/>
    </row>
    <row r="83" spans="1:21" ht="5.25" customHeight="1" x14ac:dyDescent="0.5">
      <c r="C83" s="23"/>
      <c r="D83" s="22"/>
      <c r="E83" s="22"/>
      <c r="F83" s="22"/>
      <c r="G83" s="22"/>
      <c r="H83" s="22"/>
      <c r="J83" s="29"/>
      <c r="K83" s="29"/>
      <c r="L83" s="29"/>
    </row>
    <row r="84" spans="1:21" ht="18.75" customHeight="1" x14ac:dyDescent="0.5">
      <c r="C84" s="20" t="s">
        <v>110</v>
      </c>
      <c r="D84" s="41"/>
      <c r="E84" s="41"/>
      <c r="F84" s="41"/>
      <c r="G84" s="41" t="s">
        <v>8</v>
      </c>
      <c r="H84" s="128">
        <v>66.31</v>
      </c>
      <c r="I84" s="128">
        <v>66.8</v>
      </c>
      <c r="J84" s="128">
        <v>65.69</v>
      </c>
      <c r="K84" s="128">
        <v>73.180000000000007</v>
      </c>
      <c r="L84" s="128">
        <v>79.8</v>
      </c>
      <c r="M84" s="128">
        <v>84.86</v>
      </c>
      <c r="N84" s="128">
        <v>84.39</v>
      </c>
      <c r="O84" s="128">
        <v>92.64</v>
      </c>
      <c r="P84" s="128">
        <v>96.9</v>
      </c>
    </row>
    <row r="85" spans="1:21" ht="18.75" customHeight="1" x14ac:dyDescent="0.5">
      <c r="C85" s="80" t="s">
        <v>90</v>
      </c>
      <c r="D85" s="41"/>
      <c r="E85" s="41"/>
      <c r="F85" s="41"/>
      <c r="G85" s="41" t="s">
        <v>193</v>
      </c>
      <c r="H85" s="126">
        <v>17.5</v>
      </c>
      <c r="I85" s="127">
        <v>17.399999999999999</v>
      </c>
      <c r="J85" s="127">
        <v>16.600000000000001</v>
      </c>
      <c r="K85" s="127">
        <v>17.5</v>
      </c>
      <c r="L85" s="127">
        <v>18.399999999999999</v>
      </c>
      <c r="M85" s="127">
        <v>18.8</v>
      </c>
      <c r="N85" s="127">
        <v>19</v>
      </c>
      <c r="O85" s="127">
        <v>20.3</v>
      </c>
      <c r="P85" s="127">
        <v>20.7</v>
      </c>
    </row>
    <row r="86" spans="1:21" ht="14.5" customHeight="1" x14ac:dyDescent="0.5">
      <c r="C86" s="20"/>
      <c r="D86" s="41"/>
      <c r="E86" s="41"/>
      <c r="F86" s="41"/>
      <c r="G86" s="41" t="s">
        <v>194</v>
      </c>
      <c r="H86" s="125">
        <f t="shared" ref="H86:L86" si="7">H74/H80</f>
        <v>3.7891428571428571</v>
      </c>
      <c r="I86" s="125">
        <f t="shared" si="7"/>
        <v>3.8390804597701149</v>
      </c>
      <c r="J86" s="125">
        <f t="shared" si="7"/>
        <v>3.9572289156626503</v>
      </c>
      <c r="K86" s="125">
        <f t="shared" si="7"/>
        <v>4.1817142857142864</v>
      </c>
      <c r="L86" s="125">
        <f t="shared" si="7"/>
        <v>4.3369565217391308</v>
      </c>
      <c r="M86" s="125">
        <f t="shared" ref="M86:O86" si="8">M74/M80</f>
        <v>4.5138297872340427</v>
      </c>
      <c r="N86" s="125">
        <f t="shared" si="8"/>
        <v>4.4415789473684208</v>
      </c>
      <c r="O86" s="125">
        <f t="shared" si="8"/>
        <v>4.5635467980295568</v>
      </c>
      <c r="P86" s="125">
        <f>P74/P80</f>
        <v>4.6811594202898554</v>
      </c>
    </row>
    <row r="87" spans="1:21" ht="14.5" customHeight="1" x14ac:dyDescent="0.5">
      <c r="C87" s="20"/>
    </row>
    <row r="88" spans="1:21" ht="21" x14ac:dyDescent="0.55000000000000004">
      <c r="A88" s="60" t="s">
        <v>89</v>
      </c>
      <c r="B88" s="13"/>
    </row>
    <row r="89" spans="1:21" x14ac:dyDescent="0.5">
      <c r="A89" s="13"/>
      <c r="B89" s="13"/>
    </row>
    <row r="90" spans="1:21" x14ac:dyDescent="0.5">
      <c r="A90" s="47"/>
      <c r="B90" s="4" t="s">
        <v>61</v>
      </c>
      <c r="D90" s="5"/>
      <c r="E90" s="5"/>
      <c r="F90" s="5"/>
      <c r="G90" s="5"/>
      <c r="H90" s="5"/>
      <c r="I90" s="5"/>
      <c r="J90" s="5"/>
      <c r="K90" s="5"/>
      <c r="L90" s="5"/>
      <c r="M90" s="5"/>
      <c r="N90" s="5"/>
      <c r="O90" s="5"/>
      <c r="P90" s="5"/>
    </row>
    <row r="91" spans="1:21" ht="19" thickBot="1" x14ac:dyDescent="0.55000000000000004">
      <c r="C91" s="6" t="s">
        <v>32</v>
      </c>
      <c r="D91" s="7" t="s">
        <v>22</v>
      </c>
      <c r="E91" s="7" t="s">
        <v>23</v>
      </c>
      <c r="F91" s="7" t="s">
        <v>24</v>
      </c>
      <c r="G91" s="7" t="s">
        <v>55</v>
      </c>
      <c r="H91" s="7" t="s">
        <v>95</v>
      </c>
      <c r="I91" s="7" t="s">
        <v>96</v>
      </c>
      <c r="J91" s="7" t="s">
        <v>102</v>
      </c>
      <c r="K91" s="7" t="s">
        <v>109</v>
      </c>
      <c r="L91" s="7" t="s">
        <v>120</v>
      </c>
      <c r="M91" s="7" t="s">
        <v>150</v>
      </c>
      <c r="N91" s="7" t="s">
        <v>158</v>
      </c>
      <c r="O91" s="7" t="s">
        <v>173</v>
      </c>
      <c r="P91" s="7" t="s">
        <v>175</v>
      </c>
    </row>
    <row r="92" spans="1:21" x14ac:dyDescent="0.5">
      <c r="C92" s="8" t="s">
        <v>11</v>
      </c>
      <c r="D92" s="24">
        <v>1.1200000000000001</v>
      </c>
      <c r="E92" s="24">
        <v>1.57</v>
      </c>
      <c r="F92" s="24">
        <v>1.94</v>
      </c>
      <c r="G92" s="24">
        <v>2.73</v>
      </c>
      <c r="H92" s="24">
        <v>3.34</v>
      </c>
      <c r="I92" s="24">
        <v>4.21</v>
      </c>
      <c r="J92" s="24">
        <v>4.78</v>
      </c>
      <c r="K92" s="24">
        <v>6.17</v>
      </c>
      <c r="L92" s="24">
        <v>7.45</v>
      </c>
      <c r="M92" s="24">
        <v>8.59</v>
      </c>
      <c r="N92" s="24">
        <v>9.51</v>
      </c>
      <c r="O92" s="24">
        <v>12.12</v>
      </c>
      <c r="P92" s="24">
        <v>14.73</v>
      </c>
    </row>
    <row r="93" spans="1:21" x14ac:dyDescent="0.5">
      <c r="C93" s="12" t="s">
        <v>14</v>
      </c>
      <c r="D93" s="10">
        <v>2.0499999999999998</v>
      </c>
      <c r="E93" s="10">
        <v>1.74</v>
      </c>
      <c r="F93" s="10">
        <v>1.6</v>
      </c>
      <c r="G93" s="10">
        <v>2.63</v>
      </c>
      <c r="H93" s="10">
        <v>1.99</v>
      </c>
      <c r="I93" s="10">
        <v>1.69</v>
      </c>
      <c r="J93" s="10">
        <v>1.46</v>
      </c>
      <c r="K93" s="10">
        <v>1.26</v>
      </c>
      <c r="L93" s="10">
        <v>1.23</v>
      </c>
      <c r="M93" s="10">
        <v>1.04</v>
      </c>
      <c r="N93" s="10">
        <v>0.99</v>
      </c>
      <c r="O93" s="10">
        <v>0.96</v>
      </c>
      <c r="P93" s="10">
        <v>0.98</v>
      </c>
    </row>
    <row r="94" spans="1:21" x14ac:dyDescent="0.5">
      <c r="C94" s="8" t="s">
        <v>2</v>
      </c>
      <c r="D94" s="24">
        <v>-0.3</v>
      </c>
      <c r="E94" s="24">
        <v>-0.41</v>
      </c>
      <c r="F94" s="24">
        <v>-0.44</v>
      </c>
      <c r="G94" s="24">
        <v>-0.44</v>
      </c>
      <c r="H94" s="24">
        <v>-0.53</v>
      </c>
      <c r="I94" s="24">
        <f>-0.53</f>
        <v>-0.53</v>
      </c>
      <c r="J94" s="24">
        <v>-0.45</v>
      </c>
      <c r="K94" s="24">
        <v>-0.35</v>
      </c>
      <c r="L94" s="24">
        <v>-0.34</v>
      </c>
      <c r="M94" s="24">
        <v>-0.34</v>
      </c>
      <c r="N94" s="24">
        <v>-0.23</v>
      </c>
      <c r="O94" s="24">
        <v>-0.22</v>
      </c>
      <c r="P94" s="24">
        <v>-0.21</v>
      </c>
    </row>
    <row r="95" spans="1:21" x14ac:dyDescent="0.5">
      <c r="C95" s="12" t="s">
        <v>17</v>
      </c>
      <c r="D95" s="10">
        <v>-0.27</v>
      </c>
      <c r="E95" s="10">
        <v>-0.26</v>
      </c>
      <c r="F95" s="10">
        <v>-0.23</v>
      </c>
      <c r="G95" s="10">
        <v>-0.16</v>
      </c>
      <c r="H95" s="10">
        <v>-0.16</v>
      </c>
      <c r="I95" s="10">
        <v>-0.13</v>
      </c>
      <c r="J95" s="10">
        <v>-0.09</v>
      </c>
      <c r="K95" s="10">
        <v>-0.06</v>
      </c>
      <c r="L95" s="10">
        <v>-0.05</v>
      </c>
      <c r="M95" s="10">
        <v>-0.04</v>
      </c>
      <c r="N95" s="10">
        <v>-0.02</v>
      </c>
      <c r="O95" s="10">
        <v>-0.02</v>
      </c>
      <c r="P95" s="10">
        <v>-0.01</v>
      </c>
      <c r="Q95" s="29"/>
    </row>
    <row r="96" spans="1:21" ht="5.25" customHeight="1" x14ac:dyDescent="0.5"/>
    <row r="97" spans="1:19" ht="18.75" customHeight="1" x14ac:dyDescent="0.5">
      <c r="C97" s="20" t="s">
        <v>110</v>
      </c>
      <c r="D97" s="41"/>
      <c r="E97" s="41"/>
      <c r="F97" s="41"/>
      <c r="G97" s="41"/>
      <c r="H97" s="41"/>
    </row>
    <row r="98" spans="1:19" ht="18.75" customHeight="1" x14ac:dyDescent="0.5">
      <c r="C98" s="80" t="s">
        <v>90</v>
      </c>
      <c r="D98" s="41"/>
      <c r="E98" s="41"/>
      <c r="F98" s="41"/>
      <c r="G98" s="41"/>
      <c r="H98" s="41"/>
    </row>
    <row r="99" spans="1:19" ht="14.5" customHeight="1" x14ac:dyDescent="0.5">
      <c r="C99" s="20"/>
      <c r="D99" s="41"/>
      <c r="E99" s="41"/>
      <c r="F99" s="41"/>
      <c r="G99" s="41"/>
      <c r="H99" s="41"/>
    </row>
    <row r="100" spans="1:19" ht="14.5" customHeight="1" x14ac:dyDescent="0.5">
      <c r="C100" s="41"/>
      <c r="D100" s="41"/>
      <c r="E100" s="41"/>
      <c r="F100" s="41"/>
      <c r="G100" s="41"/>
      <c r="H100" s="41"/>
    </row>
    <row r="101" spans="1:19" ht="21" x14ac:dyDescent="0.55000000000000004">
      <c r="A101" s="60" t="s">
        <v>94</v>
      </c>
      <c r="B101" s="13"/>
      <c r="D101" s="33"/>
      <c r="E101" s="33"/>
      <c r="F101" s="33"/>
      <c r="G101" s="33"/>
      <c r="H101" s="33"/>
    </row>
    <row r="102" spans="1:19" ht="18.75" customHeight="1" x14ac:dyDescent="0.55000000000000004">
      <c r="A102" s="60"/>
      <c r="B102" s="13"/>
      <c r="D102" s="33"/>
      <c r="E102" s="33"/>
      <c r="F102" s="33"/>
      <c r="G102" s="33"/>
      <c r="H102" s="33"/>
    </row>
    <row r="103" spans="1:19" x14ac:dyDescent="0.5">
      <c r="B103" s="4" t="s">
        <v>62</v>
      </c>
      <c r="C103" s="20"/>
      <c r="D103" s="33"/>
      <c r="E103" s="33"/>
      <c r="F103" s="33"/>
      <c r="G103" s="33"/>
      <c r="H103" s="33"/>
    </row>
    <row r="104" spans="1:19" ht="19" thickBot="1" x14ac:dyDescent="0.55000000000000004">
      <c r="A104" s="47"/>
      <c r="B104" s="47"/>
      <c r="C104" s="111" t="s">
        <v>32</v>
      </c>
      <c r="D104" s="7" t="s">
        <v>22</v>
      </c>
      <c r="E104" s="7" t="s">
        <v>23</v>
      </c>
      <c r="F104" s="7" t="s">
        <v>24</v>
      </c>
      <c r="G104" s="7" t="s">
        <v>55</v>
      </c>
      <c r="H104" s="48" t="s">
        <v>95</v>
      </c>
      <c r="I104" s="48" t="s">
        <v>96</v>
      </c>
      <c r="J104" s="48" t="s">
        <v>102</v>
      </c>
      <c r="K104" s="48" t="s">
        <v>109</v>
      </c>
      <c r="L104" s="48" t="s">
        <v>120</v>
      </c>
      <c r="M104" s="48" t="s">
        <v>150</v>
      </c>
      <c r="N104" s="48" t="s">
        <v>158</v>
      </c>
      <c r="O104" s="48" t="s">
        <v>173</v>
      </c>
      <c r="P104" s="48" t="s">
        <v>175</v>
      </c>
      <c r="Q104" s="48" t="s">
        <v>358</v>
      </c>
      <c r="R104" s="48" t="s">
        <v>359</v>
      </c>
    </row>
    <row r="105" spans="1:19" x14ac:dyDescent="0.5">
      <c r="C105" s="8" t="s">
        <v>8</v>
      </c>
      <c r="D105" s="112"/>
      <c r="E105" s="112"/>
      <c r="F105" s="112"/>
      <c r="G105" s="24">
        <v>11.72</v>
      </c>
      <c r="H105" s="24">
        <v>14.82</v>
      </c>
      <c r="I105" s="24">
        <v>17.489999999999998</v>
      </c>
      <c r="J105" s="24">
        <v>20.46</v>
      </c>
      <c r="K105" s="24">
        <v>21.4</v>
      </c>
      <c r="L105" s="24">
        <v>27.6</v>
      </c>
      <c r="M105" s="24">
        <v>35.42</v>
      </c>
      <c r="N105" s="24">
        <v>40.270000000000003</v>
      </c>
      <c r="O105" s="24">
        <v>49.23</v>
      </c>
      <c r="P105" s="24">
        <v>61.32</v>
      </c>
      <c r="Q105" s="24">
        <v>77.98</v>
      </c>
      <c r="R105" s="24">
        <f>N105*2</f>
        <v>80.540000000000006</v>
      </c>
      <c r="S105" s="29">
        <f>SUM(O105:R105)</f>
        <v>269.07</v>
      </c>
    </row>
    <row r="106" spans="1:19" x14ac:dyDescent="0.5">
      <c r="C106" s="8" t="s">
        <v>11</v>
      </c>
      <c r="D106" s="113"/>
      <c r="E106" s="113"/>
      <c r="F106" s="113"/>
      <c r="G106" s="24">
        <v>1.64</v>
      </c>
      <c r="H106" s="24">
        <v>2.36</v>
      </c>
      <c r="I106" s="24">
        <v>3.01</v>
      </c>
      <c r="J106" s="24">
        <v>3.63</v>
      </c>
      <c r="K106" s="24">
        <v>3.84</v>
      </c>
      <c r="L106" s="24">
        <v>5.05</v>
      </c>
      <c r="M106" s="24">
        <v>6.44</v>
      </c>
      <c r="N106" s="24">
        <v>7.69</v>
      </c>
      <c r="O106" s="24">
        <v>9.42</v>
      </c>
      <c r="P106" s="24">
        <v>11.56</v>
      </c>
    </row>
    <row r="107" spans="1:19" x14ac:dyDescent="0.5">
      <c r="C107" s="8" t="s">
        <v>1</v>
      </c>
      <c r="D107" s="113"/>
      <c r="E107" s="113"/>
      <c r="F107" s="113"/>
      <c r="G107" s="24">
        <v>-2.0299999999999998</v>
      </c>
      <c r="H107" s="24">
        <v>-1.08</v>
      </c>
      <c r="I107" s="24">
        <v>-0.79</v>
      </c>
      <c r="J107" s="24">
        <v>-0.56000000000000005</v>
      </c>
      <c r="K107" s="24">
        <v>-0.14000000000000001</v>
      </c>
      <c r="L107" s="24">
        <v>0.36</v>
      </c>
      <c r="M107" s="24">
        <v>0.86</v>
      </c>
      <c r="N107" s="24">
        <v>1.58</v>
      </c>
      <c r="O107" s="24">
        <v>1.99</v>
      </c>
      <c r="P107" s="24">
        <v>2.34</v>
      </c>
    </row>
    <row r="108" spans="1:19" x14ac:dyDescent="0.5">
      <c r="C108" s="8" t="s">
        <v>75</v>
      </c>
      <c r="D108" s="113"/>
      <c r="E108" s="113"/>
      <c r="F108" s="113"/>
      <c r="G108" s="39">
        <v>-0.17299999999999999</v>
      </c>
      <c r="H108" s="39">
        <v>-7.2999999999999995E-2</v>
      </c>
      <c r="I108" s="39">
        <v>-4.4999999999999998E-2</v>
      </c>
      <c r="J108" s="39">
        <v>-2.7E-2</v>
      </c>
      <c r="K108" s="39">
        <v>-6.0000000000000001E-3</v>
      </c>
      <c r="L108" s="39">
        <v>1.2999999999999999E-2</v>
      </c>
      <c r="M108" s="39">
        <v>2.4E-2</v>
      </c>
      <c r="N108" s="39">
        <v>3.9E-2</v>
      </c>
      <c r="O108" s="39">
        <v>0.04</v>
      </c>
      <c r="P108" s="39">
        <v>3.7999999999999999E-2</v>
      </c>
    </row>
    <row r="109" spans="1:19" x14ac:dyDescent="0.5">
      <c r="C109" s="8" t="s">
        <v>2</v>
      </c>
      <c r="D109" s="113"/>
      <c r="E109" s="113"/>
      <c r="F109" s="113"/>
      <c r="G109" s="24">
        <v>-3.26</v>
      </c>
      <c r="H109" s="24">
        <v>-2.59</v>
      </c>
      <c r="I109" s="24">
        <v>-2.27</v>
      </c>
      <c r="J109" s="24">
        <v>-2.0299999999999998</v>
      </c>
      <c r="K109" s="24">
        <v>-1.33</v>
      </c>
      <c r="L109" s="24">
        <v>-1.25</v>
      </c>
      <c r="M109" s="24">
        <v>-0.89</v>
      </c>
      <c r="N109" s="24">
        <v>-0.37</v>
      </c>
      <c r="O109" s="24">
        <v>-0.03</v>
      </c>
      <c r="P109" s="24">
        <v>-0.08</v>
      </c>
    </row>
    <row r="110" spans="1:19" x14ac:dyDescent="0.5">
      <c r="C110" s="8" t="s">
        <v>76</v>
      </c>
      <c r="D110" s="113"/>
      <c r="E110" s="113"/>
      <c r="F110" s="113"/>
      <c r="G110" s="39">
        <v>-0.27800000000000002</v>
      </c>
      <c r="H110" s="39">
        <v>-0.17499999999999999</v>
      </c>
      <c r="I110" s="39">
        <v>-0.13</v>
      </c>
      <c r="J110" s="39">
        <v>-9.9000000000000005E-2</v>
      </c>
      <c r="K110" s="39">
        <v>-6.2E-2</v>
      </c>
      <c r="L110" s="39">
        <v>-4.4999999999999998E-2</v>
      </c>
      <c r="M110" s="39">
        <v>-2.5000000000000001E-2</v>
      </c>
      <c r="N110" s="39">
        <v>-8.9999999999999993E-3</v>
      </c>
      <c r="O110" s="39">
        <v>-1E-3</v>
      </c>
      <c r="P110" s="39">
        <v>-1E-3</v>
      </c>
    </row>
    <row r="111" spans="1:19" x14ac:dyDescent="0.5">
      <c r="C111" s="8" t="s">
        <v>18</v>
      </c>
      <c r="D111" s="112"/>
      <c r="E111" s="112"/>
      <c r="F111" s="112"/>
      <c r="G111" s="9">
        <v>22.2</v>
      </c>
      <c r="H111" s="9">
        <v>26.1</v>
      </c>
      <c r="I111" s="9">
        <v>31.6</v>
      </c>
      <c r="J111" s="9">
        <v>39.200000000000003</v>
      </c>
      <c r="K111" s="9">
        <v>36.799999999999997</v>
      </c>
      <c r="L111" s="9">
        <v>45.5</v>
      </c>
      <c r="M111" s="9">
        <v>55.8</v>
      </c>
      <c r="N111" s="9">
        <v>65.3</v>
      </c>
      <c r="O111" s="9">
        <v>78.8</v>
      </c>
      <c r="P111" s="9">
        <v>92.9</v>
      </c>
    </row>
    <row r="112" spans="1:19" x14ac:dyDescent="0.5">
      <c r="C112" s="8" t="s">
        <v>151</v>
      </c>
      <c r="D112" s="113"/>
      <c r="E112" s="113"/>
      <c r="F112" s="113"/>
      <c r="G112" s="14">
        <v>528</v>
      </c>
      <c r="H112" s="14">
        <v>568</v>
      </c>
      <c r="I112" s="14">
        <v>553</v>
      </c>
      <c r="J112" s="14">
        <v>522</v>
      </c>
      <c r="K112" s="14">
        <v>582</v>
      </c>
      <c r="L112" s="14">
        <v>607</v>
      </c>
      <c r="M112" s="14">
        <v>635</v>
      </c>
      <c r="N112" s="14">
        <v>617</v>
      </c>
      <c r="O112" s="14">
        <v>625</v>
      </c>
      <c r="P112" s="14">
        <v>660</v>
      </c>
    </row>
    <row r="113" spans="1:16" x14ac:dyDescent="0.5">
      <c r="C113" s="8" t="s">
        <v>28</v>
      </c>
      <c r="D113" s="113"/>
      <c r="E113" s="113"/>
      <c r="F113" s="113"/>
      <c r="G113" s="9">
        <v>2.2000000000000002</v>
      </c>
      <c r="H113" s="9">
        <v>2.6</v>
      </c>
      <c r="I113" s="9">
        <v>3.1</v>
      </c>
      <c r="J113" s="9">
        <v>3.9</v>
      </c>
      <c r="K113" s="9">
        <v>3.9</v>
      </c>
      <c r="L113" s="9">
        <v>4.7</v>
      </c>
      <c r="M113" s="9">
        <v>5.4</v>
      </c>
      <c r="N113" s="9">
        <v>6.4</v>
      </c>
      <c r="O113" s="9">
        <v>7.6</v>
      </c>
      <c r="P113" s="9">
        <v>8.9</v>
      </c>
    </row>
    <row r="114" spans="1:16" x14ac:dyDescent="0.5">
      <c r="C114" s="8" t="s">
        <v>153</v>
      </c>
      <c r="D114" s="113"/>
      <c r="E114" s="113"/>
      <c r="F114" s="113"/>
      <c r="G114" s="113"/>
      <c r="H114" s="113"/>
      <c r="I114" s="14">
        <v>39</v>
      </c>
      <c r="J114" s="14">
        <v>43</v>
      </c>
      <c r="K114" s="14">
        <v>46</v>
      </c>
      <c r="L114" s="14">
        <v>59</v>
      </c>
      <c r="M114" s="14">
        <v>73</v>
      </c>
      <c r="N114" s="14">
        <v>89</v>
      </c>
      <c r="O114" s="14">
        <v>105</v>
      </c>
      <c r="P114" s="14">
        <v>127</v>
      </c>
    </row>
    <row r="115" spans="1:16" x14ac:dyDescent="0.5">
      <c r="C115" s="8" t="s">
        <v>152</v>
      </c>
      <c r="D115" s="113"/>
      <c r="E115" s="113"/>
      <c r="F115" s="113"/>
      <c r="G115" s="14">
        <v>309</v>
      </c>
      <c r="H115" s="14">
        <v>422</v>
      </c>
      <c r="I115" s="14">
        <v>524</v>
      </c>
      <c r="J115" s="14">
        <v>625</v>
      </c>
      <c r="K115" s="14">
        <v>620</v>
      </c>
      <c r="L115" s="14">
        <v>757</v>
      </c>
      <c r="M115" s="14">
        <v>889</v>
      </c>
      <c r="N115" s="14">
        <v>920</v>
      </c>
      <c r="O115" s="14">
        <v>956</v>
      </c>
      <c r="P115" s="14">
        <v>981</v>
      </c>
    </row>
    <row r="116" spans="1:16" x14ac:dyDescent="0.5">
      <c r="C116" s="8" t="s">
        <v>130</v>
      </c>
      <c r="D116" s="113"/>
      <c r="E116" s="113"/>
      <c r="F116" s="113"/>
      <c r="G116" s="14">
        <v>409</v>
      </c>
      <c r="H116" s="14">
        <v>366</v>
      </c>
      <c r="I116" s="14">
        <v>362</v>
      </c>
      <c r="J116" s="14">
        <v>377</v>
      </c>
      <c r="K116" s="14">
        <v>383</v>
      </c>
      <c r="L116" s="14">
        <v>411</v>
      </c>
      <c r="M116" s="14">
        <v>451</v>
      </c>
      <c r="N116" s="14">
        <v>526</v>
      </c>
      <c r="O116" s="14">
        <v>639</v>
      </c>
      <c r="P116" s="14">
        <v>791</v>
      </c>
    </row>
    <row r="117" spans="1:16" ht="5.25" customHeight="1" x14ac:dyDescent="0.5">
      <c r="C117"/>
      <c r="D117"/>
      <c r="E117"/>
      <c r="F117"/>
    </row>
    <row r="118" spans="1:16" ht="18.75" customHeight="1" x14ac:dyDescent="0.5">
      <c r="C118" s="15" t="s">
        <v>63</v>
      </c>
      <c r="D118"/>
      <c r="E118"/>
      <c r="F118"/>
      <c r="H118" s="3" t="s">
        <v>8</v>
      </c>
      <c r="I118" s="129">
        <v>17.489999999999998</v>
      </c>
      <c r="J118" s="129">
        <v>20.46</v>
      </c>
      <c r="K118" s="129">
        <v>21.4</v>
      </c>
      <c r="L118" s="129">
        <v>27.6</v>
      </c>
      <c r="M118" s="129">
        <v>35.42</v>
      </c>
      <c r="N118" s="129">
        <v>40.270000000000003</v>
      </c>
      <c r="O118" s="129">
        <v>49.23</v>
      </c>
      <c r="P118" s="129">
        <v>61.32</v>
      </c>
    </row>
    <row r="119" spans="1:16" ht="15" customHeight="1" x14ac:dyDescent="0.5">
      <c r="C119" s="352" t="s">
        <v>140</v>
      </c>
      <c r="D119" s="352"/>
      <c r="E119" s="352"/>
      <c r="F119" s="352"/>
      <c r="G119" s="352"/>
      <c r="H119" s="41" t="s">
        <v>193</v>
      </c>
      <c r="I119" s="129">
        <v>3.1</v>
      </c>
      <c r="J119" s="129">
        <v>3.9</v>
      </c>
      <c r="K119" s="129">
        <v>3.9</v>
      </c>
      <c r="L119" s="129">
        <v>4.7</v>
      </c>
      <c r="M119" s="129">
        <v>5.4</v>
      </c>
      <c r="N119" s="129">
        <v>6.4</v>
      </c>
      <c r="O119" s="129">
        <v>7.6</v>
      </c>
      <c r="P119" s="129">
        <v>8.9</v>
      </c>
    </row>
    <row r="120" spans="1:16" ht="15" customHeight="1" x14ac:dyDescent="0.5">
      <c r="C120" s="352"/>
      <c r="D120" s="352"/>
      <c r="E120" s="352"/>
      <c r="F120" s="352"/>
      <c r="G120" s="352"/>
      <c r="H120" s="41" t="s">
        <v>194</v>
      </c>
      <c r="I120" s="125">
        <f>I118/I119</f>
        <v>5.6419354838709674</v>
      </c>
      <c r="J120" s="125">
        <f t="shared" ref="J120:P120" si="9">J118/J119</f>
        <v>5.2461538461538462</v>
      </c>
      <c r="K120" s="125">
        <f t="shared" si="9"/>
        <v>5.4871794871794872</v>
      </c>
      <c r="L120" s="125">
        <f t="shared" si="9"/>
        <v>5.8723404255319149</v>
      </c>
      <c r="M120" s="125">
        <f t="shared" si="9"/>
        <v>6.5592592592592593</v>
      </c>
      <c r="N120" s="125">
        <f t="shared" si="9"/>
        <v>6.2921874999999998</v>
      </c>
      <c r="O120" s="125">
        <f t="shared" si="9"/>
        <v>6.477631578947368</v>
      </c>
      <c r="P120" s="125">
        <f t="shared" si="9"/>
        <v>6.8898876404494382</v>
      </c>
    </row>
    <row r="121" spans="1:16" x14ac:dyDescent="0.5">
      <c r="C121" s="15" t="s">
        <v>111</v>
      </c>
      <c r="D121"/>
      <c r="E121"/>
      <c r="F121"/>
    </row>
    <row r="122" spans="1:16" x14ac:dyDescent="0.5">
      <c r="C122" s="80" t="s">
        <v>90</v>
      </c>
      <c r="D122"/>
      <c r="E122"/>
      <c r="F122"/>
    </row>
    <row r="123" spans="1:16" x14ac:dyDescent="0.5">
      <c r="C123" s="80"/>
      <c r="D123"/>
      <c r="E123"/>
      <c r="F123"/>
      <c r="M123" s="37">
        <f>M106/M105</f>
        <v>0.18181818181818182</v>
      </c>
      <c r="N123" s="37">
        <f t="shared" ref="N123:P123" si="10">N106/N105</f>
        <v>0.19096101316116215</v>
      </c>
      <c r="O123" s="37">
        <f t="shared" si="10"/>
        <v>0.19134673979280928</v>
      </c>
      <c r="P123" s="37">
        <f t="shared" si="10"/>
        <v>0.18851924331376388</v>
      </c>
    </row>
    <row r="124" spans="1:16" ht="21" x14ac:dyDescent="0.55000000000000004">
      <c r="A124" s="60" t="s">
        <v>127</v>
      </c>
    </row>
    <row r="126" spans="1:16" x14ac:dyDescent="0.5">
      <c r="B126" s="61" t="s">
        <v>128</v>
      </c>
    </row>
    <row r="127" spans="1:16" ht="19" thickBot="1" x14ac:dyDescent="0.55000000000000004">
      <c r="C127" s="6" t="s">
        <v>32</v>
      </c>
      <c r="D127" s="7" t="s">
        <v>22</v>
      </c>
      <c r="E127" s="7" t="s">
        <v>23</v>
      </c>
      <c r="F127" s="7" t="s">
        <v>24</v>
      </c>
      <c r="G127" s="7" t="s">
        <v>55</v>
      </c>
      <c r="H127" s="7" t="s">
        <v>95</v>
      </c>
      <c r="I127" s="7" t="s">
        <v>96</v>
      </c>
      <c r="J127" s="7" t="s">
        <v>102</v>
      </c>
      <c r="K127" s="7" t="s">
        <v>109</v>
      </c>
      <c r="L127" s="7" t="s">
        <v>120</v>
      </c>
      <c r="M127" s="7" t="s">
        <v>150</v>
      </c>
      <c r="N127" s="7" t="s">
        <v>158</v>
      </c>
      <c r="O127" s="7" t="s">
        <v>173</v>
      </c>
      <c r="P127" s="48" t="s">
        <v>175</v>
      </c>
    </row>
    <row r="128" spans="1:16" x14ac:dyDescent="0.5">
      <c r="C128" s="8" t="s">
        <v>8</v>
      </c>
      <c r="D128" s="88"/>
      <c r="E128" s="88"/>
      <c r="F128" s="88"/>
      <c r="G128" s="88"/>
      <c r="H128" s="24">
        <v>2.98</v>
      </c>
      <c r="I128" s="24">
        <v>3.38</v>
      </c>
      <c r="J128" s="24">
        <v>3.48</v>
      </c>
      <c r="K128" s="24">
        <v>6.16</v>
      </c>
      <c r="L128" s="24">
        <v>6.82</v>
      </c>
      <c r="M128" s="24">
        <v>8.58</v>
      </c>
      <c r="N128" s="24">
        <v>10.69</v>
      </c>
      <c r="O128" s="24">
        <v>12.68</v>
      </c>
      <c r="P128" s="24">
        <v>18.489999999999998</v>
      </c>
    </row>
    <row r="129" spans="1:16384" s="63" customFormat="1" x14ac:dyDescent="0.5">
      <c r="A129" s="70"/>
      <c r="B129" s="70">
        <v>0</v>
      </c>
      <c r="C129" s="12" t="s">
        <v>14</v>
      </c>
      <c r="D129" s="88"/>
      <c r="E129" s="88"/>
      <c r="F129" s="88"/>
      <c r="G129" s="88"/>
      <c r="H129" s="10">
        <v>-0.01</v>
      </c>
      <c r="I129" s="10">
        <v>0</v>
      </c>
      <c r="J129" s="10">
        <v>0.1</v>
      </c>
      <c r="K129" s="10">
        <v>0.61</v>
      </c>
      <c r="L129" s="10">
        <v>1.29</v>
      </c>
      <c r="M129" s="10">
        <v>1.54</v>
      </c>
      <c r="N129" s="10">
        <v>2.0699999999999998</v>
      </c>
      <c r="O129" s="10">
        <v>1.06</v>
      </c>
      <c r="P129" s="10">
        <v>1.71</v>
      </c>
      <c r="R129" s="333"/>
      <c r="S129" s="29"/>
      <c r="T129" s="37"/>
      <c r="U129" s="70"/>
      <c r="V129" s="70">
        <v>0</v>
      </c>
      <c r="W129" s="70">
        <v>0</v>
      </c>
      <c r="X129" s="70">
        <v>0</v>
      </c>
      <c r="Y129" s="70">
        <v>0</v>
      </c>
      <c r="Z129" s="70">
        <v>0</v>
      </c>
      <c r="AA129" s="70">
        <v>0</v>
      </c>
      <c r="AB129" s="70">
        <v>0</v>
      </c>
      <c r="AC129" s="70">
        <v>0</v>
      </c>
      <c r="AD129" s="70">
        <v>0</v>
      </c>
      <c r="AE129" s="70">
        <v>0</v>
      </c>
      <c r="AF129" s="70">
        <v>0</v>
      </c>
      <c r="AG129" s="70">
        <v>0</v>
      </c>
      <c r="AH129" s="70">
        <v>0</v>
      </c>
      <c r="AI129" s="70">
        <v>0</v>
      </c>
      <c r="AJ129" s="70">
        <v>0</v>
      </c>
      <c r="AK129" s="70">
        <v>0</v>
      </c>
      <c r="AL129" s="70">
        <v>0</v>
      </c>
      <c r="AM129" s="70">
        <v>0</v>
      </c>
      <c r="AN129" s="70">
        <v>0</v>
      </c>
      <c r="AO129" s="70">
        <v>0</v>
      </c>
      <c r="AP129" s="70">
        <v>0</v>
      </c>
      <c r="AQ129" s="70">
        <v>0</v>
      </c>
      <c r="AR129" s="70">
        <v>0</v>
      </c>
      <c r="AS129" s="70">
        <v>0</v>
      </c>
      <c r="AT129" s="70">
        <v>0</v>
      </c>
      <c r="AU129" s="70">
        <v>0</v>
      </c>
      <c r="AV129" s="70">
        <v>0</v>
      </c>
      <c r="AW129" s="70">
        <v>0</v>
      </c>
      <c r="AX129" s="70">
        <v>0</v>
      </c>
      <c r="AY129" s="70">
        <v>0</v>
      </c>
      <c r="AZ129" s="70">
        <v>0</v>
      </c>
      <c r="BA129" s="70">
        <v>0</v>
      </c>
      <c r="BB129" s="70">
        <v>0</v>
      </c>
      <c r="BC129" s="70">
        <v>0</v>
      </c>
      <c r="BD129" s="70">
        <v>0</v>
      </c>
      <c r="BE129" s="70">
        <v>0</v>
      </c>
      <c r="BF129" s="70">
        <v>0</v>
      </c>
      <c r="BG129" s="70">
        <v>0</v>
      </c>
      <c r="BH129" s="70">
        <v>0</v>
      </c>
      <c r="BI129" s="70">
        <v>0</v>
      </c>
      <c r="BJ129" s="70">
        <v>0</v>
      </c>
      <c r="BK129" s="70">
        <v>0</v>
      </c>
      <c r="BL129" s="70">
        <v>0</v>
      </c>
      <c r="BM129" s="70">
        <v>0</v>
      </c>
      <c r="BN129" s="70">
        <v>0</v>
      </c>
      <c r="BO129" s="70">
        <v>0</v>
      </c>
      <c r="BP129" s="70">
        <v>0</v>
      </c>
      <c r="BQ129" s="70">
        <v>0</v>
      </c>
      <c r="BR129" s="70">
        <v>0</v>
      </c>
      <c r="BS129" s="70">
        <v>0</v>
      </c>
      <c r="BT129" s="70">
        <v>0</v>
      </c>
      <c r="BU129" s="70">
        <v>0</v>
      </c>
      <c r="BV129" s="70">
        <v>0</v>
      </c>
      <c r="BW129" s="70">
        <v>0</v>
      </c>
      <c r="BX129" s="70">
        <v>0</v>
      </c>
      <c r="BY129" s="70">
        <v>0</v>
      </c>
      <c r="BZ129" s="70">
        <v>0</v>
      </c>
      <c r="CA129" s="70">
        <v>0</v>
      </c>
      <c r="CB129" s="70">
        <v>0</v>
      </c>
      <c r="CC129" s="70">
        <v>0</v>
      </c>
      <c r="CD129" s="70">
        <v>0</v>
      </c>
      <c r="CE129" s="70">
        <v>0</v>
      </c>
      <c r="CF129" s="70">
        <v>0</v>
      </c>
      <c r="CG129" s="70">
        <v>0</v>
      </c>
      <c r="CH129" s="70">
        <v>0</v>
      </c>
      <c r="CI129" s="70">
        <v>0</v>
      </c>
      <c r="CJ129" s="70">
        <v>0</v>
      </c>
      <c r="CK129" s="70">
        <v>0</v>
      </c>
      <c r="CL129" s="70">
        <v>0</v>
      </c>
      <c r="CM129" s="70">
        <v>0</v>
      </c>
      <c r="CN129" s="70">
        <v>0</v>
      </c>
      <c r="CO129" s="70">
        <v>0</v>
      </c>
      <c r="CP129" s="70">
        <v>0</v>
      </c>
      <c r="CQ129" s="70">
        <v>0</v>
      </c>
      <c r="CR129" s="70">
        <v>0</v>
      </c>
      <c r="CS129" s="70">
        <v>0</v>
      </c>
      <c r="CT129" s="70">
        <v>0</v>
      </c>
      <c r="CU129" s="70">
        <v>0</v>
      </c>
      <c r="CV129" s="70">
        <v>0</v>
      </c>
      <c r="CW129" s="70">
        <v>0</v>
      </c>
      <c r="CX129" s="70">
        <v>0</v>
      </c>
      <c r="CY129" s="70">
        <v>0</v>
      </c>
      <c r="CZ129" s="70">
        <v>0</v>
      </c>
      <c r="DA129" s="70">
        <v>0</v>
      </c>
      <c r="DB129" s="70">
        <v>0</v>
      </c>
      <c r="DC129" s="70">
        <v>0</v>
      </c>
      <c r="DD129" s="70">
        <v>0</v>
      </c>
      <c r="DE129" s="70">
        <v>0</v>
      </c>
      <c r="DF129" s="70">
        <v>0</v>
      </c>
      <c r="DG129" s="70">
        <v>0</v>
      </c>
      <c r="DH129" s="70">
        <v>0</v>
      </c>
      <c r="DI129" s="70">
        <v>0</v>
      </c>
      <c r="DJ129" s="70">
        <v>0</v>
      </c>
      <c r="DK129" s="70">
        <v>0</v>
      </c>
      <c r="DL129" s="70">
        <v>0</v>
      </c>
      <c r="DM129" s="70">
        <v>0</v>
      </c>
      <c r="DN129" s="70">
        <v>0</v>
      </c>
      <c r="DO129" s="70">
        <v>0</v>
      </c>
      <c r="DP129" s="70">
        <v>0</v>
      </c>
      <c r="DQ129" s="70">
        <v>0</v>
      </c>
      <c r="DR129" s="70">
        <v>0</v>
      </c>
      <c r="DS129" s="70">
        <v>0</v>
      </c>
      <c r="DT129" s="70">
        <v>0</v>
      </c>
      <c r="DU129" s="70">
        <v>0</v>
      </c>
      <c r="DV129" s="70">
        <v>0</v>
      </c>
      <c r="DW129" s="70">
        <v>0</v>
      </c>
      <c r="DX129" s="70">
        <v>0</v>
      </c>
      <c r="DY129" s="70">
        <v>0</v>
      </c>
      <c r="DZ129" s="70">
        <v>0</v>
      </c>
      <c r="EA129" s="70">
        <v>0</v>
      </c>
      <c r="EB129" s="70">
        <v>0</v>
      </c>
      <c r="EC129" s="70">
        <v>0</v>
      </c>
      <c r="ED129" s="70">
        <v>0</v>
      </c>
      <c r="EE129" s="70">
        <v>0</v>
      </c>
      <c r="EF129" s="70">
        <v>0</v>
      </c>
      <c r="EG129" s="70">
        <v>0</v>
      </c>
      <c r="EH129" s="70">
        <v>0</v>
      </c>
      <c r="EI129" s="70">
        <v>0</v>
      </c>
      <c r="EJ129" s="70">
        <v>0</v>
      </c>
      <c r="EK129" s="70">
        <v>0</v>
      </c>
      <c r="EL129" s="70">
        <v>0</v>
      </c>
      <c r="EM129" s="70">
        <v>0</v>
      </c>
      <c r="EN129" s="70">
        <v>0</v>
      </c>
      <c r="EO129" s="70">
        <v>0</v>
      </c>
      <c r="EP129" s="70">
        <v>0</v>
      </c>
      <c r="EQ129" s="70">
        <v>0</v>
      </c>
      <c r="ER129" s="70">
        <v>0</v>
      </c>
      <c r="ES129" s="70">
        <v>0</v>
      </c>
      <c r="ET129" s="70">
        <v>0</v>
      </c>
      <c r="EU129" s="70">
        <v>0</v>
      </c>
      <c r="EV129" s="70">
        <v>0</v>
      </c>
      <c r="EW129" s="70">
        <v>0</v>
      </c>
      <c r="EX129" s="70">
        <v>0</v>
      </c>
      <c r="EY129" s="70">
        <v>0</v>
      </c>
      <c r="EZ129" s="70">
        <v>0</v>
      </c>
      <c r="FA129" s="70">
        <v>0</v>
      </c>
      <c r="FB129" s="70">
        <v>0</v>
      </c>
      <c r="FC129" s="70">
        <v>0</v>
      </c>
      <c r="FD129" s="70">
        <v>0</v>
      </c>
      <c r="FE129" s="70">
        <v>0</v>
      </c>
      <c r="FF129" s="70">
        <v>0</v>
      </c>
      <c r="FG129" s="70">
        <v>0</v>
      </c>
      <c r="FH129" s="70">
        <v>0</v>
      </c>
      <c r="FI129" s="70">
        <v>0</v>
      </c>
      <c r="FJ129" s="70">
        <v>0</v>
      </c>
      <c r="FK129" s="70">
        <v>0</v>
      </c>
      <c r="FL129" s="70">
        <v>0</v>
      </c>
      <c r="FM129" s="70">
        <v>0</v>
      </c>
      <c r="FN129" s="70">
        <v>0</v>
      </c>
      <c r="FO129" s="70">
        <v>0</v>
      </c>
      <c r="FP129" s="70">
        <v>0</v>
      </c>
      <c r="FQ129" s="70">
        <v>0</v>
      </c>
      <c r="FR129" s="70">
        <v>0</v>
      </c>
      <c r="FS129" s="70">
        <v>0</v>
      </c>
      <c r="FT129" s="70">
        <v>0</v>
      </c>
      <c r="FU129" s="70">
        <v>0</v>
      </c>
      <c r="FV129" s="70">
        <v>0</v>
      </c>
      <c r="FW129" s="70">
        <v>0</v>
      </c>
      <c r="FX129" s="70">
        <v>0</v>
      </c>
      <c r="FY129" s="70">
        <v>0</v>
      </c>
      <c r="FZ129" s="70">
        <v>0</v>
      </c>
      <c r="GA129" s="70">
        <v>0</v>
      </c>
      <c r="GB129" s="70">
        <v>0</v>
      </c>
      <c r="GC129" s="70">
        <v>0</v>
      </c>
      <c r="GD129" s="70">
        <v>0</v>
      </c>
      <c r="GE129" s="70">
        <v>0</v>
      </c>
      <c r="GF129" s="70">
        <v>0</v>
      </c>
      <c r="GG129" s="70">
        <v>0</v>
      </c>
      <c r="GH129" s="70">
        <v>0</v>
      </c>
      <c r="GI129" s="70">
        <v>0</v>
      </c>
      <c r="GJ129" s="70">
        <v>0</v>
      </c>
      <c r="GK129" s="70">
        <v>0</v>
      </c>
      <c r="GL129" s="70">
        <v>0</v>
      </c>
      <c r="GM129" s="70">
        <v>0</v>
      </c>
      <c r="GN129" s="70">
        <v>0</v>
      </c>
      <c r="GO129" s="70">
        <v>0</v>
      </c>
      <c r="GP129" s="70">
        <v>0</v>
      </c>
      <c r="GQ129" s="70">
        <v>0</v>
      </c>
      <c r="GR129" s="70">
        <v>0</v>
      </c>
      <c r="GS129" s="70">
        <v>0</v>
      </c>
      <c r="GT129" s="70">
        <v>0</v>
      </c>
      <c r="GU129" s="70">
        <v>0</v>
      </c>
      <c r="GV129" s="70">
        <v>0</v>
      </c>
      <c r="GW129" s="70">
        <v>0</v>
      </c>
      <c r="GX129" s="70">
        <v>0</v>
      </c>
      <c r="GY129" s="70">
        <v>0</v>
      </c>
      <c r="GZ129" s="70">
        <v>0</v>
      </c>
      <c r="HA129" s="70">
        <v>0</v>
      </c>
      <c r="HB129" s="70">
        <v>0</v>
      </c>
      <c r="HC129" s="70">
        <v>0</v>
      </c>
      <c r="HD129" s="70">
        <v>0</v>
      </c>
      <c r="HE129" s="70">
        <v>0</v>
      </c>
      <c r="HF129" s="70">
        <v>0</v>
      </c>
      <c r="HG129" s="70">
        <v>0</v>
      </c>
      <c r="HH129" s="70">
        <v>0</v>
      </c>
      <c r="HI129" s="70">
        <v>0</v>
      </c>
      <c r="HJ129" s="70">
        <v>0</v>
      </c>
      <c r="HK129" s="70">
        <v>0</v>
      </c>
      <c r="HL129" s="70">
        <v>0</v>
      </c>
      <c r="HM129" s="70">
        <v>0</v>
      </c>
      <c r="HN129" s="70">
        <v>0</v>
      </c>
      <c r="HO129" s="70">
        <v>0</v>
      </c>
      <c r="HP129" s="70">
        <v>0</v>
      </c>
      <c r="HQ129" s="70">
        <v>0</v>
      </c>
      <c r="HR129" s="70">
        <v>0</v>
      </c>
      <c r="HS129" s="70">
        <v>0</v>
      </c>
      <c r="HT129" s="70">
        <v>0</v>
      </c>
      <c r="HU129" s="70">
        <v>0</v>
      </c>
      <c r="HV129" s="70">
        <v>0</v>
      </c>
      <c r="HW129" s="70">
        <v>0</v>
      </c>
      <c r="HX129" s="70">
        <v>0</v>
      </c>
      <c r="HY129" s="70">
        <v>0</v>
      </c>
      <c r="HZ129" s="70">
        <v>0</v>
      </c>
      <c r="IA129" s="70">
        <v>0</v>
      </c>
      <c r="IB129" s="70">
        <v>0</v>
      </c>
      <c r="IC129" s="70">
        <v>0</v>
      </c>
      <c r="ID129" s="70">
        <v>0</v>
      </c>
      <c r="IE129" s="70">
        <v>0</v>
      </c>
      <c r="IF129" s="70">
        <v>0</v>
      </c>
      <c r="IG129" s="70">
        <v>0</v>
      </c>
      <c r="IH129" s="70">
        <v>0</v>
      </c>
      <c r="II129" s="70">
        <v>0</v>
      </c>
      <c r="IJ129" s="70">
        <v>0</v>
      </c>
      <c r="IK129" s="70">
        <v>0</v>
      </c>
      <c r="IL129" s="70">
        <v>0</v>
      </c>
      <c r="IM129" s="70">
        <v>0</v>
      </c>
      <c r="IN129" s="70">
        <v>0</v>
      </c>
      <c r="IO129" s="70">
        <v>0</v>
      </c>
      <c r="IP129" s="70">
        <v>0</v>
      </c>
      <c r="IQ129" s="70">
        <v>0</v>
      </c>
      <c r="IR129" s="70">
        <v>0</v>
      </c>
      <c r="IS129" s="70">
        <v>0</v>
      </c>
      <c r="IT129" s="70">
        <v>0</v>
      </c>
      <c r="IU129" s="70">
        <v>0</v>
      </c>
      <c r="IV129" s="70">
        <v>0</v>
      </c>
      <c r="IW129" s="70">
        <v>0</v>
      </c>
      <c r="IX129" s="70">
        <v>0</v>
      </c>
      <c r="IY129" s="70">
        <v>0</v>
      </c>
      <c r="IZ129" s="70">
        <v>0</v>
      </c>
      <c r="JA129" s="70">
        <v>0</v>
      </c>
      <c r="JB129" s="70">
        <v>0</v>
      </c>
      <c r="JC129" s="70">
        <v>0</v>
      </c>
      <c r="JD129" s="70">
        <v>0</v>
      </c>
      <c r="JE129" s="70">
        <v>0</v>
      </c>
      <c r="JF129" s="70">
        <v>0</v>
      </c>
      <c r="JG129" s="70">
        <v>0</v>
      </c>
      <c r="JH129" s="70">
        <v>0</v>
      </c>
      <c r="JI129" s="70">
        <v>0</v>
      </c>
      <c r="JJ129" s="70">
        <v>0</v>
      </c>
      <c r="JK129" s="70">
        <v>0</v>
      </c>
      <c r="JL129" s="70">
        <v>0</v>
      </c>
      <c r="JM129" s="70">
        <v>0</v>
      </c>
      <c r="JN129" s="70">
        <v>0</v>
      </c>
      <c r="JO129" s="70">
        <v>0</v>
      </c>
      <c r="JP129" s="70">
        <v>0</v>
      </c>
      <c r="JQ129" s="70">
        <v>0</v>
      </c>
      <c r="JR129" s="70">
        <v>0</v>
      </c>
      <c r="JS129" s="70">
        <v>0</v>
      </c>
      <c r="JT129" s="70">
        <v>0</v>
      </c>
      <c r="JU129" s="70">
        <v>0</v>
      </c>
      <c r="JV129" s="70">
        <v>0</v>
      </c>
      <c r="JW129" s="70">
        <v>0</v>
      </c>
      <c r="JX129" s="70">
        <v>0</v>
      </c>
      <c r="JY129" s="70">
        <v>0</v>
      </c>
      <c r="JZ129" s="70">
        <v>0</v>
      </c>
      <c r="KA129" s="70">
        <v>0</v>
      </c>
      <c r="KB129" s="70">
        <v>0</v>
      </c>
      <c r="KC129" s="70">
        <v>0</v>
      </c>
      <c r="KD129" s="70">
        <v>0</v>
      </c>
      <c r="KE129" s="70">
        <v>0</v>
      </c>
      <c r="KF129" s="70">
        <v>0</v>
      </c>
      <c r="KG129" s="70">
        <v>0</v>
      </c>
      <c r="KH129" s="70">
        <v>0</v>
      </c>
      <c r="KI129" s="70">
        <v>0</v>
      </c>
      <c r="KJ129" s="70">
        <v>0</v>
      </c>
      <c r="KK129" s="70">
        <v>0</v>
      </c>
      <c r="KL129" s="70">
        <v>0</v>
      </c>
      <c r="KM129" s="70">
        <v>0</v>
      </c>
      <c r="KN129" s="70">
        <v>0</v>
      </c>
      <c r="KO129" s="70">
        <v>0</v>
      </c>
      <c r="KP129" s="70">
        <v>0</v>
      </c>
      <c r="KQ129" s="70">
        <v>0</v>
      </c>
      <c r="KR129" s="70">
        <v>0</v>
      </c>
      <c r="KS129" s="70">
        <v>0</v>
      </c>
      <c r="KT129" s="70">
        <v>0</v>
      </c>
      <c r="KU129" s="70">
        <v>0</v>
      </c>
      <c r="KV129" s="70">
        <v>0</v>
      </c>
      <c r="KW129" s="70">
        <v>0</v>
      </c>
      <c r="KX129" s="70">
        <v>0</v>
      </c>
      <c r="KY129" s="70">
        <v>0</v>
      </c>
      <c r="KZ129" s="70">
        <v>0</v>
      </c>
      <c r="LA129" s="70">
        <v>0</v>
      </c>
      <c r="LB129" s="70">
        <v>0</v>
      </c>
      <c r="LC129" s="70">
        <v>0</v>
      </c>
      <c r="LD129" s="70">
        <v>0</v>
      </c>
      <c r="LE129" s="70">
        <v>0</v>
      </c>
      <c r="LF129" s="70">
        <v>0</v>
      </c>
      <c r="LG129" s="70">
        <v>0</v>
      </c>
      <c r="LH129" s="70">
        <v>0</v>
      </c>
      <c r="LI129" s="70">
        <v>0</v>
      </c>
      <c r="LJ129" s="70">
        <v>0</v>
      </c>
      <c r="LK129" s="70">
        <v>0</v>
      </c>
      <c r="LL129" s="70">
        <v>0</v>
      </c>
      <c r="LM129" s="70">
        <v>0</v>
      </c>
      <c r="LN129" s="70">
        <v>0</v>
      </c>
      <c r="LO129" s="70">
        <v>0</v>
      </c>
      <c r="LP129" s="70">
        <v>0</v>
      </c>
      <c r="LQ129" s="70">
        <v>0</v>
      </c>
      <c r="LR129" s="70">
        <v>0</v>
      </c>
      <c r="LS129" s="70">
        <v>0</v>
      </c>
      <c r="LT129" s="70">
        <v>0</v>
      </c>
      <c r="LU129" s="70">
        <v>0</v>
      </c>
      <c r="LV129" s="70">
        <v>0</v>
      </c>
      <c r="LW129" s="70">
        <v>0</v>
      </c>
      <c r="LX129" s="70">
        <v>0</v>
      </c>
      <c r="LY129" s="70">
        <v>0</v>
      </c>
      <c r="LZ129" s="70">
        <v>0</v>
      </c>
      <c r="MA129" s="70">
        <v>0</v>
      </c>
      <c r="MB129" s="70">
        <v>0</v>
      </c>
      <c r="MC129" s="70">
        <v>0</v>
      </c>
      <c r="MD129" s="70">
        <v>0</v>
      </c>
      <c r="ME129" s="70">
        <v>0</v>
      </c>
      <c r="MF129" s="70">
        <v>0</v>
      </c>
      <c r="MG129" s="70">
        <v>0</v>
      </c>
      <c r="MH129" s="70">
        <v>0</v>
      </c>
      <c r="MI129" s="70">
        <v>0</v>
      </c>
      <c r="MJ129" s="70">
        <v>0</v>
      </c>
      <c r="MK129" s="70">
        <v>0</v>
      </c>
      <c r="ML129" s="70">
        <v>0</v>
      </c>
      <c r="MM129" s="70">
        <v>0</v>
      </c>
      <c r="MN129" s="70">
        <v>0</v>
      </c>
      <c r="MO129" s="70">
        <v>0</v>
      </c>
      <c r="MP129" s="70">
        <v>0</v>
      </c>
      <c r="MQ129" s="70">
        <v>0</v>
      </c>
      <c r="MR129" s="70">
        <v>0</v>
      </c>
      <c r="MS129" s="70">
        <v>0</v>
      </c>
      <c r="MT129" s="70">
        <v>0</v>
      </c>
      <c r="MU129" s="70">
        <v>0</v>
      </c>
      <c r="MV129" s="70">
        <v>0</v>
      </c>
      <c r="MW129" s="70">
        <v>0</v>
      </c>
      <c r="MX129" s="70">
        <v>0</v>
      </c>
      <c r="MY129" s="70">
        <v>0</v>
      </c>
      <c r="MZ129" s="70">
        <v>0</v>
      </c>
      <c r="NA129" s="70">
        <v>0</v>
      </c>
      <c r="NB129" s="70">
        <v>0</v>
      </c>
      <c r="NC129" s="70">
        <v>0</v>
      </c>
      <c r="ND129" s="70">
        <v>0</v>
      </c>
      <c r="NE129" s="70">
        <v>0</v>
      </c>
      <c r="NF129" s="70">
        <v>0</v>
      </c>
      <c r="NG129" s="70">
        <v>0</v>
      </c>
      <c r="NH129" s="70">
        <v>0</v>
      </c>
      <c r="NI129" s="70">
        <v>0</v>
      </c>
      <c r="NJ129" s="70">
        <v>0</v>
      </c>
      <c r="NK129" s="70">
        <v>0</v>
      </c>
      <c r="NL129" s="70">
        <v>0</v>
      </c>
      <c r="NM129" s="70">
        <v>0</v>
      </c>
      <c r="NN129" s="70">
        <v>0</v>
      </c>
      <c r="NO129" s="70">
        <v>0</v>
      </c>
      <c r="NP129" s="70">
        <v>0</v>
      </c>
      <c r="NQ129" s="70">
        <v>0</v>
      </c>
      <c r="NR129" s="70">
        <v>0</v>
      </c>
      <c r="NS129" s="70">
        <v>0</v>
      </c>
      <c r="NT129" s="70">
        <v>0</v>
      </c>
      <c r="NU129" s="70">
        <v>0</v>
      </c>
      <c r="NV129" s="70">
        <v>0</v>
      </c>
      <c r="NW129" s="70">
        <v>0</v>
      </c>
      <c r="NX129" s="70">
        <v>0</v>
      </c>
      <c r="NY129" s="70">
        <v>0</v>
      </c>
      <c r="NZ129" s="70">
        <v>0</v>
      </c>
      <c r="OA129" s="70">
        <v>0</v>
      </c>
      <c r="OB129" s="70">
        <v>0</v>
      </c>
      <c r="OC129" s="70">
        <v>0</v>
      </c>
      <c r="OD129" s="70">
        <v>0</v>
      </c>
      <c r="OE129" s="70">
        <v>0</v>
      </c>
      <c r="OF129" s="70">
        <v>0</v>
      </c>
      <c r="OG129" s="70">
        <v>0</v>
      </c>
      <c r="OH129" s="70">
        <v>0</v>
      </c>
      <c r="OI129" s="70">
        <v>0</v>
      </c>
      <c r="OJ129" s="70">
        <v>0</v>
      </c>
      <c r="OK129" s="70">
        <v>0</v>
      </c>
      <c r="OL129" s="70">
        <v>0</v>
      </c>
      <c r="OM129" s="70">
        <v>0</v>
      </c>
      <c r="ON129" s="70">
        <v>0</v>
      </c>
      <c r="OO129" s="70">
        <v>0</v>
      </c>
      <c r="OP129" s="70">
        <v>0</v>
      </c>
      <c r="OQ129" s="70">
        <v>0</v>
      </c>
      <c r="OR129" s="70">
        <v>0</v>
      </c>
      <c r="OS129" s="70">
        <v>0</v>
      </c>
      <c r="OT129" s="70">
        <v>0</v>
      </c>
      <c r="OU129" s="70">
        <v>0</v>
      </c>
      <c r="OV129" s="70">
        <v>0</v>
      </c>
      <c r="OW129" s="70">
        <v>0</v>
      </c>
      <c r="OX129" s="70">
        <v>0</v>
      </c>
      <c r="OY129" s="70">
        <v>0</v>
      </c>
      <c r="OZ129" s="70">
        <v>0</v>
      </c>
      <c r="PA129" s="70">
        <v>0</v>
      </c>
      <c r="PB129" s="70">
        <v>0</v>
      </c>
      <c r="PC129" s="70">
        <v>0</v>
      </c>
      <c r="PD129" s="70">
        <v>0</v>
      </c>
      <c r="PE129" s="70">
        <v>0</v>
      </c>
      <c r="PF129" s="70">
        <v>0</v>
      </c>
      <c r="PG129" s="70">
        <v>0</v>
      </c>
      <c r="PH129" s="70">
        <v>0</v>
      </c>
      <c r="PI129" s="70">
        <v>0</v>
      </c>
      <c r="PJ129" s="70">
        <v>0</v>
      </c>
      <c r="PK129" s="70">
        <v>0</v>
      </c>
      <c r="PL129" s="70">
        <v>0</v>
      </c>
      <c r="PM129" s="70">
        <v>0</v>
      </c>
      <c r="PN129" s="70">
        <v>0</v>
      </c>
      <c r="PO129" s="70">
        <v>0</v>
      </c>
      <c r="PP129" s="70">
        <v>0</v>
      </c>
      <c r="PQ129" s="70">
        <v>0</v>
      </c>
      <c r="PR129" s="70">
        <v>0</v>
      </c>
      <c r="PS129" s="70">
        <v>0</v>
      </c>
      <c r="PT129" s="70">
        <v>0</v>
      </c>
      <c r="PU129" s="70">
        <v>0</v>
      </c>
      <c r="PV129" s="70">
        <v>0</v>
      </c>
      <c r="PW129" s="70">
        <v>0</v>
      </c>
      <c r="PX129" s="70">
        <v>0</v>
      </c>
      <c r="PY129" s="70">
        <v>0</v>
      </c>
      <c r="PZ129" s="70">
        <v>0</v>
      </c>
      <c r="QA129" s="70">
        <v>0</v>
      </c>
      <c r="QB129" s="70">
        <v>0</v>
      </c>
      <c r="QC129" s="70">
        <v>0</v>
      </c>
      <c r="QD129" s="70">
        <v>0</v>
      </c>
      <c r="QE129" s="70">
        <v>0</v>
      </c>
      <c r="QF129" s="70">
        <v>0</v>
      </c>
      <c r="QG129" s="70">
        <v>0</v>
      </c>
      <c r="QH129" s="70">
        <v>0</v>
      </c>
      <c r="QI129" s="70">
        <v>0</v>
      </c>
      <c r="QJ129" s="70">
        <v>0</v>
      </c>
      <c r="QK129" s="70">
        <v>0</v>
      </c>
      <c r="QL129" s="70">
        <v>0</v>
      </c>
      <c r="QM129" s="70">
        <v>0</v>
      </c>
      <c r="QN129" s="70">
        <v>0</v>
      </c>
      <c r="QO129" s="70">
        <v>0</v>
      </c>
      <c r="QP129" s="70">
        <v>0</v>
      </c>
      <c r="QQ129" s="70">
        <v>0</v>
      </c>
      <c r="QR129" s="70">
        <v>0</v>
      </c>
      <c r="QS129" s="70">
        <v>0</v>
      </c>
      <c r="QT129" s="70">
        <v>0</v>
      </c>
      <c r="QU129" s="70">
        <v>0</v>
      </c>
      <c r="QV129" s="70">
        <v>0</v>
      </c>
      <c r="QW129" s="70">
        <v>0</v>
      </c>
      <c r="QX129" s="70">
        <v>0</v>
      </c>
      <c r="QY129" s="70">
        <v>0</v>
      </c>
      <c r="QZ129" s="70">
        <v>0</v>
      </c>
      <c r="RA129" s="70">
        <v>0</v>
      </c>
      <c r="RB129" s="70">
        <v>0</v>
      </c>
      <c r="RC129" s="70">
        <v>0</v>
      </c>
      <c r="RD129" s="70">
        <v>0</v>
      </c>
      <c r="RE129" s="70">
        <v>0</v>
      </c>
      <c r="RF129" s="70">
        <v>0</v>
      </c>
      <c r="RG129" s="70">
        <v>0</v>
      </c>
      <c r="RH129" s="70">
        <v>0</v>
      </c>
      <c r="RI129" s="70">
        <v>0</v>
      </c>
      <c r="RJ129" s="70">
        <v>0</v>
      </c>
      <c r="RK129" s="70">
        <v>0</v>
      </c>
      <c r="RL129" s="70">
        <v>0</v>
      </c>
      <c r="RM129" s="70">
        <v>0</v>
      </c>
      <c r="RN129" s="70">
        <v>0</v>
      </c>
      <c r="RO129" s="70">
        <v>0</v>
      </c>
      <c r="RP129" s="70">
        <v>0</v>
      </c>
      <c r="RQ129" s="70">
        <v>0</v>
      </c>
      <c r="RR129" s="70">
        <v>0</v>
      </c>
      <c r="RS129" s="70">
        <v>0</v>
      </c>
      <c r="RT129" s="70">
        <v>0</v>
      </c>
      <c r="RU129" s="70">
        <v>0</v>
      </c>
      <c r="RV129" s="70">
        <v>0</v>
      </c>
      <c r="RW129" s="70">
        <v>0</v>
      </c>
      <c r="RX129" s="70">
        <v>0</v>
      </c>
      <c r="RY129" s="70">
        <v>0</v>
      </c>
      <c r="RZ129" s="70">
        <v>0</v>
      </c>
      <c r="SA129" s="70">
        <v>0</v>
      </c>
      <c r="SB129" s="70">
        <v>0</v>
      </c>
      <c r="SC129" s="70">
        <v>0</v>
      </c>
      <c r="SD129" s="70">
        <v>0</v>
      </c>
      <c r="SE129" s="70">
        <v>0</v>
      </c>
      <c r="SF129" s="70">
        <v>0</v>
      </c>
      <c r="SG129" s="70">
        <v>0</v>
      </c>
      <c r="SH129" s="70">
        <v>0</v>
      </c>
      <c r="SI129" s="70">
        <v>0</v>
      </c>
      <c r="SJ129" s="70">
        <v>0</v>
      </c>
      <c r="SK129" s="70">
        <v>0</v>
      </c>
      <c r="SL129" s="70">
        <v>0</v>
      </c>
      <c r="SM129" s="70">
        <v>0</v>
      </c>
      <c r="SN129" s="70">
        <v>0</v>
      </c>
      <c r="SO129" s="70">
        <v>0</v>
      </c>
      <c r="SP129" s="70">
        <v>0</v>
      </c>
      <c r="SQ129" s="70">
        <v>0</v>
      </c>
      <c r="SR129" s="70">
        <v>0</v>
      </c>
      <c r="SS129" s="70">
        <v>0</v>
      </c>
      <c r="ST129" s="70">
        <v>0</v>
      </c>
      <c r="SU129" s="70">
        <v>0</v>
      </c>
      <c r="SV129" s="70">
        <v>0</v>
      </c>
      <c r="SW129" s="70">
        <v>0</v>
      </c>
      <c r="SX129" s="70">
        <v>0</v>
      </c>
      <c r="SY129" s="70">
        <v>0</v>
      </c>
      <c r="SZ129" s="70">
        <v>0</v>
      </c>
      <c r="TA129" s="70">
        <v>0</v>
      </c>
      <c r="TB129" s="70">
        <v>0</v>
      </c>
      <c r="TC129" s="70">
        <v>0</v>
      </c>
      <c r="TD129" s="70">
        <v>0</v>
      </c>
      <c r="TE129" s="70">
        <v>0</v>
      </c>
      <c r="TF129" s="70">
        <v>0</v>
      </c>
      <c r="TG129" s="70">
        <v>0</v>
      </c>
      <c r="TH129" s="70">
        <v>0</v>
      </c>
      <c r="TI129" s="70">
        <v>0</v>
      </c>
      <c r="TJ129" s="70">
        <v>0</v>
      </c>
      <c r="TK129" s="70">
        <v>0</v>
      </c>
      <c r="TL129" s="70">
        <v>0</v>
      </c>
      <c r="TM129" s="70">
        <v>0</v>
      </c>
      <c r="TN129" s="70">
        <v>0</v>
      </c>
      <c r="TO129" s="70">
        <v>0</v>
      </c>
      <c r="TP129" s="70">
        <v>0</v>
      </c>
      <c r="TQ129" s="70">
        <v>0</v>
      </c>
      <c r="TR129" s="70">
        <v>0</v>
      </c>
      <c r="TS129" s="70">
        <v>0</v>
      </c>
      <c r="TT129" s="70">
        <v>0</v>
      </c>
      <c r="TU129" s="70">
        <v>0</v>
      </c>
      <c r="TV129" s="70">
        <v>0</v>
      </c>
      <c r="TW129" s="70">
        <v>0</v>
      </c>
      <c r="TX129" s="70">
        <v>0</v>
      </c>
      <c r="TY129" s="70">
        <v>0</v>
      </c>
      <c r="TZ129" s="70">
        <v>0</v>
      </c>
      <c r="UA129" s="70">
        <v>0</v>
      </c>
      <c r="UB129" s="70">
        <v>0</v>
      </c>
      <c r="UC129" s="70">
        <v>0</v>
      </c>
      <c r="UD129" s="70">
        <v>0</v>
      </c>
      <c r="UE129" s="70">
        <v>0</v>
      </c>
      <c r="UF129" s="70">
        <v>0</v>
      </c>
      <c r="UG129" s="70">
        <v>0</v>
      </c>
      <c r="UH129" s="70">
        <v>0</v>
      </c>
      <c r="UI129" s="70">
        <v>0</v>
      </c>
      <c r="UJ129" s="70">
        <v>0</v>
      </c>
      <c r="UK129" s="70">
        <v>0</v>
      </c>
      <c r="UL129" s="70">
        <v>0</v>
      </c>
      <c r="UM129" s="70">
        <v>0</v>
      </c>
      <c r="UN129" s="70">
        <v>0</v>
      </c>
      <c r="UO129" s="70">
        <v>0</v>
      </c>
      <c r="UP129" s="70">
        <v>0</v>
      </c>
      <c r="UQ129" s="70">
        <v>0</v>
      </c>
      <c r="UR129" s="70">
        <v>0</v>
      </c>
      <c r="US129" s="70">
        <v>0</v>
      </c>
      <c r="UT129" s="70">
        <v>0</v>
      </c>
      <c r="UU129" s="70">
        <v>0</v>
      </c>
      <c r="UV129" s="70">
        <v>0</v>
      </c>
      <c r="UW129" s="70">
        <v>0</v>
      </c>
      <c r="UX129" s="70">
        <v>0</v>
      </c>
      <c r="UY129" s="70">
        <v>0</v>
      </c>
      <c r="UZ129" s="70">
        <v>0</v>
      </c>
      <c r="VA129" s="70">
        <v>0</v>
      </c>
      <c r="VB129" s="70">
        <v>0</v>
      </c>
      <c r="VC129" s="70">
        <v>0</v>
      </c>
      <c r="VD129" s="70">
        <v>0</v>
      </c>
      <c r="VE129" s="70">
        <v>0</v>
      </c>
      <c r="VF129" s="70">
        <v>0</v>
      </c>
      <c r="VG129" s="70">
        <v>0</v>
      </c>
      <c r="VH129" s="70">
        <v>0</v>
      </c>
      <c r="VI129" s="70">
        <v>0</v>
      </c>
      <c r="VJ129" s="70">
        <v>0</v>
      </c>
      <c r="VK129" s="70">
        <v>0</v>
      </c>
      <c r="VL129" s="70">
        <v>0</v>
      </c>
      <c r="VM129" s="70">
        <v>0</v>
      </c>
      <c r="VN129" s="70">
        <v>0</v>
      </c>
      <c r="VO129" s="70">
        <v>0</v>
      </c>
      <c r="VP129" s="70">
        <v>0</v>
      </c>
      <c r="VQ129" s="70">
        <v>0</v>
      </c>
      <c r="VR129" s="70">
        <v>0</v>
      </c>
      <c r="VS129" s="70">
        <v>0</v>
      </c>
      <c r="VT129" s="70">
        <v>0</v>
      </c>
      <c r="VU129" s="70">
        <v>0</v>
      </c>
      <c r="VV129" s="70">
        <v>0</v>
      </c>
      <c r="VW129" s="70">
        <v>0</v>
      </c>
      <c r="VX129" s="70">
        <v>0</v>
      </c>
      <c r="VY129" s="70">
        <v>0</v>
      </c>
      <c r="VZ129" s="70">
        <v>0</v>
      </c>
      <c r="WA129" s="70">
        <v>0</v>
      </c>
      <c r="WB129" s="70">
        <v>0</v>
      </c>
      <c r="WC129" s="70">
        <v>0</v>
      </c>
      <c r="WD129" s="70">
        <v>0</v>
      </c>
      <c r="WE129" s="70">
        <v>0</v>
      </c>
      <c r="WF129" s="70">
        <v>0</v>
      </c>
      <c r="WG129" s="70">
        <v>0</v>
      </c>
      <c r="WH129" s="70">
        <v>0</v>
      </c>
      <c r="WI129" s="70">
        <v>0</v>
      </c>
      <c r="WJ129" s="70">
        <v>0</v>
      </c>
      <c r="WK129" s="70">
        <v>0</v>
      </c>
      <c r="WL129" s="70">
        <v>0</v>
      </c>
      <c r="WM129" s="70">
        <v>0</v>
      </c>
      <c r="WN129" s="70">
        <v>0</v>
      </c>
      <c r="WO129" s="70">
        <v>0</v>
      </c>
      <c r="WP129" s="70">
        <v>0</v>
      </c>
      <c r="WQ129" s="70">
        <v>0</v>
      </c>
      <c r="WR129" s="70">
        <v>0</v>
      </c>
      <c r="WS129" s="70">
        <v>0</v>
      </c>
      <c r="WT129" s="70">
        <v>0</v>
      </c>
      <c r="WU129" s="70">
        <v>0</v>
      </c>
      <c r="WV129" s="70">
        <v>0</v>
      </c>
      <c r="WW129" s="70">
        <v>0</v>
      </c>
      <c r="WX129" s="70">
        <v>0</v>
      </c>
      <c r="WY129" s="70">
        <v>0</v>
      </c>
      <c r="WZ129" s="70">
        <v>0</v>
      </c>
      <c r="XA129" s="70">
        <v>0</v>
      </c>
      <c r="XB129" s="70">
        <v>0</v>
      </c>
      <c r="XC129" s="70">
        <v>0</v>
      </c>
      <c r="XD129" s="70">
        <v>0</v>
      </c>
      <c r="XE129" s="70">
        <v>0</v>
      </c>
      <c r="XF129" s="70">
        <v>0</v>
      </c>
      <c r="XG129" s="70">
        <v>0</v>
      </c>
      <c r="XH129" s="70">
        <v>0</v>
      </c>
      <c r="XI129" s="70">
        <v>0</v>
      </c>
      <c r="XJ129" s="70">
        <v>0</v>
      </c>
      <c r="XK129" s="70">
        <v>0</v>
      </c>
      <c r="XL129" s="70">
        <v>0</v>
      </c>
      <c r="XM129" s="70">
        <v>0</v>
      </c>
      <c r="XN129" s="70">
        <v>0</v>
      </c>
      <c r="XO129" s="70">
        <v>0</v>
      </c>
      <c r="XP129" s="70">
        <v>0</v>
      </c>
      <c r="XQ129" s="70">
        <v>0</v>
      </c>
      <c r="XR129" s="70">
        <v>0</v>
      </c>
      <c r="XS129" s="70">
        <v>0</v>
      </c>
      <c r="XT129" s="70">
        <v>0</v>
      </c>
      <c r="XU129" s="70">
        <v>0</v>
      </c>
      <c r="XV129" s="70">
        <v>0</v>
      </c>
      <c r="XW129" s="70">
        <v>0</v>
      </c>
      <c r="XX129" s="70">
        <v>0</v>
      </c>
      <c r="XY129" s="70">
        <v>0</v>
      </c>
      <c r="XZ129" s="70">
        <v>0</v>
      </c>
      <c r="YA129" s="70">
        <v>0</v>
      </c>
      <c r="YB129" s="70">
        <v>0</v>
      </c>
      <c r="YC129" s="70">
        <v>0</v>
      </c>
      <c r="YD129" s="70">
        <v>0</v>
      </c>
      <c r="YE129" s="70">
        <v>0</v>
      </c>
      <c r="YF129" s="70">
        <v>0</v>
      </c>
      <c r="YG129" s="70">
        <v>0</v>
      </c>
      <c r="YH129" s="70">
        <v>0</v>
      </c>
      <c r="YI129" s="70">
        <v>0</v>
      </c>
      <c r="YJ129" s="70">
        <v>0</v>
      </c>
      <c r="YK129" s="70">
        <v>0</v>
      </c>
      <c r="YL129" s="70">
        <v>0</v>
      </c>
      <c r="YM129" s="70">
        <v>0</v>
      </c>
      <c r="YN129" s="70">
        <v>0</v>
      </c>
      <c r="YO129" s="70">
        <v>0</v>
      </c>
      <c r="YP129" s="70">
        <v>0</v>
      </c>
      <c r="YQ129" s="70">
        <v>0</v>
      </c>
      <c r="YR129" s="70">
        <v>0</v>
      </c>
      <c r="YS129" s="70">
        <v>0</v>
      </c>
      <c r="YT129" s="70">
        <v>0</v>
      </c>
      <c r="YU129" s="70">
        <v>0</v>
      </c>
      <c r="YV129" s="70">
        <v>0</v>
      </c>
      <c r="YW129" s="70">
        <v>0</v>
      </c>
      <c r="YX129" s="70">
        <v>0</v>
      </c>
      <c r="YY129" s="70">
        <v>0</v>
      </c>
      <c r="YZ129" s="70">
        <v>0</v>
      </c>
      <c r="ZA129" s="70">
        <v>0</v>
      </c>
      <c r="ZB129" s="70">
        <v>0</v>
      </c>
      <c r="ZC129" s="70">
        <v>0</v>
      </c>
      <c r="ZD129" s="70">
        <v>0</v>
      </c>
      <c r="ZE129" s="70">
        <v>0</v>
      </c>
      <c r="ZF129" s="70">
        <v>0</v>
      </c>
      <c r="ZG129" s="70">
        <v>0</v>
      </c>
      <c r="ZH129" s="70">
        <v>0</v>
      </c>
      <c r="ZI129" s="70">
        <v>0</v>
      </c>
      <c r="ZJ129" s="70">
        <v>0</v>
      </c>
      <c r="ZK129" s="70">
        <v>0</v>
      </c>
      <c r="ZL129" s="70">
        <v>0</v>
      </c>
      <c r="ZM129" s="70">
        <v>0</v>
      </c>
      <c r="ZN129" s="70">
        <v>0</v>
      </c>
      <c r="ZO129" s="70">
        <v>0</v>
      </c>
      <c r="ZP129" s="70">
        <v>0</v>
      </c>
      <c r="ZQ129" s="70">
        <v>0</v>
      </c>
      <c r="ZR129" s="70">
        <v>0</v>
      </c>
      <c r="ZS129" s="70">
        <v>0</v>
      </c>
      <c r="ZT129" s="70">
        <v>0</v>
      </c>
      <c r="ZU129" s="70">
        <v>0</v>
      </c>
      <c r="ZV129" s="70">
        <v>0</v>
      </c>
      <c r="ZW129" s="70">
        <v>0</v>
      </c>
      <c r="ZX129" s="70">
        <v>0</v>
      </c>
      <c r="ZY129" s="70">
        <v>0</v>
      </c>
      <c r="ZZ129" s="70">
        <v>0</v>
      </c>
      <c r="AAA129" s="70">
        <v>0</v>
      </c>
      <c r="AAB129" s="70">
        <v>0</v>
      </c>
      <c r="AAC129" s="70">
        <v>0</v>
      </c>
      <c r="AAD129" s="70">
        <v>0</v>
      </c>
      <c r="AAE129" s="70">
        <v>0</v>
      </c>
      <c r="AAF129" s="70">
        <v>0</v>
      </c>
      <c r="AAG129" s="70">
        <v>0</v>
      </c>
      <c r="AAH129" s="70">
        <v>0</v>
      </c>
      <c r="AAI129" s="70">
        <v>0</v>
      </c>
      <c r="AAJ129" s="70">
        <v>0</v>
      </c>
      <c r="AAK129" s="70">
        <v>0</v>
      </c>
      <c r="AAL129" s="70">
        <v>0</v>
      </c>
      <c r="AAM129" s="70">
        <v>0</v>
      </c>
      <c r="AAN129" s="70">
        <v>0</v>
      </c>
      <c r="AAO129" s="70">
        <v>0</v>
      </c>
      <c r="AAP129" s="70">
        <v>0</v>
      </c>
      <c r="AAQ129" s="70">
        <v>0</v>
      </c>
      <c r="AAR129" s="70">
        <v>0</v>
      </c>
      <c r="AAS129" s="70">
        <v>0</v>
      </c>
      <c r="AAT129" s="70">
        <v>0</v>
      </c>
      <c r="AAU129" s="70">
        <v>0</v>
      </c>
      <c r="AAV129" s="70">
        <v>0</v>
      </c>
      <c r="AAW129" s="70">
        <v>0</v>
      </c>
      <c r="AAX129" s="70">
        <v>0</v>
      </c>
      <c r="AAY129" s="70">
        <v>0</v>
      </c>
      <c r="AAZ129" s="70">
        <v>0</v>
      </c>
      <c r="ABA129" s="70">
        <v>0</v>
      </c>
      <c r="ABB129" s="70">
        <v>0</v>
      </c>
      <c r="ABC129" s="70">
        <v>0</v>
      </c>
      <c r="ABD129" s="70">
        <v>0</v>
      </c>
      <c r="ABE129" s="70">
        <v>0</v>
      </c>
      <c r="ABF129" s="70">
        <v>0</v>
      </c>
      <c r="ABG129" s="70">
        <v>0</v>
      </c>
      <c r="ABH129" s="70">
        <v>0</v>
      </c>
      <c r="ABI129" s="70">
        <v>0</v>
      </c>
      <c r="ABJ129" s="70">
        <v>0</v>
      </c>
      <c r="ABK129" s="70">
        <v>0</v>
      </c>
      <c r="ABL129" s="70">
        <v>0</v>
      </c>
      <c r="ABM129" s="70">
        <v>0</v>
      </c>
      <c r="ABN129" s="70">
        <v>0</v>
      </c>
      <c r="ABO129" s="70">
        <v>0</v>
      </c>
      <c r="ABP129" s="70">
        <v>0</v>
      </c>
      <c r="ABQ129" s="70">
        <v>0</v>
      </c>
      <c r="ABR129" s="70">
        <v>0</v>
      </c>
      <c r="ABS129" s="70">
        <v>0</v>
      </c>
      <c r="ABT129" s="70">
        <v>0</v>
      </c>
      <c r="ABU129" s="70">
        <v>0</v>
      </c>
      <c r="ABV129" s="70">
        <v>0</v>
      </c>
      <c r="ABW129" s="70">
        <v>0</v>
      </c>
      <c r="ABX129" s="70">
        <v>0</v>
      </c>
      <c r="ABY129" s="70">
        <v>0</v>
      </c>
      <c r="ABZ129" s="70">
        <v>0</v>
      </c>
      <c r="ACA129" s="70">
        <v>0</v>
      </c>
      <c r="ACB129" s="70">
        <v>0</v>
      </c>
      <c r="ACC129" s="70">
        <v>0</v>
      </c>
      <c r="ACD129" s="70">
        <v>0</v>
      </c>
      <c r="ACE129" s="70">
        <v>0</v>
      </c>
      <c r="ACF129" s="70">
        <v>0</v>
      </c>
      <c r="ACG129" s="70">
        <v>0</v>
      </c>
      <c r="ACH129" s="70">
        <v>0</v>
      </c>
      <c r="ACI129" s="70">
        <v>0</v>
      </c>
      <c r="ACJ129" s="70">
        <v>0</v>
      </c>
      <c r="ACK129" s="70">
        <v>0</v>
      </c>
      <c r="ACL129" s="70">
        <v>0</v>
      </c>
      <c r="ACM129" s="70">
        <v>0</v>
      </c>
      <c r="ACN129" s="70">
        <v>0</v>
      </c>
      <c r="ACO129" s="70">
        <v>0</v>
      </c>
      <c r="ACP129" s="70">
        <v>0</v>
      </c>
      <c r="ACQ129" s="70">
        <v>0</v>
      </c>
      <c r="ACR129" s="70">
        <v>0</v>
      </c>
      <c r="ACS129" s="70">
        <v>0</v>
      </c>
      <c r="ACT129" s="70">
        <v>0</v>
      </c>
      <c r="ACU129" s="70">
        <v>0</v>
      </c>
      <c r="ACV129" s="70">
        <v>0</v>
      </c>
      <c r="ACW129" s="70">
        <v>0</v>
      </c>
      <c r="ACX129" s="70">
        <v>0</v>
      </c>
      <c r="ACY129" s="70">
        <v>0</v>
      </c>
      <c r="ACZ129" s="70">
        <v>0</v>
      </c>
      <c r="ADA129" s="70">
        <v>0</v>
      </c>
      <c r="ADB129" s="70">
        <v>0</v>
      </c>
      <c r="ADC129" s="70">
        <v>0</v>
      </c>
      <c r="ADD129" s="70">
        <v>0</v>
      </c>
      <c r="ADE129" s="70">
        <v>0</v>
      </c>
      <c r="ADF129" s="70">
        <v>0</v>
      </c>
      <c r="ADG129" s="70">
        <v>0</v>
      </c>
      <c r="ADH129" s="70">
        <v>0</v>
      </c>
      <c r="ADI129" s="70">
        <v>0</v>
      </c>
      <c r="ADJ129" s="70">
        <v>0</v>
      </c>
      <c r="ADK129" s="70">
        <v>0</v>
      </c>
      <c r="ADL129" s="70">
        <v>0</v>
      </c>
      <c r="ADM129" s="70">
        <v>0</v>
      </c>
      <c r="ADN129" s="70">
        <v>0</v>
      </c>
      <c r="ADO129" s="70">
        <v>0</v>
      </c>
      <c r="ADP129" s="70">
        <v>0</v>
      </c>
      <c r="ADQ129" s="70">
        <v>0</v>
      </c>
      <c r="ADR129" s="70">
        <v>0</v>
      </c>
      <c r="ADS129" s="70">
        <v>0</v>
      </c>
      <c r="ADT129" s="70">
        <v>0</v>
      </c>
      <c r="ADU129" s="70">
        <v>0</v>
      </c>
      <c r="ADV129" s="70">
        <v>0</v>
      </c>
      <c r="ADW129" s="70">
        <v>0</v>
      </c>
      <c r="ADX129" s="70">
        <v>0</v>
      </c>
      <c r="ADY129" s="70">
        <v>0</v>
      </c>
      <c r="ADZ129" s="70">
        <v>0</v>
      </c>
      <c r="AEA129" s="70">
        <v>0</v>
      </c>
      <c r="AEB129" s="70">
        <v>0</v>
      </c>
      <c r="AEC129" s="70">
        <v>0</v>
      </c>
      <c r="AED129" s="70">
        <v>0</v>
      </c>
      <c r="AEE129" s="70">
        <v>0</v>
      </c>
      <c r="AEF129" s="70">
        <v>0</v>
      </c>
      <c r="AEG129" s="70">
        <v>0</v>
      </c>
      <c r="AEH129" s="70">
        <v>0</v>
      </c>
      <c r="AEI129" s="70">
        <v>0</v>
      </c>
      <c r="AEJ129" s="70">
        <v>0</v>
      </c>
      <c r="AEK129" s="70">
        <v>0</v>
      </c>
      <c r="AEL129" s="70">
        <v>0</v>
      </c>
      <c r="AEM129" s="70">
        <v>0</v>
      </c>
      <c r="AEN129" s="70">
        <v>0</v>
      </c>
      <c r="AEO129" s="70">
        <v>0</v>
      </c>
      <c r="AEP129" s="70">
        <v>0</v>
      </c>
      <c r="AEQ129" s="70">
        <v>0</v>
      </c>
      <c r="AER129" s="70">
        <v>0</v>
      </c>
      <c r="AES129" s="70">
        <v>0</v>
      </c>
      <c r="AET129" s="70">
        <v>0</v>
      </c>
      <c r="AEU129" s="70">
        <v>0</v>
      </c>
      <c r="AEV129" s="70">
        <v>0</v>
      </c>
      <c r="AEW129" s="70">
        <v>0</v>
      </c>
      <c r="AEX129" s="70">
        <v>0</v>
      </c>
      <c r="AEY129" s="70">
        <v>0</v>
      </c>
      <c r="AEZ129" s="70">
        <v>0</v>
      </c>
      <c r="AFA129" s="70">
        <v>0</v>
      </c>
      <c r="AFB129" s="70">
        <v>0</v>
      </c>
      <c r="AFC129" s="70">
        <v>0</v>
      </c>
      <c r="AFD129" s="70">
        <v>0</v>
      </c>
      <c r="AFE129" s="70">
        <v>0</v>
      </c>
      <c r="AFF129" s="70">
        <v>0</v>
      </c>
      <c r="AFG129" s="70">
        <v>0</v>
      </c>
      <c r="AFH129" s="70">
        <v>0</v>
      </c>
      <c r="AFI129" s="70">
        <v>0</v>
      </c>
      <c r="AFJ129" s="70">
        <v>0</v>
      </c>
      <c r="AFK129" s="70">
        <v>0</v>
      </c>
      <c r="AFL129" s="70">
        <v>0</v>
      </c>
      <c r="AFM129" s="70">
        <v>0</v>
      </c>
      <c r="AFN129" s="70">
        <v>0</v>
      </c>
      <c r="AFO129" s="70">
        <v>0</v>
      </c>
      <c r="AFP129" s="70">
        <v>0</v>
      </c>
      <c r="AFQ129" s="70">
        <v>0</v>
      </c>
      <c r="AFR129" s="70">
        <v>0</v>
      </c>
      <c r="AFS129" s="70">
        <v>0</v>
      </c>
      <c r="AFT129" s="70">
        <v>0</v>
      </c>
      <c r="AFU129" s="70">
        <v>0</v>
      </c>
      <c r="AFV129" s="70">
        <v>0</v>
      </c>
      <c r="AFW129" s="70">
        <v>0</v>
      </c>
      <c r="AFX129" s="70">
        <v>0</v>
      </c>
      <c r="AFY129" s="70">
        <v>0</v>
      </c>
      <c r="AFZ129" s="70">
        <v>0</v>
      </c>
      <c r="AGA129" s="70">
        <v>0</v>
      </c>
      <c r="AGB129" s="70">
        <v>0</v>
      </c>
      <c r="AGC129" s="70">
        <v>0</v>
      </c>
      <c r="AGD129" s="70">
        <v>0</v>
      </c>
      <c r="AGE129" s="70">
        <v>0</v>
      </c>
      <c r="AGF129" s="70">
        <v>0</v>
      </c>
      <c r="AGG129" s="70">
        <v>0</v>
      </c>
      <c r="AGH129" s="70">
        <v>0</v>
      </c>
      <c r="AGI129" s="70">
        <v>0</v>
      </c>
      <c r="AGJ129" s="70">
        <v>0</v>
      </c>
      <c r="AGK129" s="70">
        <v>0</v>
      </c>
      <c r="AGL129" s="70">
        <v>0</v>
      </c>
      <c r="AGM129" s="70">
        <v>0</v>
      </c>
      <c r="AGN129" s="70">
        <v>0</v>
      </c>
      <c r="AGO129" s="70">
        <v>0</v>
      </c>
      <c r="AGP129" s="70">
        <v>0</v>
      </c>
      <c r="AGQ129" s="70">
        <v>0</v>
      </c>
      <c r="AGR129" s="70">
        <v>0</v>
      </c>
      <c r="AGS129" s="70">
        <v>0</v>
      </c>
      <c r="AGT129" s="70">
        <v>0</v>
      </c>
      <c r="AGU129" s="70">
        <v>0</v>
      </c>
      <c r="AGV129" s="70">
        <v>0</v>
      </c>
      <c r="AGW129" s="70">
        <v>0</v>
      </c>
      <c r="AGX129" s="70">
        <v>0</v>
      </c>
      <c r="AGY129" s="70">
        <v>0</v>
      </c>
      <c r="AGZ129" s="70">
        <v>0</v>
      </c>
      <c r="AHA129" s="70">
        <v>0</v>
      </c>
      <c r="AHB129" s="70">
        <v>0</v>
      </c>
      <c r="AHC129" s="70">
        <v>0</v>
      </c>
      <c r="AHD129" s="70">
        <v>0</v>
      </c>
      <c r="AHE129" s="70">
        <v>0</v>
      </c>
      <c r="AHF129" s="70">
        <v>0</v>
      </c>
      <c r="AHG129" s="70">
        <v>0</v>
      </c>
      <c r="AHH129" s="70">
        <v>0</v>
      </c>
      <c r="AHI129" s="70">
        <v>0</v>
      </c>
      <c r="AHJ129" s="70">
        <v>0</v>
      </c>
      <c r="AHK129" s="70">
        <v>0</v>
      </c>
      <c r="AHL129" s="70">
        <v>0</v>
      </c>
      <c r="AHM129" s="70">
        <v>0</v>
      </c>
      <c r="AHN129" s="70">
        <v>0</v>
      </c>
      <c r="AHO129" s="70">
        <v>0</v>
      </c>
      <c r="AHP129" s="70">
        <v>0</v>
      </c>
      <c r="AHQ129" s="70">
        <v>0</v>
      </c>
      <c r="AHR129" s="70">
        <v>0</v>
      </c>
      <c r="AHS129" s="70">
        <v>0</v>
      </c>
      <c r="AHT129" s="70">
        <v>0</v>
      </c>
      <c r="AHU129" s="70">
        <v>0</v>
      </c>
      <c r="AHV129" s="70">
        <v>0</v>
      </c>
      <c r="AHW129" s="70">
        <v>0</v>
      </c>
      <c r="AHX129" s="70">
        <v>0</v>
      </c>
      <c r="AHY129" s="70">
        <v>0</v>
      </c>
      <c r="AHZ129" s="70">
        <v>0</v>
      </c>
      <c r="AIA129" s="70">
        <v>0</v>
      </c>
      <c r="AIB129" s="70">
        <v>0</v>
      </c>
      <c r="AIC129" s="70">
        <v>0</v>
      </c>
      <c r="AID129" s="70">
        <v>0</v>
      </c>
      <c r="AIE129" s="70">
        <v>0</v>
      </c>
      <c r="AIF129" s="70">
        <v>0</v>
      </c>
      <c r="AIG129" s="70">
        <v>0</v>
      </c>
      <c r="AIH129" s="70">
        <v>0</v>
      </c>
      <c r="AII129" s="70">
        <v>0</v>
      </c>
      <c r="AIJ129" s="70">
        <v>0</v>
      </c>
      <c r="AIK129" s="70">
        <v>0</v>
      </c>
      <c r="AIL129" s="70">
        <v>0</v>
      </c>
      <c r="AIM129" s="70">
        <v>0</v>
      </c>
      <c r="AIN129" s="70">
        <v>0</v>
      </c>
      <c r="AIO129" s="70">
        <v>0</v>
      </c>
      <c r="AIP129" s="70">
        <v>0</v>
      </c>
      <c r="AIQ129" s="70">
        <v>0</v>
      </c>
      <c r="AIR129" s="70">
        <v>0</v>
      </c>
      <c r="AIS129" s="70">
        <v>0</v>
      </c>
      <c r="AIT129" s="70">
        <v>0</v>
      </c>
      <c r="AIU129" s="70">
        <v>0</v>
      </c>
      <c r="AIV129" s="70">
        <v>0</v>
      </c>
      <c r="AIW129" s="70">
        <v>0</v>
      </c>
      <c r="AIX129" s="70">
        <v>0</v>
      </c>
      <c r="AIY129" s="70">
        <v>0</v>
      </c>
      <c r="AIZ129" s="70">
        <v>0</v>
      </c>
      <c r="AJA129" s="70">
        <v>0</v>
      </c>
      <c r="AJB129" s="70">
        <v>0</v>
      </c>
      <c r="AJC129" s="70">
        <v>0</v>
      </c>
      <c r="AJD129" s="70">
        <v>0</v>
      </c>
      <c r="AJE129" s="70">
        <v>0</v>
      </c>
      <c r="AJF129" s="70">
        <v>0</v>
      </c>
      <c r="AJG129" s="70">
        <v>0</v>
      </c>
      <c r="AJH129" s="70">
        <v>0</v>
      </c>
      <c r="AJI129" s="70">
        <v>0</v>
      </c>
      <c r="AJJ129" s="70">
        <v>0</v>
      </c>
      <c r="AJK129" s="70">
        <v>0</v>
      </c>
      <c r="AJL129" s="70">
        <v>0</v>
      </c>
      <c r="AJM129" s="70">
        <v>0</v>
      </c>
      <c r="AJN129" s="70">
        <v>0</v>
      </c>
      <c r="AJO129" s="70">
        <v>0</v>
      </c>
      <c r="AJP129" s="70">
        <v>0</v>
      </c>
      <c r="AJQ129" s="70">
        <v>0</v>
      </c>
      <c r="AJR129" s="70">
        <v>0</v>
      </c>
      <c r="AJS129" s="70">
        <v>0</v>
      </c>
      <c r="AJT129" s="70">
        <v>0</v>
      </c>
      <c r="AJU129" s="70">
        <v>0</v>
      </c>
      <c r="AJV129" s="70">
        <v>0</v>
      </c>
      <c r="AJW129" s="70">
        <v>0</v>
      </c>
      <c r="AJX129" s="70">
        <v>0</v>
      </c>
      <c r="AJY129" s="70">
        <v>0</v>
      </c>
      <c r="AJZ129" s="70">
        <v>0</v>
      </c>
      <c r="AKA129" s="70">
        <v>0</v>
      </c>
      <c r="AKB129" s="70">
        <v>0</v>
      </c>
      <c r="AKC129" s="70">
        <v>0</v>
      </c>
      <c r="AKD129" s="70">
        <v>0</v>
      </c>
      <c r="AKE129" s="70">
        <v>0</v>
      </c>
      <c r="AKF129" s="70">
        <v>0</v>
      </c>
      <c r="AKG129" s="70">
        <v>0</v>
      </c>
      <c r="AKH129" s="70">
        <v>0</v>
      </c>
      <c r="AKI129" s="70">
        <v>0</v>
      </c>
      <c r="AKJ129" s="70">
        <v>0</v>
      </c>
      <c r="AKK129" s="70">
        <v>0</v>
      </c>
      <c r="AKL129" s="70">
        <v>0</v>
      </c>
      <c r="AKM129" s="70">
        <v>0</v>
      </c>
      <c r="AKN129" s="70">
        <v>0</v>
      </c>
      <c r="AKO129" s="70">
        <v>0</v>
      </c>
      <c r="AKP129" s="70">
        <v>0</v>
      </c>
      <c r="AKQ129" s="70">
        <v>0</v>
      </c>
      <c r="AKR129" s="70">
        <v>0</v>
      </c>
      <c r="AKS129" s="70">
        <v>0</v>
      </c>
      <c r="AKT129" s="70">
        <v>0</v>
      </c>
      <c r="AKU129" s="70">
        <v>0</v>
      </c>
      <c r="AKV129" s="70">
        <v>0</v>
      </c>
      <c r="AKW129" s="70">
        <v>0</v>
      </c>
      <c r="AKX129" s="70">
        <v>0</v>
      </c>
      <c r="AKY129" s="70">
        <v>0</v>
      </c>
      <c r="AKZ129" s="70">
        <v>0</v>
      </c>
      <c r="ALA129" s="70">
        <v>0</v>
      </c>
      <c r="ALB129" s="70">
        <v>0</v>
      </c>
      <c r="ALC129" s="70">
        <v>0</v>
      </c>
      <c r="ALD129" s="70">
        <v>0</v>
      </c>
      <c r="ALE129" s="70">
        <v>0</v>
      </c>
      <c r="ALF129" s="70">
        <v>0</v>
      </c>
      <c r="ALG129" s="70">
        <v>0</v>
      </c>
      <c r="ALH129" s="70">
        <v>0</v>
      </c>
      <c r="ALI129" s="70">
        <v>0</v>
      </c>
      <c r="ALJ129" s="70">
        <v>0</v>
      </c>
      <c r="ALK129" s="70">
        <v>0</v>
      </c>
      <c r="ALL129" s="70">
        <v>0</v>
      </c>
      <c r="ALM129" s="70">
        <v>0</v>
      </c>
      <c r="ALN129" s="70">
        <v>0</v>
      </c>
      <c r="ALO129" s="70">
        <v>0</v>
      </c>
      <c r="ALP129" s="70">
        <v>0</v>
      </c>
      <c r="ALQ129" s="70">
        <v>0</v>
      </c>
      <c r="ALR129" s="70">
        <v>0</v>
      </c>
      <c r="ALS129" s="70">
        <v>0</v>
      </c>
      <c r="ALT129" s="70">
        <v>0</v>
      </c>
      <c r="ALU129" s="70">
        <v>0</v>
      </c>
      <c r="ALV129" s="70">
        <v>0</v>
      </c>
      <c r="ALW129" s="70">
        <v>0</v>
      </c>
      <c r="ALX129" s="70">
        <v>0</v>
      </c>
      <c r="ALY129" s="70">
        <v>0</v>
      </c>
      <c r="ALZ129" s="70">
        <v>0</v>
      </c>
      <c r="AMA129" s="70">
        <v>0</v>
      </c>
      <c r="AMB129" s="70">
        <v>0</v>
      </c>
      <c r="AMC129" s="70">
        <v>0</v>
      </c>
      <c r="AMD129" s="70">
        <v>0</v>
      </c>
      <c r="AME129" s="70">
        <v>0</v>
      </c>
      <c r="AMF129" s="70">
        <v>0</v>
      </c>
      <c r="AMG129" s="70">
        <v>0</v>
      </c>
      <c r="AMH129" s="70">
        <v>0</v>
      </c>
      <c r="AMI129" s="70">
        <v>0</v>
      </c>
      <c r="AMJ129" s="70">
        <v>0</v>
      </c>
      <c r="AMK129" s="70">
        <v>0</v>
      </c>
      <c r="AML129" s="70">
        <v>0</v>
      </c>
      <c r="AMM129" s="70">
        <v>0</v>
      </c>
      <c r="AMN129" s="70">
        <v>0</v>
      </c>
      <c r="AMO129" s="70">
        <v>0</v>
      </c>
      <c r="AMP129" s="70">
        <v>0</v>
      </c>
      <c r="AMQ129" s="70">
        <v>0</v>
      </c>
      <c r="AMR129" s="70">
        <v>0</v>
      </c>
      <c r="AMS129" s="70">
        <v>0</v>
      </c>
      <c r="AMT129" s="70">
        <v>0</v>
      </c>
      <c r="AMU129" s="70">
        <v>0</v>
      </c>
      <c r="AMV129" s="70">
        <v>0</v>
      </c>
      <c r="AMW129" s="70">
        <v>0</v>
      </c>
      <c r="AMX129" s="70">
        <v>0</v>
      </c>
      <c r="AMY129" s="70">
        <v>0</v>
      </c>
      <c r="AMZ129" s="70">
        <v>0</v>
      </c>
      <c r="ANA129" s="70">
        <v>0</v>
      </c>
      <c r="ANB129" s="70">
        <v>0</v>
      </c>
      <c r="ANC129" s="70">
        <v>0</v>
      </c>
      <c r="AND129" s="70">
        <v>0</v>
      </c>
      <c r="ANE129" s="70">
        <v>0</v>
      </c>
      <c r="ANF129" s="70">
        <v>0</v>
      </c>
      <c r="ANG129" s="70">
        <v>0</v>
      </c>
      <c r="ANH129" s="70">
        <v>0</v>
      </c>
      <c r="ANI129" s="70">
        <v>0</v>
      </c>
      <c r="ANJ129" s="70">
        <v>0</v>
      </c>
      <c r="ANK129" s="70">
        <v>0</v>
      </c>
      <c r="ANL129" s="70">
        <v>0</v>
      </c>
      <c r="ANM129" s="70">
        <v>0</v>
      </c>
      <c r="ANN129" s="70">
        <v>0</v>
      </c>
      <c r="ANO129" s="70">
        <v>0</v>
      </c>
      <c r="ANP129" s="70">
        <v>0</v>
      </c>
      <c r="ANQ129" s="70">
        <v>0</v>
      </c>
      <c r="ANR129" s="70">
        <v>0</v>
      </c>
      <c r="ANS129" s="70">
        <v>0</v>
      </c>
      <c r="ANT129" s="70">
        <v>0</v>
      </c>
      <c r="ANU129" s="70">
        <v>0</v>
      </c>
      <c r="ANV129" s="70">
        <v>0</v>
      </c>
      <c r="ANW129" s="70">
        <v>0</v>
      </c>
      <c r="ANX129" s="70">
        <v>0</v>
      </c>
      <c r="ANY129" s="70">
        <v>0</v>
      </c>
      <c r="ANZ129" s="70">
        <v>0</v>
      </c>
      <c r="AOA129" s="70">
        <v>0</v>
      </c>
      <c r="AOB129" s="70">
        <v>0</v>
      </c>
      <c r="AOC129" s="70">
        <v>0</v>
      </c>
      <c r="AOD129" s="70">
        <v>0</v>
      </c>
      <c r="AOE129" s="70">
        <v>0</v>
      </c>
      <c r="AOF129" s="70">
        <v>0</v>
      </c>
      <c r="AOG129" s="70">
        <v>0</v>
      </c>
      <c r="AOH129" s="70">
        <v>0</v>
      </c>
      <c r="AOI129" s="70">
        <v>0</v>
      </c>
      <c r="AOJ129" s="70">
        <v>0</v>
      </c>
      <c r="AOK129" s="70">
        <v>0</v>
      </c>
      <c r="AOL129" s="70">
        <v>0</v>
      </c>
      <c r="AOM129" s="70">
        <v>0</v>
      </c>
      <c r="AON129" s="70">
        <v>0</v>
      </c>
      <c r="AOO129" s="70">
        <v>0</v>
      </c>
      <c r="AOP129" s="70">
        <v>0</v>
      </c>
      <c r="AOQ129" s="70">
        <v>0</v>
      </c>
      <c r="AOR129" s="70">
        <v>0</v>
      </c>
      <c r="AOS129" s="70">
        <v>0</v>
      </c>
      <c r="AOT129" s="70">
        <v>0</v>
      </c>
      <c r="AOU129" s="70">
        <v>0</v>
      </c>
      <c r="AOV129" s="70">
        <v>0</v>
      </c>
      <c r="AOW129" s="70">
        <v>0</v>
      </c>
      <c r="AOX129" s="70">
        <v>0</v>
      </c>
      <c r="AOY129" s="70">
        <v>0</v>
      </c>
      <c r="AOZ129" s="70">
        <v>0</v>
      </c>
      <c r="APA129" s="70">
        <v>0</v>
      </c>
      <c r="APB129" s="70">
        <v>0</v>
      </c>
      <c r="APC129" s="70">
        <v>0</v>
      </c>
      <c r="APD129" s="70">
        <v>0</v>
      </c>
      <c r="APE129" s="70">
        <v>0</v>
      </c>
      <c r="APF129" s="70">
        <v>0</v>
      </c>
      <c r="APG129" s="70">
        <v>0</v>
      </c>
      <c r="APH129" s="70">
        <v>0</v>
      </c>
      <c r="API129" s="70">
        <v>0</v>
      </c>
      <c r="APJ129" s="70">
        <v>0</v>
      </c>
      <c r="APK129" s="70">
        <v>0</v>
      </c>
      <c r="APL129" s="70">
        <v>0</v>
      </c>
      <c r="APM129" s="70">
        <v>0</v>
      </c>
      <c r="APN129" s="70">
        <v>0</v>
      </c>
      <c r="APO129" s="70">
        <v>0</v>
      </c>
      <c r="APP129" s="70">
        <v>0</v>
      </c>
      <c r="APQ129" s="70">
        <v>0</v>
      </c>
      <c r="APR129" s="70">
        <v>0</v>
      </c>
      <c r="APS129" s="70">
        <v>0</v>
      </c>
      <c r="APT129" s="70">
        <v>0</v>
      </c>
      <c r="APU129" s="70">
        <v>0</v>
      </c>
      <c r="APV129" s="70">
        <v>0</v>
      </c>
      <c r="APW129" s="70">
        <v>0</v>
      </c>
      <c r="APX129" s="70">
        <v>0</v>
      </c>
      <c r="APY129" s="70">
        <v>0</v>
      </c>
      <c r="APZ129" s="70">
        <v>0</v>
      </c>
      <c r="AQA129" s="70">
        <v>0</v>
      </c>
      <c r="AQB129" s="70">
        <v>0</v>
      </c>
      <c r="AQC129" s="70">
        <v>0</v>
      </c>
      <c r="AQD129" s="70">
        <v>0</v>
      </c>
      <c r="AQE129" s="70">
        <v>0</v>
      </c>
      <c r="AQF129" s="70">
        <v>0</v>
      </c>
      <c r="AQG129" s="70">
        <v>0</v>
      </c>
      <c r="AQH129" s="70">
        <v>0</v>
      </c>
      <c r="AQI129" s="70">
        <v>0</v>
      </c>
      <c r="AQJ129" s="70">
        <v>0</v>
      </c>
      <c r="AQK129" s="70">
        <v>0</v>
      </c>
      <c r="AQL129" s="70">
        <v>0</v>
      </c>
      <c r="AQM129" s="70">
        <v>0</v>
      </c>
      <c r="AQN129" s="70">
        <v>0</v>
      </c>
      <c r="AQO129" s="70">
        <v>0</v>
      </c>
      <c r="AQP129" s="70">
        <v>0</v>
      </c>
      <c r="AQQ129" s="70">
        <v>0</v>
      </c>
      <c r="AQR129" s="70">
        <v>0</v>
      </c>
      <c r="AQS129" s="70">
        <v>0</v>
      </c>
      <c r="AQT129" s="70">
        <v>0</v>
      </c>
      <c r="AQU129" s="70">
        <v>0</v>
      </c>
      <c r="AQV129" s="70">
        <v>0</v>
      </c>
      <c r="AQW129" s="70">
        <v>0</v>
      </c>
      <c r="AQX129" s="70">
        <v>0</v>
      </c>
      <c r="AQY129" s="70">
        <v>0</v>
      </c>
      <c r="AQZ129" s="70">
        <v>0</v>
      </c>
      <c r="ARA129" s="70">
        <v>0</v>
      </c>
      <c r="ARB129" s="70">
        <v>0</v>
      </c>
      <c r="ARC129" s="70">
        <v>0</v>
      </c>
      <c r="ARD129" s="70">
        <v>0</v>
      </c>
      <c r="ARE129" s="70">
        <v>0</v>
      </c>
      <c r="ARF129" s="70">
        <v>0</v>
      </c>
      <c r="ARG129" s="70">
        <v>0</v>
      </c>
      <c r="ARH129" s="70">
        <v>0</v>
      </c>
      <c r="ARI129" s="70">
        <v>0</v>
      </c>
      <c r="ARJ129" s="70">
        <v>0</v>
      </c>
      <c r="ARK129" s="70">
        <v>0</v>
      </c>
      <c r="ARL129" s="70">
        <v>0</v>
      </c>
      <c r="ARM129" s="70">
        <v>0</v>
      </c>
      <c r="ARN129" s="70">
        <v>0</v>
      </c>
      <c r="ARO129" s="70">
        <v>0</v>
      </c>
      <c r="ARP129" s="70">
        <v>0</v>
      </c>
      <c r="ARQ129" s="70">
        <v>0</v>
      </c>
      <c r="ARR129" s="70">
        <v>0</v>
      </c>
      <c r="ARS129" s="70">
        <v>0</v>
      </c>
      <c r="ART129" s="70">
        <v>0</v>
      </c>
      <c r="ARU129" s="70">
        <v>0</v>
      </c>
      <c r="ARV129" s="70">
        <v>0</v>
      </c>
      <c r="ARW129" s="70">
        <v>0</v>
      </c>
      <c r="ARX129" s="70">
        <v>0</v>
      </c>
      <c r="ARY129" s="70">
        <v>0</v>
      </c>
      <c r="ARZ129" s="70">
        <v>0</v>
      </c>
      <c r="ASA129" s="70">
        <v>0</v>
      </c>
      <c r="ASB129" s="70">
        <v>0</v>
      </c>
      <c r="ASC129" s="70">
        <v>0</v>
      </c>
      <c r="ASD129" s="70">
        <v>0</v>
      </c>
      <c r="ASE129" s="70">
        <v>0</v>
      </c>
      <c r="ASF129" s="70">
        <v>0</v>
      </c>
      <c r="ASG129" s="70">
        <v>0</v>
      </c>
      <c r="ASH129" s="70">
        <v>0</v>
      </c>
      <c r="ASI129" s="70">
        <v>0</v>
      </c>
      <c r="ASJ129" s="70">
        <v>0</v>
      </c>
      <c r="ASK129" s="70">
        <v>0</v>
      </c>
      <c r="ASL129" s="70">
        <v>0</v>
      </c>
      <c r="ASM129" s="70">
        <v>0</v>
      </c>
      <c r="ASN129" s="70">
        <v>0</v>
      </c>
      <c r="ASO129" s="70">
        <v>0</v>
      </c>
      <c r="ASP129" s="70">
        <v>0</v>
      </c>
      <c r="ASQ129" s="70">
        <v>0</v>
      </c>
      <c r="ASR129" s="70">
        <v>0</v>
      </c>
      <c r="ASS129" s="70">
        <v>0</v>
      </c>
      <c r="AST129" s="70">
        <v>0</v>
      </c>
      <c r="ASU129" s="70">
        <v>0</v>
      </c>
      <c r="ASV129" s="70">
        <v>0</v>
      </c>
      <c r="ASW129" s="70">
        <v>0</v>
      </c>
      <c r="ASX129" s="70">
        <v>0</v>
      </c>
      <c r="ASY129" s="70">
        <v>0</v>
      </c>
      <c r="ASZ129" s="70">
        <v>0</v>
      </c>
      <c r="ATA129" s="70">
        <v>0</v>
      </c>
      <c r="ATB129" s="70">
        <v>0</v>
      </c>
      <c r="ATC129" s="70">
        <v>0</v>
      </c>
      <c r="ATD129" s="70">
        <v>0</v>
      </c>
      <c r="ATE129" s="70">
        <v>0</v>
      </c>
      <c r="ATF129" s="70">
        <v>0</v>
      </c>
      <c r="ATG129" s="70">
        <v>0</v>
      </c>
      <c r="ATH129" s="70">
        <v>0</v>
      </c>
      <c r="ATI129" s="70">
        <v>0</v>
      </c>
      <c r="ATJ129" s="70">
        <v>0</v>
      </c>
      <c r="ATK129" s="70">
        <v>0</v>
      </c>
      <c r="ATL129" s="70">
        <v>0</v>
      </c>
      <c r="ATM129" s="70">
        <v>0</v>
      </c>
      <c r="ATN129" s="70">
        <v>0</v>
      </c>
      <c r="ATO129" s="70">
        <v>0</v>
      </c>
      <c r="ATP129" s="70">
        <v>0</v>
      </c>
      <c r="ATQ129" s="70">
        <v>0</v>
      </c>
      <c r="ATR129" s="70">
        <v>0</v>
      </c>
      <c r="ATS129" s="70">
        <v>0</v>
      </c>
      <c r="ATT129" s="70">
        <v>0</v>
      </c>
      <c r="ATU129" s="70">
        <v>0</v>
      </c>
      <c r="ATV129" s="70">
        <v>0</v>
      </c>
      <c r="ATW129" s="70">
        <v>0</v>
      </c>
      <c r="ATX129" s="70">
        <v>0</v>
      </c>
      <c r="ATY129" s="70">
        <v>0</v>
      </c>
      <c r="ATZ129" s="70">
        <v>0</v>
      </c>
      <c r="AUA129" s="70">
        <v>0</v>
      </c>
      <c r="AUB129" s="70">
        <v>0</v>
      </c>
      <c r="AUC129" s="70">
        <v>0</v>
      </c>
      <c r="AUD129" s="70">
        <v>0</v>
      </c>
      <c r="AUE129" s="70">
        <v>0</v>
      </c>
      <c r="AUF129" s="70">
        <v>0</v>
      </c>
      <c r="AUG129" s="70">
        <v>0</v>
      </c>
      <c r="AUH129" s="70">
        <v>0</v>
      </c>
      <c r="AUI129" s="70">
        <v>0</v>
      </c>
      <c r="AUJ129" s="70">
        <v>0</v>
      </c>
      <c r="AUK129" s="70">
        <v>0</v>
      </c>
      <c r="AUL129" s="70">
        <v>0</v>
      </c>
      <c r="AUM129" s="70">
        <v>0</v>
      </c>
      <c r="AUN129" s="70">
        <v>0</v>
      </c>
      <c r="AUO129" s="70">
        <v>0</v>
      </c>
      <c r="AUP129" s="70">
        <v>0</v>
      </c>
      <c r="AUQ129" s="70">
        <v>0</v>
      </c>
      <c r="AUR129" s="70">
        <v>0</v>
      </c>
      <c r="AUS129" s="70">
        <v>0</v>
      </c>
      <c r="AUT129" s="70">
        <v>0</v>
      </c>
      <c r="AUU129" s="70">
        <v>0</v>
      </c>
      <c r="AUV129" s="70">
        <v>0</v>
      </c>
      <c r="AUW129" s="70">
        <v>0</v>
      </c>
      <c r="AUX129" s="70">
        <v>0</v>
      </c>
      <c r="AUY129" s="70">
        <v>0</v>
      </c>
      <c r="AUZ129" s="70">
        <v>0</v>
      </c>
      <c r="AVA129" s="70">
        <v>0</v>
      </c>
      <c r="AVB129" s="70">
        <v>0</v>
      </c>
      <c r="AVC129" s="70">
        <v>0</v>
      </c>
      <c r="AVD129" s="70">
        <v>0</v>
      </c>
      <c r="AVE129" s="70">
        <v>0</v>
      </c>
      <c r="AVF129" s="70">
        <v>0</v>
      </c>
      <c r="AVG129" s="70">
        <v>0</v>
      </c>
      <c r="AVH129" s="70">
        <v>0</v>
      </c>
      <c r="AVI129" s="70">
        <v>0</v>
      </c>
      <c r="AVJ129" s="70">
        <v>0</v>
      </c>
      <c r="AVK129" s="70">
        <v>0</v>
      </c>
      <c r="AVL129" s="70">
        <v>0</v>
      </c>
      <c r="AVM129" s="70">
        <v>0</v>
      </c>
      <c r="AVN129" s="70">
        <v>0</v>
      </c>
      <c r="AVO129" s="70">
        <v>0</v>
      </c>
      <c r="AVP129" s="70">
        <v>0</v>
      </c>
      <c r="AVQ129" s="70">
        <v>0</v>
      </c>
      <c r="AVR129" s="70">
        <v>0</v>
      </c>
      <c r="AVS129" s="70">
        <v>0</v>
      </c>
      <c r="AVT129" s="70">
        <v>0</v>
      </c>
      <c r="AVU129" s="70">
        <v>0</v>
      </c>
      <c r="AVV129" s="70">
        <v>0</v>
      </c>
      <c r="AVW129" s="70">
        <v>0</v>
      </c>
      <c r="AVX129" s="70">
        <v>0</v>
      </c>
      <c r="AVY129" s="70">
        <v>0</v>
      </c>
      <c r="AVZ129" s="70">
        <v>0</v>
      </c>
      <c r="AWA129" s="70">
        <v>0</v>
      </c>
      <c r="AWB129" s="70">
        <v>0</v>
      </c>
      <c r="AWC129" s="70">
        <v>0</v>
      </c>
      <c r="AWD129" s="70">
        <v>0</v>
      </c>
      <c r="AWE129" s="70">
        <v>0</v>
      </c>
      <c r="AWF129" s="70">
        <v>0</v>
      </c>
      <c r="AWG129" s="70">
        <v>0</v>
      </c>
      <c r="AWH129" s="70">
        <v>0</v>
      </c>
      <c r="AWI129" s="70">
        <v>0</v>
      </c>
      <c r="AWJ129" s="70">
        <v>0</v>
      </c>
      <c r="AWK129" s="70">
        <v>0</v>
      </c>
      <c r="AWL129" s="70">
        <v>0</v>
      </c>
      <c r="AWM129" s="70">
        <v>0</v>
      </c>
      <c r="AWN129" s="70">
        <v>0</v>
      </c>
      <c r="AWO129" s="70">
        <v>0</v>
      </c>
      <c r="AWP129" s="70">
        <v>0</v>
      </c>
      <c r="AWQ129" s="70">
        <v>0</v>
      </c>
      <c r="AWR129" s="70">
        <v>0</v>
      </c>
      <c r="AWS129" s="70">
        <v>0</v>
      </c>
      <c r="AWT129" s="70">
        <v>0</v>
      </c>
      <c r="AWU129" s="70">
        <v>0</v>
      </c>
      <c r="AWV129" s="70">
        <v>0</v>
      </c>
      <c r="AWW129" s="70">
        <v>0</v>
      </c>
      <c r="AWX129" s="70">
        <v>0</v>
      </c>
      <c r="AWY129" s="70">
        <v>0</v>
      </c>
      <c r="AWZ129" s="70">
        <v>0</v>
      </c>
      <c r="AXA129" s="70">
        <v>0</v>
      </c>
      <c r="AXB129" s="70">
        <v>0</v>
      </c>
      <c r="AXC129" s="70">
        <v>0</v>
      </c>
      <c r="AXD129" s="70">
        <v>0</v>
      </c>
      <c r="AXE129" s="70">
        <v>0</v>
      </c>
      <c r="AXF129" s="70">
        <v>0</v>
      </c>
      <c r="AXG129" s="70">
        <v>0</v>
      </c>
      <c r="AXH129" s="70">
        <v>0</v>
      </c>
      <c r="AXI129" s="70">
        <v>0</v>
      </c>
      <c r="AXJ129" s="70">
        <v>0</v>
      </c>
      <c r="AXK129" s="70">
        <v>0</v>
      </c>
      <c r="AXL129" s="70">
        <v>0</v>
      </c>
      <c r="AXM129" s="70">
        <v>0</v>
      </c>
      <c r="AXN129" s="70">
        <v>0</v>
      </c>
      <c r="AXO129" s="70">
        <v>0</v>
      </c>
      <c r="AXP129" s="70">
        <v>0</v>
      </c>
      <c r="AXQ129" s="70">
        <v>0</v>
      </c>
      <c r="AXR129" s="70">
        <v>0</v>
      </c>
      <c r="AXS129" s="70">
        <v>0</v>
      </c>
      <c r="AXT129" s="70">
        <v>0</v>
      </c>
      <c r="AXU129" s="70">
        <v>0</v>
      </c>
      <c r="AXV129" s="70">
        <v>0</v>
      </c>
      <c r="AXW129" s="70">
        <v>0</v>
      </c>
      <c r="AXX129" s="70">
        <v>0</v>
      </c>
      <c r="AXY129" s="70">
        <v>0</v>
      </c>
      <c r="AXZ129" s="70">
        <v>0</v>
      </c>
      <c r="AYA129" s="70">
        <v>0</v>
      </c>
      <c r="AYB129" s="70">
        <v>0</v>
      </c>
      <c r="AYC129" s="70">
        <v>0</v>
      </c>
      <c r="AYD129" s="70">
        <v>0</v>
      </c>
      <c r="AYE129" s="70">
        <v>0</v>
      </c>
      <c r="AYF129" s="70">
        <v>0</v>
      </c>
      <c r="AYG129" s="70">
        <v>0</v>
      </c>
      <c r="AYH129" s="70">
        <v>0</v>
      </c>
      <c r="AYI129" s="70">
        <v>0</v>
      </c>
      <c r="AYJ129" s="70">
        <v>0</v>
      </c>
      <c r="AYK129" s="70">
        <v>0</v>
      </c>
      <c r="AYL129" s="70">
        <v>0</v>
      </c>
      <c r="AYM129" s="70">
        <v>0</v>
      </c>
      <c r="AYN129" s="70">
        <v>0</v>
      </c>
      <c r="AYO129" s="70">
        <v>0</v>
      </c>
      <c r="AYP129" s="70">
        <v>0</v>
      </c>
      <c r="AYQ129" s="70">
        <v>0</v>
      </c>
      <c r="AYR129" s="70">
        <v>0</v>
      </c>
      <c r="AYS129" s="70">
        <v>0</v>
      </c>
      <c r="AYT129" s="70">
        <v>0</v>
      </c>
      <c r="AYU129" s="70">
        <v>0</v>
      </c>
      <c r="AYV129" s="70">
        <v>0</v>
      </c>
      <c r="AYW129" s="70">
        <v>0</v>
      </c>
      <c r="AYX129" s="70">
        <v>0</v>
      </c>
      <c r="AYY129" s="70">
        <v>0</v>
      </c>
      <c r="AYZ129" s="70">
        <v>0</v>
      </c>
      <c r="AZA129" s="70">
        <v>0</v>
      </c>
      <c r="AZB129" s="70">
        <v>0</v>
      </c>
      <c r="AZC129" s="70">
        <v>0</v>
      </c>
      <c r="AZD129" s="70">
        <v>0</v>
      </c>
      <c r="AZE129" s="70">
        <v>0</v>
      </c>
      <c r="AZF129" s="70">
        <v>0</v>
      </c>
      <c r="AZG129" s="70">
        <v>0</v>
      </c>
      <c r="AZH129" s="70">
        <v>0</v>
      </c>
      <c r="AZI129" s="70">
        <v>0</v>
      </c>
      <c r="AZJ129" s="70">
        <v>0</v>
      </c>
      <c r="AZK129" s="70">
        <v>0</v>
      </c>
      <c r="AZL129" s="70">
        <v>0</v>
      </c>
      <c r="AZM129" s="70">
        <v>0</v>
      </c>
      <c r="AZN129" s="70">
        <v>0</v>
      </c>
      <c r="AZO129" s="70">
        <v>0</v>
      </c>
      <c r="AZP129" s="70">
        <v>0</v>
      </c>
      <c r="AZQ129" s="70">
        <v>0</v>
      </c>
      <c r="AZR129" s="70">
        <v>0</v>
      </c>
      <c r="AZS129" s="70">
        <v>0</v>
      </c>
      <c r="AZT129" s="70">
        <v>0</v>
      </c>
      <c r="AZU129" s="70">
        <v>0</v>
      </c>
      <c r="AZV129" s="70">
        <v>0</v>
      </c>
      <c r="AZW129" s="70">
        <v>0</v>
      </c>
      <c r="AZX129" s="70">
        <v>0</v>
      </c>
      <c r="AZY129" s="70">
        <v>0</v>
      </c>
      <c r="AZZ129" s="70">
        <v>0</v>
      </c>
      <c r="BAA129" s="70">
        <v>0</v>
      </c>
      <c r="BAB129" s="70">
        <v>0</v>
      </c>
      <c r="BAC129" s="70">
        <v>0</v>
      </c>
      <c r="BAD129" s="70">
        <v>0</v>
      </c>
      <c r="BAE129" s="70">
        <v>0</v>
      </c>
      <c r="BAF129" s="70">
        <v>0</v>
      </c>
      <c r="BAG129" s="70">
        <v>0</v>
      </c>
      <c r="BAH129" s="70">
        <v>0</v>
      </c>
      <c r="BAI129" s="70">
        <v>0</v>
      </c>
      <c r="BAJ129" s="70">
        <v>0</v>
      </c>
      <c r="BAK129" s="70">
        <v>0</v>
      </c>
      <c r="BAL129" s="70">
        <v>0</v>
      </c>
      <c r="BAM129" s="70">
        <v>0</v>
      </c>
      <c r="BAN129" s="70">
        <v>0</v>
      </c>
      <c r="BAO129" s="70">
        <v>0</v>
      </c>
      <c r="BAP129" s="70">
        <v>0</v>
      </c>
      <c r="BAQ129" s="70">
        <v>0</v>
      </c>
      <c r="BAR129" s="70">
        <v>0</v>
      </c>
      <c r="BAS129" s="70">
        <v>0</v>
      </c>
      <c r="BAT129" s="70">
        <v>0</v>
      </c>
      <c r="BAU129" s="70">
        <v>0</v>
      </c>
      <c r="BAV129" s="70">
        <v>0</v>
      </c>
      <c r="BAW129" s="70">
        <v>0</v>
      </c>
      <c r="BAX129" s="70">
        <v>0</v>
      </c>
      <c r="BAY129" s="70">
        <v>0</v>
      </c>
      <c r="BAZ129" s="70">
        <v>0</v>
      </c>
      <c r="BBA129" s="70">
        <v>0</v>
      </c>
      <c r="BBB129" s="70">
        <v>0</v>
      </c>
      <c r="BBC129" s="70">
        <v>0</v>
      </c>
      <c r="BBD129" s="70">
        <v>0</v>
      </c>
      <c r="BBE129" s="70">
        <v>0</v>
      </c>
      <c r="BBF129" s="70">
        <v>0</v>
      </c>
      <c r="BBG129" s="70">
        <v>0</v>
      </c>
      <c r="BBH129" s="70">
        <v>0</v>
      </c>
      <c r="BBI129" s="70">
        <v>0</v>
      </c>
      <c r="BBJ129" s="70">
        <v>0</v>
      </c>
      <c r="BBK129" s="70">
        <v>0</v>
      </c>
      <c r="BBL129" s="70">
        <v>0</v>
      </c>
      <c r="BBM129" s="70">
        <v>0</v>
      </c>
      <c r="BBN129" s="70">
        <v>0</v>
      </c>
      <c r="BBO129" s="70">
        <v>0</v>
      </c>
      <c r="BBP129" s="70">
        <v>0</v>
      </c>
      <c r="BBQ129" s="70">
        <v>0</v>
      </c>
      <c r="BBR129" s="70">
        <v>0</v>
      </c>
      <c r="BBS129" s="70">
        <v>0</v>
      </c>
      <c r="BBT129" s="70">
        <v>0</v>
      </c>
      <c r="BBU129" s="70">
        <v>0</v>
      </c>
      <c r="BBV129" s="70">
        <v>0</v>
      </c>
      <c r="BBW129" s="70">
        <v>0</v>
      </c>
      <c r="BBX129" s="70">
        <v>0</v>
      </c>
      <c r="BBY129" s="70">
        <v>0</v>
      </c>
      <c r="BBZ129" s="70">
        <v>0</v>
      </c>
      <c r="BCA129" s="70">
        <v>0</v>
      </c>
      <c r="BCB129" s="70">
        <v>0</v>
      </c>
      <c r="BCC129" s="70">
        <v>0</v>
      </c>
      <c r="BCD129" s="70">
        <v>0</v>
      </c>
      <c r="BCE129" s="70">
        <v>0</v>
      </c>
      <c r="BCF129" s="70">
        <v>0</v>
      </c>
      <c r="BCG129" s="70">
        <v>0</v>
      </c>
      <c r="BCH129" s="70">
        <v>0</v>
      </c>
      <c r="BCI129" s="70">
        <v>0</v>
      </c>
      <c r="BCJ129" s="70">
        <v>0</v>
      </c>
      <c r="BCK129" s="70">
        <v>0</v>
      </c>
      <c r="BCL129" s="70">
        <v>0</v>
      </c>
      <c r="BCM129" s="70">
        <v>0</v>
      </c>
      <c r="BCN129" s="70">
        <v>0</v>
      </c>
      <c r="BCO129" s="70">
        <v>0</v>
      </c>
      <c r="BCP129" s="70">
        <v>0</v>
      </c>
      <c r="BCQ129" s="70">
        <v>0</v>
      </c>
      <c r="BCR129" s="70">
        <v>0</v>
      </c>
      <c r="BCS129" s="70">
        <v>0</v>
      </c>
      <c r="BCT129" s="70">
        <v>0</v>
      </c>
      <c r="BCU129" s="70">
        <v>0</v>
      </c>
      <c r="BCV129" s="70">
        <v>0</v>
      </c>
      <c r="BCW129" s="70">
        <v>0</v>
      </c>
      <c r="BCX129" s="70">
        <v>0</v>
      </c>
      <c r="BCY129" s="70">
        <v>0</v>
      </c>
      <c r="BCZ129" s="70">
        <v>0</v>
      </c>
      <c r="BDA129" s="70">
        <v>0</v>
      </c>
      <c r="BDB129" s="70">
        <v>0</v>
      </c>
      <c r="BDC129" s="70">
        <v>0</v>
      </c>
      <c r="BDD129" s="70">
        <v>0</v>
      </c>
      <c r="BDE129" s="70">
        <v>0</v>
      </c>
      <c r="BDF129" s="70">
        <v>0</v>
      </c>
      <c r="BDG129" s="70">
        <v>0</v>
      </c>
      <c r="BDH129" s="70">
        <v>0</v>
      </c>
      <c r="BDI129" s="70">
        <v>0</v>
      </c>
      <c r="BDJ129" s="70">
        <v>0</v>
      </c>
      <c r="BDK129" s="70">
        <v>0</v>
      </c>
      <c r="BDL129" s="70">
        <v>0</v>
      </c>
      <c r="BDM129" s="70">
        <v>0</v>
      </c>
      <c r="BDN129" s="70">
        <v>0</v>
      </c>
      <c r="BDO129" s="70">
        <v>0</v>
      </c>
      <c r="BDP129" s="70">
        <v>0</v>
      </c>
      <c r="BDQ129" s="70">
        <v>0</v>
      </c>
      <c r="BDR129" s="70">
        <v>0</v>
      </c>
      <c r="BDS129" s="70">
        <v>0</v>
      </c>
      <c r="BDT129" s="70">
        <v>0</v>
      </c>
      <c r="BDU129" s="70">
        <v>0</v>
      </c>
      <c r="BDV129" s="70">
        <v>0</v>
      </c>
      <c r="BDW129" s="70">
        <v>0</v>
      </c>
      <c r="BDX129" s="70">
        <v>0</v>
      </c>
      <c r="BDY129" s="70">
        <v>0</v>
      </c>
      <c r="BDZ129" s="70">
        <v>0</v>
      </c>
      <c r="BEA129" s="70">
        <v>0</v>
      </c>
      <c r="BEB129" s="70">
        <v>0</v>
      </c>
      <c r="BEC129" s="70">
        <v>0</v>
      </c>
      <c r="BED129" s="70">
        <v>0</v>
      </c>
      <c r="BEE129" s="70">
        <v>0</v>
      </c>
      <c r="BEF129" s="70">
        <v>0</v>
      </c>
      <c r="BEG129" s="70">
        <v>0</v>
      </c>
      <c r="BEH129" s="70">
        <v>0</v>
      </c>
      <c r="BEI129" s="70">
        <v>0</v>
      </c>
      <c r="BEJ129" s="70">
        <v>0</v>
      </c>
      <c r="BEK129" s="70">
        <v>0</v>
      </c>
      <c r="BEL129" s="70">
        <v>0</v>
      </c>
      <c r="BEM129" s="70">
        <v>0</v>
      </c>
      <c r="BEN129" s="70">
        <v>0</v>
      </c>
      <c r="BEO129" s="70">
        <v>0</v>
      </c>
      <c r="BEP129" s="70">
        <v>0</v>
      </c>
      <c r="BEQ129" s="70">
        <v>0</v>
      </c>
      <c r="BER129" s="70">
        <v>0</v>
      </c>
      <c r="BES129" s="70">
        <v>0</v>
      </c>
      <c r="BET129" s="70">
        <v>0</v>
      </c>
      <c r="BEU129" s="70">
        <v>0</v>
      </c>
      <c r="BEV129" s="70">
        <v>0</v>
      </c>
      <c r="BEW129" s="70">
        <v>0</v>
      </c>
      <c r="BEX129" s="70">
        <v>0</v>
      </c>
      <c r="BEY129" s="70">
        <v>0</v>
      </c>
      <c r="BEZ129" s="70">
        <v>0</v>
      </c>
      <c r="BFA129" s="70">
        <v>0</v>
      </c>
      <c r="BFB129" s="70">
        <v>0</v>
      </c>
      <c r="BFC129" s="70">
        <v>0</v>
      </c>
      <c r="BFD129" s="70">
        <v>0</v>
      </c>
      <c r="BFE129" s="70">
        <v>0</v>
      </c>
      <c r="BFF129" s="70">
        <v>0</v>
      </c>
      <c r="BFG129" s="70">
        <v>0</v>
      </c>
      <c r="BFH129" s="70">
        <v>0</v>
      </c>
      <c r="BFI129" s="70">
        <v>0</v>
      </c>
      <c r="BFJ129" s="70">
        <v>0</v>
      </c>
      <c r="BFK129" s="70">
        <v>0</v>
      </c>
      <c r="BFL129" s="70">
        <v>0</v>
      </c>
      <c r="BFM129" s="70">
        <v>0</v>
      </c>
      <c r="BFN129" s="70">
        <v>0</v>
      </c>
      <c r="BFO129" s="70">
        <v>0</v>
      </c>
      <c r="BFP129" s="70">
        <v>0</v>
      </c>
      <c r="BFQ129" s="70">
        <v>0</v>
      </c>
      <c r="BFR129" s="70">
        <v>0</v>
      </c>
      <c r="BFS129" s="70">
        <v>0</v>
      </c>
      <c r="BFT129" s="70">
        <v>0</v>
      </c>
      <c r="BFU129" s="70">
        <v>0</v>
      </c>
      <c r="BFV129" s="70">
        <v>0</v>
      </c>
      <c r="BFW129" s="70">
        <v>0</v>
      </c>
      <c r="BFX129" s="70">
        <v>0</v>
      </c>
      <c r="BFY129" s="70">
        <v>0</v>
      </c>
      <c r="BFZ129" s="70">
        <v>0</v>
      </c>
      <c r="BGA129" s="70">
        <v>0</v>
      </c>
      <c r="BGB129" s="70">
        <v>0</v>
      </c>
      <c r="BGC129" s="70">
        <v>0</v>
      </c>
      <c r="BGD129" s="70">
        <v>0</v>
      </c>
      <c r="BGE129" s="70">
        <v>0</v>
      </c>
      <c r="BGF129" s="70">
        <v>0</v>
      </c>
      <c r="BGG129" s="70">
        <v>0</v>
      </c>
      <c r="BGH129" s="70">
        <v>0</v>
      </c>
      <c r="BGI129" s="70">
        <v>0</v>
      </c>
      <c r="BGJ129" s="70">
        <v>0</v>
      </c>
      <c r="BGK129" s="70">
        <v>0</v>
      </c>
      <c r="BGL129" s="70">
        <v>0</v>
      </c>
      <c r="BGM129" s="70">
        <v>0</v>
      </c>
      <c r="BGN129" s="70">
        <v>0</v>
      </c>
      <c r="BGO129" s="70">
        <v>0</v>
      </c>
      <c r="BGP129" s="70">
        <v>0</v>
      </c>
      <c r="BGQ129" s="70">
        <v>0</v>
      </c>
      <c r="BGR129" s="70">
        <v>0</v>
      </c>
      <c r="BGS129" s="70">
        <v>0</v>
      </c>
      <c r="BGT129" s="70">
        <v>0</v>
      </c>
      <c r="BGU129" s="70">
        <v>0</v>
      </c>
      <c r="BGV129" s="70">
        <v>0</v>
      </c>
      <c r="BGW129" s="70">
        <v>0</v>
      </c>
      <c r="BGX129" s="70">
        <v>0</v>
      </c>
      <c r="BGY129" s="70">
        <v>0</v>
      </c>
      <c r="BGZ129" s="70">
        <v>0</v>
      </c>
      <c r="BHA129" s="70">
        <v>0</v>
      </c>
      <c r="BHB129" s="70">
        <v>0</v>
      </c>
      <c r="BHC129" s="70">
        <v>0</v>
      </c>
      <c r="BHD129" s="70">
        <v>0</v>
      </c>
      <c r="BHE129" s="70">
        <v>0</v>
      </c>
      <c r="BHF129" s="70">
        <v>0</v>
      </c>
      <c r="BHG129" s="70">
        <v>0</v>
      </c>
      <c r="BHH129" s="70">
        <v>0</v>
      </c>
      <c r="BHI129" s="70">
        <v>0</v>
      </c>
      <c r="BHJ129" s="70">
        <v>0</v>
      </c>
      <c r="BHK129" s="70">
        <v>0</v>
      </c>
      <c r="BHL129" s="70">
        <v>0</v>
      </c>
      <c r="BHM129" s="70">
        <v>0</v>
      </c>
      <c r="BHN129" s="70">
        <v>0</v>
      </c>
      <c r="BHO129" s="70">
        <v>0</v>
      </c>
      <c r="BHP129" s="70">
        <v>0</v>
      </c>
      <c r="BHQ129" s="70">
        <v>0</v>
      </c>
      <c r="BHR129" s="70">
        <v>0</v>
      </c>
      <c r="BHS129" s="70">
        <v>0</v>
      </c>
      <c r="BHT129" s="70">
        <v>0</v>
      </c>
      <c r="BHU129" s="70">
        <v>0</v>
      </c>
      <c r="BHV129" s="70">
        <v>0</v>
      </c>
      <c r="BHW129" s="70">
        <v>0</v>
      </c>
      <c r="BHX129" s="70">
        <v>0</v>
      </c>
      <c r="BHY129" s="70">
        <v>0</v>
      </c>
      <c r="BHZ129" s="70">
        <v>0</v>
      </c>
      <c r="BIA129" s="70">
        <v>0</v>
      </c>
      <c r="BIB129" s="70">
        <v>0</v>
      </c>
      <c r="BIC129" s="70">
        <v>0</v>
      </c>
      <c r="BID129" s="70">
        <v>0</v>
      </c>
      <c r="BIE129" s="70">
        <v>0</v>
      </c>
      <c r="BIF129" s="70">
        <v>0</v>
      </c>
      <c r="BIG129" s="70">
        <v>0</v>
      </c>
      <c r="BIH129" s="70">
        <v>0</v>
      </c>
      <c r="BII129" s="70">
        <v>0</v>
      </c>
      <c r="BIJ129" s="70">
        <v>0</v>
      </c>
      <c r="BIK129" s="70">
        <v>0</v>
      </c>
      <c r="BIL129" s="70">
        <v>0</v>
      </c>
      <c r="BIM129" s="70">
        <v>0</v>
      </c>
      <c r="BIN129" s="70">
        <v>0</v>
      </c>
      <c r="BIO129" s="70">
        <v>0</v>
      </c>
      <c r="BIP129" s="70">
        <v>0</v>
      </c>
      <c r="BIQ129" s="70">
        <v>0</v>
      </c>
      <c r="BIR129" s="70">
        <v>0</v>
      </c>
      <c r="BIS129" s="70">
        <v>0</v>
      </c>
      <c r="BIT129" s="70">
        <v>0</v>
      </c>
      <c r="BIU129" s="70">
        <v>0</v>
      </c>
      <c r="BIV129" s="70">
        <v>0</v>
      </c>
      <c r="BIW129" s="70">
        <v>0</v>
      </c>
      <c r="BIX129" s="70">
        <v>0</v>
      </c>
      <c r="BIY129" s="70">
        <v>0</v>
      </c>
      <c r="BIZ129" s="70">
        <v>0</v>
      </c>
      <c r="BJA129" s="70">
        <v>0</v>
      </c>
      <c r="BJB129" s="70">
        <v>0</v>
      </c>
      <c r="BJC129" s="70">
        <v>0</v>
      </c>
      <c r="BJD129" s="70">
        <v>0</v>
      </c>
      <c r="BJE129" s="70">
        <v>0</v>
      </c>
      <c r="BJF129" s="70">
        <v>0</v>
      </c>
      <c r="BJG129" s="70">
        <v>0</v>
      </c>
      <c r="BJH129" s="70">
        <v>0</v>
      </c>
      <c r="BJI129" s="70">
        <v>0</v>
      </c>
      <c r="BJJ129" s="70">
        <v>0</v>
      </c>
      <c r="BJK129" s="70">
        <v>0</v>
      </c>
      <c r="BJL129" s="70">
        <v>0</v>
      </c>
      <c r="BJM129" s="70">
        <v>0</v>
      </c>
      <c r="BJN129" s="70">
        <v>0</v>
      </c>
      <c r="BJO129" s="70">
        <v>0</v>
      </c>
      <c r="BJP129" s="70">
        <v>0</v>
      </c>
      <c r="BJQ129" s="70">
        <v>0</v>
      </c>
      <c r="BJR129" s="70">
        <v>0</v>
      </c>
      <c r="BJS129" s="70">
        <v>0</v>
      </c>
      <c r="BJT129" s="70">
        <v>0</v>
      </c>
      <c r="BJU129" s="70">
        <v>0</v>
      </c>
      <c r="BJV129" s="70">
        <v>0</v>
      </c>
      <c r="BJW129" s="70">
        <v>0</v>
      </c>
      <c r="BJX129" s="70">
        <v>0</v>
      </c>
      <c r="BJY129" s="70">
        <v>0</v>
      </c>
      <c r="BJZ129" s="70">
        <v>0</v>
      </c>
      <c r="BKA129" s="70">
        <v>0</v>
      </c>
      <c r="BKB129" s="70">
        <v>0</v>
      </c>
      <c r="BKC129" s="70">
        <v>0</v>
      </c>
      <c r="BKD129" s="70">
        <v>0</v>
      </c>
      <c r="BKE129" s="70">
        <v>0</v>
      </c>
      <c r="BKF129" s="70">
        <v>0</v>
      </c>
      <c r="BKG129" s="70">
        <v>0</v>
      </c>
      <c r="BKH129" s="70">
        <v>0</v>
      </c>
      <c r="BKI129" s="70">
        <v>0</v>
      </c>
      <c r="BKJ129" s="70">
        <v>0</v>
      </c>
      <c r="BKK129" s="70">
        <v>0</v>
      </c>
      <c r="BKL129" s="70">
        <v>0</v>
      </c>
      <c r="BKM129" s="70">
        <v>0</v>
      </c>
      <c r="BKN129" s="70">
        <v>0</v>
      </c>
      <c r="BKO129" s="70">
        <v>0</v>
      </c>
      <c r="BKP129" s="70">
        <v>0</v>
      </c>
      <c r="BKQ129" s="70">
        <v>0</v>
      </c>
      <c r="BKR129" s="70">
        <v>0</v>
      </c>
      <c r="BKS129" s="70">
        <v>0</v>
      </c>
      <c r="BKT129" s="70">
        <v>0</v>
      </c>
      <c r="BKU129" s="70">
        <v>0</v>
      </c>
      <c r="BKV129" s="70">
        <v>0</v>
      </c>
      <c r="BKW129" s="70">
        <v>0</v>
      </c>
      <c r="BKX129" s="70">
        <v>0</v>
      </c>
      <c r="BKY129" s="70">
        <v>0</v>
      </c>
      <c r="BKZ129" s="70">
        <v>0</v>
      </c>
      <c r="BLA129" s="70">
        <v>0</v>
      </c>
      <c r="BLB129" s="70">
        <v>0</v>
      </c>
      <c r="BLC129" s="70">
        <v>0</v>
      </c>
      <c r="BLD129" s="70">
        <v>0</v>
      </c>
      <c r="BLE129" s="70">
        <v>0</v>
      </c>
      <c r="BLF129" s="70">
        <v>0</v>
      </c>
      <c r="BLG129" s="70">
        <v>0</v>
      </c>
      <c r="BLH129" s="70">
        <v>0</v>
      </c>
      <c r="BLI129" s="70">
        <v>0</v>
      </c>
      <c r="BLJ129" s="70">
        <v>0</v>
      </c>
      <c r="BLK129" s="70">
        <v>0</v>
      </c>
      <c r="BLL129" s="70">
        <v>0</v>
      </c>
      <c r="BLM129" s="70">
        <v>0</v>
      </c>
      <c r="BLN129" s="70">
        <v>0</v>
      </c>
      <c r="BLO129" s="70">
        <v>0</v>
      </c>
      <c r="BLP129" s="70">
        <v>0</v>
      </c>
      <c r="BLQ129" s="70">
        <v>0</v>
      </c>
      <c r="BLR129" s="70">
        <v>0</v>
      </c>
      <c r="BLS129" s="70">
        <v>0</v>
      </c>
      <c r="BLT129" s="70">
        <v>0</v>
      </c>
      <c r="BLU129" s="70">
        <v>0</v>
      </c>
      <c r="BLV129" s="70">
        <v>0</v>
      </c>
      <c r="BLW129" s="70">
        <v>0</v>
      </c>
      <c r="BLX129" s="70">
        <v>0</v>
      </c>
      <c r="BLY129" s="70">
        <v>0</v>
      </c>
      <c r="BLZ129" s="70">
        <v>0</v>
      </c>
      <c r="BMA129" s="70">
        <v>0</v>
      </c>
      <c r="BMB129" s="70">
        <v>0</v>
      </c>
      <c r="BMC129" s="70">
        <v>0</v>
      </c>
      <c r="BMD129" s="70">
        <v>0</v>
      </c>
      <c r="BME129" s="70">
        <v>0</v>
      </c>
      <c r="BMF129" s="70">
        <v>0</v>
      </c>
      <c r="BMG129" s="70">
        <v>0</v>
      </c>
      <c r="BMH129" s="70">
        <v>0</v>
      </c>
      <c r="BMI129" s="70">
        <v>0</v>
      </c>
      <c r="BMJ129" s="70">
        <v>0</v>
      </c>
      <c r="BMK129" s="70">
        <v>0</v>
      </c>
      <c r="BML129" s="70">
        <v>0</v>
      </c>
      <c r="BMM129" s="70">
        <v>0</v>
      </c>
      <c r="BMN129" s="70">
        <v>0</v>
      </c>
      <c r="BMO129" s="70">
        <v>0</v>
      </c>
      <c r="BMP129" s="70">
        <v>0</v>
      </c>
      <c r="BMQ129" s="70">
        <v>0</v>
      </c>
      <c r="BMR129" s="70">
        <v>0</v>
      </c>
      <c r="BMS129" s="70">
        <v>0</v>
      </c>
      <c r="BMT129" s="70">
        <v>0</v>
      </c>
      <c r="BMU129" s="70">
        <v>0</v>
      </c>
      <c r="BMV129" s="70">
        <v>0</v>
      </c>
      <c r="BMW129" s="70">
        <v>0</v>
      </c>
      <c r="BMX129" s="70">
        <v>0</v>
      </c>
      <c r="BMY129" s="70">
        <v>0</v>
      </c>
      <c r="BMZ129" s="70">
        <v>0</v>
      </c>
      <c r="BNA129" s="70">
        <v>0</v>
      </c>
      <c r="BNB129" s="70">
        <v>0</v>
      </c>
      <c r="BNC129" s="70">
        <v>0</v>
      </c>
      <c r="BND129" s="70">
        <v>0</v>
      </c>
      <c r="BNE129" s="70">
        <v>0</v>
      </c>
      <c r="BNF129" s="70">
        <v>0</v>
      </c>
      <c r="BNG129" s="70">
        <v>0</v>
      </c>
      <c r="BNH129" s="70">
        <v>0</v>
      </c>
      <c r="BNI129" s="70">
        <v>0</v>
      </c>
      <c r="BNJ129" s="70">
        <v>0</v>
      </c>
      <c r="BNK129" s="70">
        <v>0</v>
      </c>
      <c r="BNL129" s="70">
        <v>0</v>
      </c>
      <c r="BNM129" s="70">
        <v>0</v>
      </c>
      <c r="BNN129" s="70">
        <v>0</v>
      </c>
      <c r="BNO129" s="70">
        <v>0</v>
      </c>
      <c r="BNP129" s="70">
        <v>0</v>
      </c>
      <c r="BNQ129" s="70">
        <v>0</v>
      </c>
      <c r="BNR129" s="70">
        <v>0</v>
      </c>
      <c r="BNS129" s="70">
        <v>0</v>
      </c>
      <c r="BNT129" s="70">
        <v>0</v>
      </c>
      <c r="BNU129" s="70">
        <v>0</v>
      </c>
      <c r="BNV129" s="70">
        <v>0</v>
      </c>
      <c r="BNW129" s="70">
        <v>0</v>
      </c>
      <c r="BNX129" s="70">
        <v>0</v>
      </c>
      <c r="BNY129" s="70">
        <v>0</v>
      </c>
      <c r="BNZ129" s="70">
        <v>0</v>
      </c>
      <c r="BOA129" s="70">
        <v>0</v>
      </c>
      <c r="BOB129" s="70">
        <v>0</v>
      </c>
      <c r="BOC129" s="70">
        <v>0</v>
      </c>
      <c r="BOD129" s="70">
        <v>0</v>
      </c>
      <c r="BOE129" s="70">
        <v>0</v>
      </c>
      <c r="BOF129" s="70">
        <v>0</v>
      </c>
      <c r="BOG129" s="70">
        <v>0</v>
      </c>
      <c r="BOH129" s="70">
        <v>0</v>
      </c>
      <c r="BOI129" s="70">
        <v>0</v>
      </c>
      <c r="BOJ129" s="70">
        <v>0</v>
      </c>
      <c r="BOK129" s="70">
        <v>0</v>
      </c>
      <c r="BOL129" s="70">
        <v>0</v>
      </c>
      <c r="BOM129" s="70">
        <v>0</v>
      </c>
      <c r="BON129" s="70">
        <v>0</v>
      </c>
      <c r="BOO129" s="70">
        <v>0</v>
      </c>
      <c r="BOP129" s="70">
        <v>0</v>
      </c>
      <c r="BOQ129" s="70">
        <v>0</v>
      </c>
      <c r="BOR129" s="70">
        <v>0</v>
      </c>
      <c r="BOS129" s="70">
        <v>0</v>
      </c>
      <c r="BOT129" s="70">
        <v>0</v>
      </c>
      <c r="BOU129" s="70">
        <v>0</v>
      </c>
      <c r="BOV129" s="70">
        <v>0</v>
      </c>
      <c r="BOW129" s="70">
        <v>0</v>
      </c>
      <c r="BOX129" s="70">
        <v>0</v>
      </c>
      <c r="BOY129" s="70">
        <v>0</v>
      </c>
      <c r="BOZ129" s="70">
        <v>0</v>
      </c>
      <c r="BPA129" s="70">
        <v>0</v>
      </c>
      <c r="BPB129" s="70">
        <v>0</v>
      </c>
      <c r="BPC129" s="70">
        <v>0</v>
      </c>
      <c r="BPD129" s="70">
        <v>0</v>
      </c>
      <c r="BPE129" s="70">
        <v>0</v>
      </c>
      <c r="BPF129" s="70">
        <v>0</v>
      </c>
      <c r="BPG129" s="70">
        <v>0</v>
      </c>
      <c r="BPH129" s="70">
        <v>0</v>
      </c>
      <c r="BPI129" s="70">
        <v>0</v>
      </c>
      <c r="BPJ129" s="70">
        <v>0</v>
      </c>
      <c r="BPK129" s="70">
        <v>0</v>
      </c>
      <c r="BPL129" s="70">
        <v>0</v>
      </c>
      <c r="BPM129" s="70">
        <v>0</v>
      </c>
      <c r="BPN129" s="70">
        <v>0</v>
      </c>
      <c r="BPO129" s="70">
        <v>0</v>
      </c>
      <c r="BPP129" s="70">
        <v>0</v>
      </c>
      <c r="BPQ129" s="70">
        <v>0</v>
      </c>
      <c r="BPR129" s="70">
        <v>0</v>
      </c>
      <c r="BPS129" s="70">
        <v>0</v>
      </c>
      <c r="BPT129" s="70">
        <v>0</v>
      </c>
      <c r="BPU129" s="70">
        <v>0</v>
      </c>
      <c r="BPV129" s="70">
        <v>0</v>
      </c>
      <c r="BPW129" s="70">
        <v>0</v>
      </c>
      <c r="BPX129" s="70">
        <v>0</v>
      </c>
      <c r="BPY129" s="70">
        <v>0</v>
      </c>
      <c r="BPZ129" s="70">
        <v>0</v>
      </c>
      <c r="BQA129" s="70">
        <v>0</v>
      </c>
      <c r="BQB129" s="70">
        <v>0</v>
      </c>
      <c r="BQC129" s="70">
        <v>0</v>
      </c>
      <c r="BQD129" s="70">
        <v>0</v>
      </c>
      <c r="BQE129" s="70">
        <v>0</v>
      </c>
      <c r="BQF129" s="70">
        <v>0</v>
      </c>
      <c r="BQG129" s="70">
        <v>0</v>
      </c>
      <c r="BQH129" s="70">
        <v>0</v>
      </c>
      <c r="BQI129" s="70">
        <v>0</v>
      </c>
      <c r="BQJ129" s="70">
        <v>0</v>
      </c>
      <c r="BQK129" s="70">
        <v>0</v>
      </c>
      <c r="BQL129" s="70">
        <v>0</v>
      </c>
      <c r="BQM129" s="70">
        <v>0</v>
      </c>
      <c r="BQN129" s="70">
        <v>0</v>
      </c>
      <c r="BQO129" s="70">
        <v>0</v>
      </c>
      <c r="BQP129" s="70">
        <v>0</v>
      </c>
      <c r="BQQ129" s="70">
        <v>0</v>
      </c>
      <c r="BQR129" s="70">
        <v>0</v>
      </c>
      <c r="BQS129" s="70">
        <v>0</v>
      </c>
      <c r="BQT129" s="70">
        <v>0</v>
      </c>
      <c r="BQU129" s="70">
        <v>0</v>
      </c>
      <c r="BQV129" s="70">
        <v>0</v>
      </c>
      <c r="BQW129" s="70">
        <v>0</v>
      </c>
      <c r="BQX129" s="70">
        <v>0</v>
      </c>
      <c r="BQY129" s="70">
        <v>0</v>
      </c>
      <c r="BQZ129" s="70">
        <v>0</v>
      </c>
      <c r="BRA129" s="70">
        <v>0</v>
      </c>
      <c r="BRB129" s="70">
        <v>0</v>
      </c>
      <c r="BRC129" s="70">
        <v>0</v>
      </c>
      <c r="BRD129" s="70">
        <v>0</v>
      </c>
      <c r="BRE129" s="70">
        <v>0</v>
      </c>
      <c r="BRF129" s="70">
        <v>0</v>
      </c>
      <c r="BRG129" s="70">
        <v>0</v>
      </c>
      <c r="BRH129" s="70">
        <v>0</v>
      </c>
      <c r="BRI129" s="70">
        <v>0</v>
      </c>
      <c r="BRJ129" s="70">
        <v>0</v>
      </c>
      <c r="BRK129" s="70">
        <v>0</v>
      </c>
      <c r="BRL129" s="70">
        <v>0</v>
      </c>
      <c r="BRM129" s="70">
        <v>0</v>
      </c>
      <c r="BRN129" s="70">
        <v>0</v>
      </c>
      <c r="BRO129" s="70">
        <v>0</v>
      </c>
      <c r="BRP129" s="70">
        <v>0</v>
      </c>
      <c r="BRQ129" s="70">
        <v>0</v>
      </c>
      <c r="BRR129" s="70">
        <v>0</v>
      </c>
      <c r="BRS129" s="70">
        <v>0</v>
      </c>
      <c r="BRT129" s="70">
        <v>0</v>
      </c>
      <c r="BRU129" s="70">
        <v>0</v>
      </c>
      <c r="BRV129" s="70">
        <v>0</v>
      </c>
      <c r="BRW129" s="70">
        <v>0</v>
      </c>
      <c r="BRX129" s="70">
        <v>0</v>
      </c>
      <c r="BRY129" s="70">
        <v>0</v>
      </c>
      <c r="BRZ129" s="70">
        <v>0</v>
      </c>
      <c r="BSA129" s="70">
        <v>0</v>
      </c>
      <c r="BSB129" s="70">
        <v>0</v>
      </c>
      <c r="BSC129" s="70">
        <v>0</v>
      </c>
      <c r="BSD129" s="70">
        <v>0</v>
      </c>
      <c r="BSE129" s="70">
        <v>0</v>
      </c>
      <c r="BSF129" s="70">
        <v>0</v>
      </c>
      <c r="BSG129" s="70">
        <v>0</v>
      </c>
      <c r="BSH129" s="70">
        <v>0</v>
      </c>
      <c r="BSI129" s="70">
        <v>0</v>
      </c>
      <c r="BSJ129" s="70">
        <v>0</v>
      </c>
      <c r="BSK129" s="70">
        <v>0</v>
      </c>
      <c r="BSL129" s="70">
        <v>0</v>
      </c>
      <c r="BSM129" s="70">
        <v>0</v>
      </c>
      <c r="BSN129" s="70">
        <v>0</v>
      </c>
      <c r="BSO129" s="70">
        <v>0</v>
      </c>
      <c r="BSP129" s="70">
        <v>0</v>
      </c>
      <c r="BSQ129" s="70">
        <v>0</v>
      </c>
      <c r="BSR129" s="70">
        <v>0</v>
      </c>
      <c r="BSS129" s="70">
        <v>0</v>
      </c>
      <c r="BST129" s="70">
        <v>0</v>
      </c>
      <c r="BSU129" s="70">
        <v>0</v>
      </c>
      <c r="BSV129" s="70">
        <v>0</v>
      </c>
      <c r="BSW129" s="70">
        <v>0</v>
      </c>
      <c r="BSX129" s="70">
        <v>0</v>
      </c>
      <c r="BSY129" s="70">
        <v>0</v>
      </c>
      <c r="BSZ129" s="70">
        <v>0</v>
      </c>
      <c r="BTA129" s="70">
        <v>0</v>
      </c>
      <c r="BTB129" s="70">
        <v>0</v>
      </c>
      <c r="BTC129" s="70">
        <v>0</v>
      </c>
      <c r="BTD129" s="70">
        <v>0</v>
      </c>
      <c r="BTE129" s="70">
        <v>0</v>
      </c>
      <c r="BTF129" s="70">
        <v>0</v>
      </c>
      <c r="BTG129" s="70">
        <v>0</v>
      </c>
      <c r="BTH129" s="70">
        <v>0</v>
      </c>
      <c r="BTI129" s="70">
        <v>0</v>
      </c>
      <c r="BTJ129" s="70">
        <v>0</v>
      </c>
      <c r="BTK129" s="70">
        <v>0</v>
      </c>
      <c r="BTL129" s="70">
        <v>0</v>
      </c>
      <c r="BTM129" s="70">
        <v>0</v>
      </c>
      <c r="BTN129" s="70">
        <v>0</v>
      </c>
      <c r="BTO129" s="70">
        <v>0</v>
      </c>
      <c r="BTP129" s="70">
        <v>0</v>
      </c>
      <c r="BTQ129" s="70">
        <v>0</v>
      </c>
      <c r="BTR129" s="70">
        <v>0</v>
      </c>
      <c r="BTS129" s="70">
        <v>0</v>
      </c>
      <c r="BTT129" s="70">
        <v>0</v>
      </c>
      <c r="BTU129" s="70">
        <v>0</v>
      </c>
      <c r="BTV129" s="70">
        <v>0</v>
      </c>
      <c r="BTW129" s="70">
        <v>0</v>
      </c>
      <c r="BTX129" s="70">
        <v>0</v>
      </c>
      <c r="BTY129" s="70">
        <v>0</v>
      </c>
      <c r="BTZ129" s="70">
        <v>0</v>
      </c>
      <c r="BUA129" s="70">
        <v>0</v>
      </c>
      <c r="BUB129" s="70">
        <v>0</v>
      </c>
      <c r="BUC129" s="70">
        <v>0</v>
      </c>
      <c r="BUD129" s="70">
        <v>0</v>
      </c>
      <c r="BUE129" s="70">
        <v>0</v>
      </c>
      <c r="BUF129" s="70">
        <v>0</v>
      </c>
      <c r="BUG129" s="70">
        <v>0</v>
      </c>
      <c r="BUH129" s="70">
        <v>0</v>
      </c>
      <c r="BUI129" s="70">
        <v>0</v>
      </c>
      <c r="BUJ129" s="70">
        <v>0</v>
      </c>
      <c r="BUK129" s="70">
        <v>0</v>
      </c>
      <c r="BUL129" s="70">
        <v>0</v>
      </c>
      <c r="BUM129" s="70">
        <v>0</v>
      </c>
      <c r="BUN129" s="70">
        <v>0</v>
      </c>
      <c r="BUO129" s="70">
        <v>0</v>
      </c>
      <c r="BUP129" s="70">
        <v>0</v>
      </c>
      <c r="BUQ129" s="70">
        <v>0</v>
      </c>
      <c r="BUR129" s="70">
        <v>0</v>
      </c>
      <c r="BUS129" s="70">
        <v>0</v>
      </c>
      <c r="BUT129" s="70">
        <v>0</v>
      </c>
      <c r="BUU129" s="70">
        <v>0</v>
      </c>
      <c r="BUV129" s="70">
        <v>0</v>
      </c>
      <c r="BUW129" s="70">
        <v>0</v>
      </c>
      <c r="BUX129" s="70">
        <v>0</v>
      </c>
      <c r="BUY129" s="70">
        <v>0</v>
      </c>
      <c r="BUZ129" s="70">
        <v>0</v>
      </c>
      <c r="BVA129" s="70">
        <v>0</v>
      </c>
      <c r="BVB129" s="70">
        <v>0</v>
      </c>
      <c r="BVC129" s="70">
        <v>0</v>
      </c>
      <c r="BVD129" s="70">
        <v>0</v>
      </c>
      <c r="BVE129" s="70">
        <v>0</v>
      </c>
      <c r="BVF129" s="70">
        <v>0</v>
      </c>
      <c r="BVG129" s="70">
        <v>0</v>
      </c>
      <c r="BVH129" s="70">
        <v>0</v>
      </c>
      <c r="BVI129" s="70">
        <v>0</v>
      </c>
      <c r="BVJ129" s="70">
        <v>0</v>
      </c>
      <c r="BVK129" s="70">
        <v>0</v>
      </c>
      <c r="BVL129" s="70">
        <v>0</v>
      </c>
      <c r="BVM129" s="70">
        <v>0</v>
      </c>
      <c r="BVN129" s="70">
        <v>0</v>
      </c>
      <c r="BVO129" s="70">
        <v>0</v>
      </c>
      <c r="BVP129" s="70">
        <v>0</v>
      </c>
      <c r="BVQ129" s="70">
        <v>0</v>
      </c>
      <c r="BVR129" s="70">
        <v>0</v>
      </c>
      <c r="BVS129" s="70">
        <v>0</v>
      </c>
      <c r="BVT129" s="70">
        <v>0</v>
      </c>
      <c r="BVU129" s="70">
        <v>0</v>
      </c>
      <c r="BVV129" s="70">
        <v>0</v>
      </c>
      <c r="BVW129" s="70">
        <v>0</v>
      </c>
      <c r="BVX129" s="70">
        <v>0</v>
      </c>
      <c r="BVY129" s="70">
        <v>0</v>
      </c>
      <c r="BVZ129" s="70">
        <v>0</v>
      </c>
      <c r="BWA129" s="70">
        <v>0</v>
      </c>
      <c r="BWB129" s="70">
        <v>0</v>
      </c>
      <c r="BWC129" s="70">
        <v>0</v>
      </c>
      <c r="BWD129" s="70">
        <v>0</v>
      </c>
      <c r="BWE129" s="70">
        <v>0</v>
      </c>
      <c r="BWF129" s="70">
        <v>0</v>
      </c>
      <c r="BWG129" s="70">
        <v>0</v>
      </c>
      <c r="BWH129" s="70">
        <v>0</v>
      </c>
      <c r="BWI129" s="70">
        <v>0</v>
      </c>
      <c r="BWJ129" s="70">
        <v>0</v>
      </c>
      <c r="BWK129" s="70">
        <v>0</v>
      </c>
      <c r="BWL129" s="70">
        <v>0</v>
      </c>
      <c r="BWM129" s="70">
        <v>0</v>
      </c>
      <c r="BWN129" s="70">
        <v>0</v>
      </c>
      <c r="BWO129" s="70">
        <v>0</v>
      </c>
      <c r="BWP129" s="70">
        <v>0</v>
      </c>
      <c r="BWQ129" s="70">
        <v>0</v>
      </c>
      <c r="BWR129" s="70">
        <v>0</v>
      </c>
      <c r="BWS129" s="70">
        <v>0</v>
      </c>
      <c r="BWT129" s="70">
        <v>0</v>
      </c>
      <c r="BWU129" s="70">
        <v>0</v>
      </c>
      <c r="BWV129" s="70">
        <v>0</v>
      </c>
      <c r="BWW129" s="70">
        <v>0</v>
      </c>
      <c r="BWX129" s="70">
        <v>0</v>
      </c>
      <c r="BWY129" s="70">
        <v>0</v>
      </c>
      <c r="BWZ129" s="70">
        <v>0</v>
      </c>
      <c r="BXA129" s="70">
        <v>0</v>
      </c>
      <c r="BXB129" s="70">
        <v>0</v>
      </c>
      <c r="BXC129" s="70">
        <v>0</v>
      </c>
      <c r="BXD129" s="70">
        <v>0</v>
      </c>
      <c r="BXE129" s="70">
        <v>0</v>
      </c>
      <c r="BXF129" s="70">
        <v>0</v>
      </c>
      <c r="BXG129" s="70">
        <v>0</v>
      </c>
      <c r="BXH129" s="70">
        <v>0</v>
      </c>
      <c r="BXI129" s="70">
        <v>0</v>
      </c>
      <c r="BXJ129" s="70">
        <v>0</v>
      </c>
      <c r="BXK129" s="70">
        <v>0</v>
      </c>
      <c r="BXL129" s="70">
        <v>0</v>
      </c>
      <c r="BXM129" s="70">
        <v>0</v>
      </c>
      <c r="BXN129" s="70">
        <v>0</v>
      </c>
      <c r="BXO129" s="70">
        <v>0</v>
      </c>
      <c r="BXP129" s="70">
        <v>0</v>
      </c>
      <c r="BXQ129" s="70">
        <v>0</v>
      </c>
      <c r="BXR129" s="70">
        <v>0</v>
      </c>
      <c r="BXS129" s="70">
        <v>0</v>
      </c>
      <c r="BXT129" s="70">
        <v>0</v>
      </c>
      <c r="BXU129" s="70">
        <v>0</v>
      </c>
      <c r="BXV129" s="70">
        <v>0</v>
      </c>
      <c r="BXW129" s="70">
        <v>0</v>
      </c>
      <c r="BXX129" s="70">
        <v>0</v>
      </c>
      <c r="BXY129" s="70">
        <v>0</v>
      </c>
      <c r="BXZ129" s="70">
        <v>0</v>
      </c>
      <c r="BYA129" s="70">
        <v>0</v>
      </c>
      <c r="BYB129" s="70">
        <v>0</v>
      </c>
      <c r="BYC129" s="70">
        <v>0</v>
      </c>
      <c r="BYD129" s="70">
        <v>0</v>
      </c>
      <c r="BYE129" s="70">
        <v>0</v>
      </c>
      <c r="BYF129" s="70">
        <v>0</v>
      </c>
      <c r="BYG129" s="70">
        <v>0</v>
      </c>
      <c r="BYH129" s="70">
        <v>0</v>
      </c>
      <c r="BYI129" s="70">
        <v>0</v>
      </c>
      <c r="BYJ129" s="70">
        <v>0</v>
      </c>
      <c r="BYK129" s="70">
        <v>0</v>
      </c>
      <c r="BYL129" s="70">
        <v>0</v>
      </c>
      <c r="BYM129" s="70">
        <v>0</v>
      </c>
      <c r="BYN129" s="70">
        <v>0</v>
      </c>
      <c r="BYO129" s="70">
        <v>0</v>
      </c>
      <c r="BYP129" s="70">
        <v>0</v>
      </c>
      <c r="BYQ129" s="70">
        <v>0</v>
      </c>
      <c r="BYR129" s="70">
        <v>0</v>
      </c>
      <c r="BYS129" s="70">
        <v>0</v>
      </c>
      <c r="BYT129" s="70">
        <v>0</v>
      </c>
      <c r="BYU129" s="70">
        <v>0</v>
      </c>
      <c r="BYV129" s="70">
        <v>0</v>
      </c>
      <c r="BYW129" s="70">
        <v>0</v>
      </c>
      <c r="BYX129" s="70">
        <v>0</v>
      </c>
      <c r="BYY129" s="70">
        <v>0</v>
      </c>
      <c r="BYZ129" s="70">
        <v>0</v>
      </c>
      <c r="BZA129" s="70">
        <v>0</v>
      </c>
      <c r="BZB129" s="70">
        <v>0</v>
      </c>
      <c r="BZC129" s="70">
        <v>0</v>
      </c>
      <c r="BZD129" s="70">
        <v>0</v>
      </c>
      <c r="BZE129" s="70">
        <v>0</v>
      </c>
      <c r="BZF129" s="70">
        <v>0</v>
      </c>
      <c r="BZG129" s="70">
        <v>0</v>
      </c>
      <c r="BZH129" s="70">
        <v>0</v>
      </c>
      <c r="BZI129" s="70">
        <v>0</v>
      </c>
      <c r="BZJ129" s="70">
        <v>0</v>
      </c>
      <c r="BZK129" s="70">
        <v>0</v>
      </c>
      <c r="BZL129" s="70">
        <v>0</v>
      </c>
      <c r="BZM129" s="70">
        <v>0</v>
      </c>
      <c r="BZN129" s="70">
        <v>0</v>
      </c>
      <c r="BZO129" s="70">
        <v>0</v>
      </c>
      <c r="BZP129" s="70">
        <v>0</v>
      </c>
      <c r="BZQ129" s="70">
        <v>0</v>
      </c>
      <c r="BZR129" s="70">
        <v>0</v>
      </c>
      <c r="BZS129" s="70">
        <v>0</v>
      </c>
      <c r="BZT129" s="70">
        <v>0</v>
      </c>
      <c r="BZU129" s="70">
        <v>0</v>
      </c>
      <c r="BZV129" s="70">
        <v>0</v>
      </c>
      <c r="BZW129" s="70">
        <v>0</v>
      </c>
      <c r="BZX129" s="70">
        <v>0</v>
      </c>
      <c r="BZY129" s="70">
        <v>0</v>
      </c>
      <c r="BZZ129" s="70">
        <v>0</v>
      </c>
      <c r="CAA129" s="70">
        <v>0</v>
      </c>
      <c r="CAB129" s="70">
        <v>0</v>
      </c>
      <c r="CAC129" s="70">
        <v>0</v>
      </c>
      <c r="CAD129" s="70">
        <v>0</v>
      </c>
      <c r="CAE129" s="70">
        <v>0</v>
      </c>
      <c r="CAF129" s="70">
        <v>0</v>
      </c>
      <c r="CAG129" s="70">
        <v>0</v>
      </c>
      <c r="CAH129" s="70">
        <v>0</v>
      </c>
      <c r="CAI129" s="70">
        <v>0</v>
      </c>
      <c r="CAJ129" s="70">
        <v>0</v>
      </c>
      <c r="CAK129" s="70">
        <v>0</v>
      </c>
      <c r="CAL129" s="70">
        <v>0</v>
      </c>
      <c r="CAM129" s="70">
        <v>0</v>
      </c>
      <c r="CAN129" s="70">
        <v>0</v>
      </c>
      <c r="CAO129" s="70">
        <v>0</v>
      </c>
      <c r="CAP129" s="70">
        <v>0</v>
      </c>
      <c r="CAQ129" s="70">
        <v>0</v>
      </c>
      <c r="CAR129" s="70">
        <v>0</v>
      </c>
      <c r="CAS129" s="70">
        <v>0</v>
      </c>
      <c r="CAT129" s="70">
        <v>0</v>
      </c>
      <c r="CAU129" s="70">
        <v>0</v>
      </c>
      <c r="CAV129" s="70">
        <v>0</v>
      </c>
      <c r="CAW129" s="70">
        <v>0</v>
      </c>
      <c r="CAX129" s="70">
        <v>0</v>
      </c>
      <c r="CAY129" s="70">
        <v>0</v>
      </c>
      <c r="CAZ129" s="70">
        <v>0</v>
      </c>
      <c r="CBA129" s="70">
        <v>0</v>
      </c>
      <c r="CBB129" s="70">
        <v>0</v>
      </c>
      <c r="CBC129" s="70">
        <v>0</v>
      </c>
      <c r="CBD129" s="70">
        <v>0</v>
      </c>
      <c r="CBE129" s="70">
        <v>0</v>
      </c>
      <c r="CBF129" s="70">
        <v>0</v>
      </c>
      <c r="CBG129" s="70">
        <v>0</v>
      </c>
      <c r="CBH129" s="70">
        <v>0</v>
      </c>
      <c r="CBI129" s="70">
        <v>0</v>
      </c>
      <c r="CBJ129" s="70">
        <v>0</v>
      </c>
      <c r="CBK129" s="70">
        <v>0</v>
      </c>
      <c r="CBL129" s="70">
        <v>0</v>
      </c>
      <c r="CBM129" s="70">
        <v>0</v>
      </c>
      <c r="CBN129" s="70">
        <v>0</v>
      </c>
      <c r="CBO129" s="70">
        <v>0</v>
      </c>
      <c r="CBP129" s="70">
        <v>0</v>
      </c>
      <c r="CBQ129" s="70">
        <v>0</v>
      </c>
      <c r="CBR129" s="70">
        <v>0</v>
      </c>
      <c r="CBS129" s="70">
        <v>0</v>
      </c>
      <c r="CBT129" s="70">
        <v>0</v>
      </c>
      <c r="CBU129" s="70">
        <v>0</v>
      </c>
      <c r="CBV129" s="70">
        <v>0</v>
      </c>
      <c r="CBW129" s="70">
        <v>0</v>
      </c>
      <c r="CBX129" s="70">
        <v>0</v>
      </c>
      <c r="CBY129" s="70">
        <v>0</v>
      </c>
      <c r="CBZ129" s="70">
        <v>0</v>
      </c>
      <c r="CCA129" s="70">
        <v>0</v>
      </c>
      <c r="CCB129" s="70">
        <v>0</v>
      </c>
      <c r="CCC129" s="70">
        <v>0</v>
      </c>
      <c r="CCD129" s="70">
        <v>0</v>
      </c>
      <c r="CCE129" s="70">
        <v>0</v>
      </c>
      <c r="CCF129" s="70">
        <v>0</v>
      </c>
      <c r="CCG129" s="70">
        <v>0</v>
      </c>
      <c r="CCH129" s="70">
        <v>0</v>
      </c>
      <c r="CCI129" s="70">
        <v>0</v>
      </c>
      <c r="CCJ129" s="70">
        <v>0</v>
      </c>
      <c r="CCK129" s="70">
        <v>0</v>
      </c>
      <c r="CCL129" s="70">
        <v>0</v>
      </c>
      <c r="CCM129" s="70">
        <v>0</v>
      </c>
      <c r="CCN129" s="70">
        <v>0</v>
      </c>
      <c r="CCO129" s="70">
        <v>0</v>
      </c>
      <c r="CCP129" s="70">
        <v>0</v>
      </c>
      <c r="CCQ129" s="70">
        <v>0</v>
      </c>
      <c r="CCR129" s="70">
        <v>0</v>
      </c>
      <c r="CCS129" s="70">
        <v>0</v>
      </c>
      <c r="CCT129" s="70">
        <v>0</v>
      </c>
      <c r="CCU129" s="70">
        <v>0</v>
      </c>
      <c r="CCV129" s="70">
        <v>0</v>
      </c>
      <c r="CCW129" s="70">
        <v>0</v>
      </c>
      <c r="CCX129" s="70">
        <v>0</v>
      </c>
      <c r="CCY129" s="70">
        <v>0</v>
      </c>
      <c r="CCZ129" s="70">
        <v>0</v>
      </c>
      <c r="CDA129" s="70">
        <v>0</v>
      </c>
      <c r="CDB129" s="70">
        <v>0</v>
      </c>
      <c r="CDC129" s="70">
        <v>0</v>
      </c>
      <c r="CDD129" s="70">
        <v>0</v>
      </c>
      <c r="CDE129" s="70">
        <v>0</v>
      </c>
      <c r="CDF129" s="70">
        <v>0</v>
      </c>
      <c r="CDG129" s="70">
        <v>0</v>
      </c>
      <c r="CDH129" s="70">
        <v>0</v>
      </c>
      <c r="CDI129" s="70">
        <v>0</v>
      </c>
      <c r="CDJ129" s="70">
        <v>0</v>
      </c>
      <c r="CDK129" s="70">
        <v>0</v>
      </c>
      <c r="CDL129" s="70">
        <v>0</v>
      </c>
      <c r="CDM129" s="70">
        <v>0</v>
      </c>
      <c r="CDN129" s="70">
        <v>0</v>
      </c>
      <c r="CDO129" s="70">
        <v>0</v>
      </c>
      <c r="CDP129" s="70">
        <v>0</v>
      </c>
      <c r="CDQ129" s="70">
        <v>0</v>
      </c>
      <c r="CDR129" s="70">
        <v>0</v>
      </c>
      <c r="CDS129" s="70">
        <v>0</v>
      </c>
      <c r="CDT129" s="70">
        <v>0</v>
      </c>
      <c r="CDU129" s="70">
        <v>0</v>
      </c>
      <c r="CDV129" s="70">
        <v>0</v>
      </c>
      <c r="CDW129" s="70">
        <v>0</v>
      </c>
      <c r="CDX129" s="70">
        <v>0</v>
      </c>
      <c r="CDY129" s="70">
        <v>0</v>
      </c>
      <c r="CDZ129" s="70">
        <v>0</v>
      </c>
      <c r="CEA129" s="70">
        <v>0</v>
      </c>
      <c r="CEB129" s="70">
        <v>0</v>
      </c>
      <c r="CEC129" s="70">
        <v>0</v>
      </c>
      <c r="CED129" s="70">
        <v>0</v>
      </c>
      <c r="CEE129" s="70">
        <v>0</v>
      </c>
      <c r="CEF129" s="70">
        <v>0</v>
      </c>
      <c r="CEG129" s="70">
        <v>0</v>
      </c>
      <c r="CEH129" s="70">
        <v>0</v>
      </c>
      <c r="CEI129" s="70">
        <v>0</v>
      </c>
      <c r="CEJ129" s="70">
        <v>0</v>
      </c>
      <c r="CEK129" s="70">
        <v>0</v>
      </c>
      <c r="CEL129" s="70">
        <v>0</v>
      </c>
      <c r="CEM129" s="70">
        <v>0</v>
      </c>
      <c r="CEN129" s="70">
        <v>0</v>
      </c>
      <c r="CEO129" s="70">
        <v>0</v>
      </c>
      <c r="CEP129" s="70">
        <v>0</v>
      </c>
      <c r="CEQ129" s="70">
        <v>0</v>
      </c>
      <c r="CER129" s="70">
        <v>0</v>
      </c>
      <c r="CES129" s="70">
        <v>0</v>
      </c>
      <c r="CET129" s="70">
        <v>0</v>
      </c>
      <c r="CEU129" s="70">
        <v>0</v>
      </c>
      <c r="CEV129" s="70">
        <v>0</v>
      </c>
      <c r="CEW129" s="70">
        <v>0</v>
      </c>
      <c r="CEX129" s="70">
        <v>0</v>
      </c>
      <c r="CEY129" s="70">
        <v>0</v>
      </c>
      <c r="CEZ129" s="70">
        <v>0</v>
      </c>
      <c r="CFA129" s="70">
        <v>0</v>
      </c>
      <c r="CFB129" s="70">
        <v>0</v>
      </c>
      <c r="CFC129" s="70">
        <v>0</v>
      </c>
      <c r="CFD129" s="70">
        <v>0</v>
      </c>
      <c r="CFE129" s="70">
        <v>0</v>
      </c>
      <c r="CFF129" s="70">
        <v>0</v>
      </c>
      <c r="CFG129" s="70">
        <v>0</v>
      </c>
      <c r="CFH129" s="70">
        <v>0</v>
      </c>
      <c r="CFI129" s="70">
        <v>0</v>
      </c>
      <c r="CFJ129" s="70">
        <v>0</v>
      </c>
      <c r="CFK129" s="70">
        <v>0</v>
      </c>
      <c r="CFL129" s="70">
        <v>0</v>
      </c>
      <c r="CFM129" s="70">
        <v>0</v>
      </c>
      <c r="CFN129" s="70">
        <v>0</v>
      </c>
      <c r="CFO129" s="70">
        <v>0</v>
      </c>
      <c r="CFP129" s="70">
        <v>0</v>
      </c>
      <c r="CFQ129" s="70">
        <v>0</v>
      </c>
      <c r="CFR129" s="70">
        <v>0</v>
      </c>
      <c r="CFS129" s="70">
        <v>0</v>
      </c>
      <c r="CFT129" s="70">
        <v>0</v>
      </c>
      <c r="CFU129" s="70">
        <v>0</v>
      </c>
      <c r="CFV129" s="70">
        <v>0</v>
      </c>
      <c r="CFW129" s="70">
        <v>0</v>
      </c>
      <c r="CFX129" s="70">
        <v>0</v>
      </c>
      <c r="CFY129" s="70">
        <v>0</v>
      </c>
      <c r="CFZ129" s="70">
        <v>0</v>
      </c>
      <c r="CGA129" s="70">
        <v>0</v>
      </c>
      <c r="CGB129" s="70">
        <v>0</v>
      </c>
      <c r="CGC129" s="70">
        <v>0</v>
      </c>
      <c r="CGD129" s="70">
        <v>0</v>
      </c>
      <c r="CGE129" s="70">
        <v>0</v>
      </c>
      <c r="CGF129" s="70">
        <v>0</v>
      </c>
      <c r="CGG129" s="70">
        <v>0</v>
      </c>
      <c r="CGH129" s="70">
        <v>0</v>
      </c>
      <c r="CGI129" s="70">
        <v>0</v>
      </c>
      <c r="CGJ129" s="70">
        <v>0</v>
      </c>
      <c r="CGK129" s="70">
        <v>0</v>
      </c>
      <c r="CGL129" s="70">
        <v>0</v>
      </c>
      <c r="CGM129" s="70">
        <v>0</v>
      </c>
      <c r="CGN129" s="70">
        <v>0</v>
      </c>
      <c r="CGO129" s="70">
        <v>0</v>
      </c>
      <c r="CGP129" s="70">
        <v>0</v>
      </c>
      <c r="CGQ129" s="70">
        <v>0</v>
      </c>
      <c r="CGR129" s="70">
        <v>0</v>
      </c>
      <c r="CGS129" s="70">
        <v>0</v>
      </c>
      <c r="CGT129" s="70">
        <v>0</v>
      </c>
      <c r="CGU129" s="70">
        <v>0</v>
      </c>
      <c r="CGV129" s="70">
        <v>0</v>
      </c>
      <c r="CGW129" s="70">
        <v>0</v>
      </c>
      <c r="CGX129" s="70">
        <v>0</v>
      </c>
      <c r="CGY129" s="70">
        <v>0</v>
      </c>
      <c r="CGZ129" s="70">
        <v>0</v>
      </c>
      <c r="CHA129" s="70">
        <v>0</v>
      </c>
      <c r="CHB129" s="70">
        <v>0</v>
      </c>
      <c r="CHC129" s="70">
        <v>0</v>
      </c>
      <c r="CHD129" s="70">
        <v>0</v>
      </c>
      <c r="CHE129" s="70">
        <v>0</v>
      </c>
      <c r="CHF129" s="70">
        <v>0</v>
      </c>
      <c r="CHG129" s="70">
        <v>0</v>
      </c>
      <c r="CHH129" s="70">
        <v>0</v>
      </c>
      <c r="CHI129" s="70">
        <v>0</v>
      </c>
      <c r="CHJ129" s="70">
        <v>0</v>
      </c>
      <c r="CHK129" s="70">
        <v>0</v>
      </c>
      <c r="CHL129" s="70">
        <v>0</v>
      </c>
      <c r="CHM129" s="70">
        <v>0</v>
      </c>
      <c r="CHN129" s="70">
        <v>0</v>
      </c>
      <c r="CHO129" s="70">
        <v>0</v>
      </c>
      <c r="CHP129" s="70">
        <v>0</v>
      </c>
      <c r="CHQ129" s="70">
        <v>0</v>
      </c>
      <c r="CHR129" s="70">
        <v>0</v>
      </c>
      <c r="CHS129" s="70">
        <v>0</v>
      </c>
      <c r="CHT129" s="70">
        <v>0</v>
      </c>
      <c r="CHU129" s="70">
        <v>0</v>
      </c>
      <c r="CHV129" s="70">
        <v>0</v>
      </c>
      <c r="CHW129" s="70">
        <v>0</v>
      </c>
      <c r="CHX129" s="70">
        <v>0</v>
      </c>
      <c r="CHY129" s="70">
        <v>0</v>
      </c>
      <c r="CHZ129" s="70">
        <v>0</v>
      </c>
      <c r="CIA129" s="70">
        <v>0</v>
      </c>
      <c r="CIB129" s="70">
        <v>0</v>
      </c>
      <c r="CIC129" s="70">
        <v>0</v>
      </c>
      <c r="CID129" s="70">
        <v>0</v>
      </c>
      <c r="CIE129" s="70">
        <v>0</v>
      </c>
      <c r="CIF129" s="70">
        <v>0</v>
      </c>
      <c r="CIG129" s="70">
        <v>0</v>
      </c>
      <c r="CIH129" s="70">
        <v>0</v>
      </c>
      <c r="CII129" s="70">
        <v>0</v>
      </c>
      <c r="CIJ129" s="70">
        <v>0</v>
      </c>
      <c r="CIK129" s="70">
        <v>0</v>
      </c>
      <c r="CIL129" s="70">
        <v>0</v>
      </c>
      <c r="CIM129" s="70">
        <v>0</v>
      </c>
      <c r="CIN129" s="70">
        <v>0</v>
      </c>
      <c r="CIO129" s="70">
        <v>0</v>
      </c>
      <c r="CIP129" s="70">
        <v>0</v>
      </c>
      <c r="CIQ129" s="70">
        <v>0</v>
      </c>
      <c r="CIR129" s="70">
        <v>0</v>
      </c>
      <c r="CIS129" s="70">
        <v>0</v>
      </c>
      <c r="CIT129" s="70">
        <v>0</v>
      </c>
      <c r="CIU129" s="70">
        <v>0</v>
      </c>
      <c r="CIV129" s="70">
        <v>0</v>
      </c>
      <c r="CIW129" s="70">
        <v>0</v>
      </c>
      <c r="CIX129" s="70">
        <v>0</v>
      </c>
      <c r="CIY129" s="70">
        <v>0</v>
      </c>
      <c r="CIZ129" s="70">
        <v>0</v>
      </c>
      <c r="CJA129" s="70">
        <v>0</v>
      </c>
      <c r="CJB129" s="70">
        <v>0</v>
      </c>
      <c r="CJC129" s="70">
        <v>0</v>
      </c>
      <c r="CJD129" s="70">
        <v>0</v>
      </c>
      <c r="CJE129" s="70">
        <v>0</v>
      </c>
      <c r="CJF129" s="70">
        <v>0</v>
      </c>
      <c r="CJG129" s="70">
        <v>0</v>
      </c>
      <c r="CJH129" s="70">
        <v>0</v>
      </c>
      <c r="CJI129" s="70">
        <v>0</v>
      </c>
      <c r="CJJ129" s="70">
        <v>0</v>
      </c>
      <c r="CJK129" s="70">
        <v>0</v>
      </c>
      <c r="CJL129" s="70">
        <v>0</v>
      </c>
      <c r="CJM129" s="70">
        <v>0</v>
      </c>
      <c r="CJN129" s="70">
        <v>0</v>
      </c>
      <c r="CJO129" s="70">
        <v>0</v>
      </c>
      <c r="CJP129" s="70">
        <v>0</v>
      </c>
      <c r="CJQ129" s="70">
        <v>0</v>
      </c>
      <c r="CJR129" s="70">
        <v>0</v>
      </c>
      <c r="CJS129" s="70">
        <v>0</v>
      </c>
      <c r="CJT129" s="70">
        <v>0</v>
      </c>
      <c r="CJU129" s="70">
        <v>0</v>
      </c>
      <c r="CJV129" s="70">
        <v>0</v>
      </c>
      <c r="CJW129" s="70">
        <v>0</v>
      </c>
      <c r="CJX129" s="70">
        <v>0</v>
      </c>
      <c r="CJY129" s="70">
        <v>0</v>
      </c>
      <c r="CJZ129" s="70">
        <v>0</v>
      </c>
      <c r="CKA129" s="70">
        <v>0</v>
      </c>
      <c r="CKB129" s="70">
        <v>0</v>
      </c>
      <c r="CKC129" s="70">
        <v>0</v>
      </c>
      <c r="CKD129" s="70">
        <v>0</v>
      </c>
      <c r="CKE129" s="70">
        <v>0</v>
      </c>
      <c r="CKF129" s="70">
        <v>0</v>
      </c>
      <c r="CKG129" s="70">
        <v>0</v>
      </c>
      <c r="CKH129" s="70">
        <v>0</v>
      </c>
      <c r="CKI129" s="70">
        <v>0</v>
      </c>
      <c r="CKJ129" s="70">
        <v>0</v>
      </c>
      <c r="CKK129" s="70">
        <v>0</v>
      </c>
      <c r="CKL129" s="70">
        <v>0</v>
      </c>
      <c r="CKM129" s="70">
        <v>0</v>
      </c>
      <c r="CKN129" s="70">
        <v>0</v>
      </c>
      <c r="CKO129" s="70">
        <v>0</v>
      </c>
      <c r="CKP129" s="70">
        <v>0</v>
      </c>
      <c r="CKQ129" s="70">
        <v>0</v>
      </c>
      <c r="CKR129" s="70">
        <v>0</v>
      </c>
      <c r="CKS129" s="70">
        <v>0</v>
      </c>
      <c r="CKT129" s="70">
        <v>0</v>
      </c>
      <c r="CKU129" s="70">
        <v>0</v>
      </c>
      <c r="CKV129" s="70">
        <v>0</v>
      </c>
      <c r="CKW129" s="70">
        <v>0</v>
      </c>
      <c r="CKX129" s="70">
        <v>0</v>
      </c>
      <c r="CKY129" s="70">
        <v>0</v>
      </c>
      <c r="CKZ129" s="70">
        <v>0</v>
      </c>
      <c r="CLA129" s="70">
        <v>0</v>
      </c>
      <c r="CLB129" s="70">
        <v>0</v>
      </c>
      <c r="CLC129" s="70">
        <v>0</v>
      </c>
      <c r="CLD129" s="70">
        <v>0</v>
      </c>
      <c r="CLE129" s="70">
        <v>0</v>
      </c>
      <c r="CLF129" s="70">
        <v>0</v>
      </c>
      <c r="CLG129" s="70">
        <v>0</v>
      </c>
      <c r="CLH129" s="70">
        <v>0</v>
      </c>
      <c r="CLI129" s="70">
        <v>0</v>
      </c>
      <c r="CLJ129" s="70">
        <v>0</v>
      </c>
      <c r="CLK129" s="70">
        <v>0</v>
      </c>
      <c r="CLL129" s="70">
        <v>0</v>
      </c>
      <c r="CLM129" s="70">
        <v>0</v>
      </c>
      <c r="CLN129" s="70">
        <v>0</v>
      </c>
      <c r="CLO129" s="70">
        <v>0</v>
      </c>
      <c r="CLP129" s="70">
        <v>0</v>
      </c>
      <c r="CLQ129" s="70">
        <v>0</v>
      </c>
      <c r="CLR129" s="70">
        <v>0</v>
      </c>
      <c r="CLS129" s="70">
        <v>0</v>
      </c>
      <c r="CLT129" s="70">
        <v>0</v>
      </c>
      <c r="CLU129" s="70">
        <v>0</v>
      </c>
      <c r="CLV129" s="70">
        <v>0</v>
      </c>
      <c r="CLW129" s="70">
        <v>0</v>
      </c>
      <c r="CLX129" s="70">
        <v>0</v>
      </c>
      <c r="CLY129" s="70">
        <v>0</v>
      </c>
      <c r="CLZ129" s="70">
        <v>0</v>
      </c>
      <c r="CMA129" s="70">
        <v>0</v>
      </c>
      <c r="CMB129" s="70">
        <v>0</v>
      </c>
      <c r="CMC129" s="70">
        <v>0</v>
      </c>
      <c r="CMD129" s="70">
        <v>0</v>
      </c>
      <c r="CME129" s="70">
        <v>0</v>
      </c>
      <c r="CMF129" s="70">
        <v>0</v>
      </c>
      <c r="CMG129" s="70">
        <v>0</v>
      </c>
      <c r="CMH129" s="70">
        <v>0</v>
      </c>
      <c r="CMI129" s="70">
        <v>0</v>
      </c>
      <c r="CMJ129" s="70">
        <v>0</v>
      </c>
      <c r="CMK129" s="70">
        <v>0</v>
      </c>
      <c r="CML129" s="70">
        <v>0</v>
      </c>
      <c r="CMM129" s="70">
        <v>0</v>
      </c>
      <c r="CMN129" s="70">
        <v>0</v>
      </c>
      <c r="CMO129" s="70">
        <v>0</v>
      </c>
      <c r="CMP129" s="70">
        <v>0</v>
      </c>
      <c r="CMQ129" s="70">
        <v>0</v>
      </c>
      <c r="CMR129" s="70">
        <v>0</v>
      </c>
      <c r="CMS129" s="70">
        <v>0</v>
      </c>
      <c r="CMT129" s="70">
        <v>0</v>
      </c>
      <c r="CMU129" s="70">
        <v>0</v>
      </c>
      <c r="CMV129" s="70">
        <v>0</v>
      </c>
      <c r="CMW129" s="70">
        <v>0</v>
      </c>
      <c r="CMX129" s="70">
        <v>0</v>
      </c>
      <c r="CMY129" s="70">
        <v>0</v>
      </c>
      <c r="CMZ129" s="70">
        <v>0</v>
      </c>
      <c r="CNA129" s="70">
        <v>0</v>
      </c>
      <c r="CNB129" s="70">
        <v>0</v>
      </c>
      <c r="CNC129" s="70">
        <v>0</v>
      </c>
      <c r="CND129" s="70">
        <v>0</v>
      </c>
      <c r="CNE129" s="70">
        <v>0</v>
      </c>
      <c r="CNF129" s="70">
        <v>0</v>
      </c>
      <c r="CNG129" s="70">
        <v>0</v>
      </c>
      <c r="CNH129" s="70">
        <v>0</v>
      </c>
      <c r="CNI129" s="70">
        <v>0</v>
      </c>
      <c r="CNJ129" s="70">
        <v>0</v>
      </c>
      <c r="CNK129" s="70">
        <v>0</v>
      </c>
      <c r="CNL129" s="70">
        <v>0</v>
      </c>
      <c r="CNM129" s="70">
        <v>0</v>
      </c>
      <c r="CNN129" s="70">
        <v>0</v>
      </c>
      <c r="CNO129" s="70">
        <v>0</v>
      </c>
      <c r="CNP129" s="70">
        <v>0</v>
      </c>
      <c r="CNQ129" s="70">
        <v>0</v>
      </c>
      <c r="CNR129" s="70">
        <v>0</v>
      </c>
      <c r="CNS129" s="70">
        <v>0</v>
      </c>
      <c r="CNT129" s="70">
        <v>0</v>
      </c>
      <c r="CNU129" s="70">
        <v>0</v>
      </c>
      <c r="CNV129" s="70">
        <v>0</v>
      </c>
      <c r="CNW129" s="70">
        <v>0</v>
      </c>
      <c r="CNX129" s="70">
        <v>0</v>
      </c>
      <c r="CNY129" s="70">
        <v>0</v>
      </c>
      <c r="CNZ129" s="70">
        <v>0</v>
      </c>
      <c r="COA129" s="70">
        <v>0</v>
      </c>
      <c r="COB129" s="70">
        <v>0</v>
      </c>
      <c r="COC129" s="70">
        <v>0</v>
      </c>
      <c r="COD129" s="70">
        <v>0</v>
      </c>
      <c r="COE129" s="70">
        <v>0</v>
      </c>
      <c r="COF129" s="70">
        <v>0</v>
      </c>
      <c r="COG129" s="70">
        <v>0</v>
      </c>
      <c r="COH129" s="70">
        <v>0</v>
      </c>
      <c r="COI129" s="70">
        <v>0</v>
      </c>
      <c r="COJ129" s="70">
        <v>0</v>
      </c>
      <c r="COK129" s="70">
        <v>0</v>
      </c>
      <c r="COL129" s="70">
        <v>0</v>
      </c>
      <c r="COM129" s="70">
        <v>0</v>
      </c>
      <c r="CON129" s="70">
        <v>0</v>
      </c>
      <c r="COO129" s="70">
        <v>0</v>
      </c>
      <c r="COP129" s="70">
        <v>0</v>
      </c>
      <c r="COQ129" s="70">
        <v>0</v>
      </c>
      <c r="COR129" s="70">
        <v>0</v>
      </c>
      <c r="COS129" s="70">
        <v>0</v>
      </c>
      <c r="COT129" s="70">
        <v>0</v>
      </c>
      <c r="COU129" s="70">
        <v>0</v>
      </c>
      <c r="COV129" s="70">
        <v>0</v>
      </c>
      <c r="COW129" s="70">
        <v>0</v>
      </c>
      <c r="COX129" s="70">
        <v>0</v>
      </c>
      <c r="COY129" s="70">
        <v>0</v>
      </c>
      <c r="COZ129" s="70">
        <v>0</v>
      </c>
      <c r="CPA129" s="70">
        <v>0</v>
      </c>
      <c r="CPB129" s="70">
        <v>0</v>
      </c>
      <c r="CPC129" s="70">
        <v>0</v>
      </c>
      <c r="CPD129" s="70">
        <v>0</v>
      </c>
      <c r="CPE129" s="70">
        <v>0</v>
      </c>
      <c r="CPF129" s="70">
        <v>0</v>
      </c>
      <c r="CPG129" s="70">
        <v>0</v>
      </c>
      <c r="CPH129" s="70">
        <v>0</v>
      </c>
      <c r="CPI129" s="70">
        <v>0</v>
      </c>
      <c r="CPJ129" s="70">
        <v>0</v>
      </c>
      <c r="CPK129" s="70">
        <v>0</v>
      </c>
      <c r="CPL129" s="70">
        <v>0</v>
      </c>
      <c r="CPM129" s="70">
        <v>0</v>
      </c>
      <c r="CPN129" s="70">
        <v>0</v>
      </c>
      <c r="CPO129" s="70">
        <v>0</v>
      </c>
      <c r="CPP129" s="70">
        <v>0</v>
      </c>
      <c r="CPQ129" s="70">
        <v>0</v>
      </c>
      <c r="CPR129" s="70">
        <v>0</v>
      </c>
      <c r="CPS129" s="70">
        <v>0</v>
      </c>
      <c r="CPT129" s="70">
        <v>0</v>
      </c>
      <c r="CPU129" s="70">
        <v>0</v>
      </c>
      <c r="CPV129" s="70">
        <v>0</v>
      </c>
      <c r="CPW129" s="70">
        <v>0</v>
      </c>
      <c r="CPX129" s="70">
        <v>0</v>
      </c>
      <c r="CPY129" s="70">
        <v>0</v>
      </c>
      <c r="CPZ129" s="70">
        <v>0</v>
      </c>
      <c r="CQA129" s="70">
        <v>0</v>
      </c>
      <c r="CQB129" s="70">
        <v>0</v>
      </c>
      <c r="CQC129" s="70">
        <v>0</v>
      </c>
      <c r="CQD129" s="70">
        <v>0</v>
      </c>
      <c r="CQE129" s="70">
        <v>0</v>
      </c>
      <c r="CQF129" s="70">
        <v>0</v>
      </c>
      <c r="CQG129" s="70">
        <v>0</v>
      </c>
      <c r="CQH129" s="70">
        <v>0</v>
      </c>
      <c r="CQI129" s="70">
        <v>0</v>
      </c>
      <c r="CQJ129" s="70">
        <v>0</v>
      </c>
      <c r="CQK129" s="70">
        <v>0</v>
      </c>
      <c r="CQL129" s="70">
        <v>0</v>
      </c>
      <c r="CQM129" s="70">
        <v>0</v>
      </c>
      <c r="CQN129" s="70">
        <v>0</v>
      </c>
      <c r="CQO129" s="70">
        <v>0</v>
      </c>
      <c r="CQP129" s="70">
        <v>0</v>
      </c>
      <c r="CQQ129" s="70">
        <v>0</v>
      </c>
      <c r="CQR129" s="70">
        <v>0</v>
      </c>
      <c r="CQS129" s="70">
        <v>0</v>
      </c>
      <c r="CQT129" s="70">
        <v>0</v>
      </c>
      <c r="CQU129" s="70">
        <v>0</v>
      </c>
      <c r="CQV129" s="70">
        <v>0</v>
      </c>
      <c r="CQW129" s="70">
        <v>0</v>
      </c>
      <c r="CQX129" s="70">
        <v>0</v>
      </c>
      <c r="CQY129" s="70">
        <v>0</v>
      </c>
      <c r="CQZ129" s="70">
        <v>0</v>
      </c>
      <c r="CRA129" s="70">
        <v>0</v>
      </c>
      <c r="CRB129" s="70">
        <v>0</v>
      </c>
      <c r="CRC129" s="70">
        <v>0</v>
      </c>
      <c r="CRD129" s="70">
        <v>0</v>
      </c>
      <c r="CRE129" s="70">
        <v>0</v>
      </c>
      <c r="CRF129" s="70">
        <v>0</v>
      </c>
      <c r="CRG129" s="70">
        <v>0</v>
      </c>
      <c r="CRH129" s="70">
        <v>0</v>
      </c>
      <c r="CRI129" s="70">
        <v>0</v>
      </c>
      <c r="CRJ129" s="70">
        <v>0</v>
      </c>
      <c r="CRK129" s="70">
        <v>0</v>
      </c>
      <c r="CRL129" s="70">
        <v>0</v>
      </c>
      <c r="CRM129" s="70">
        <v>0</v>
      </c>
      <c r="CRN129" s="70">
        <v>0</v>
      </c>
      <c r="CRO129" s="70">
        <v>0</v>
      </c>
      <c r="CRP129" s="70">
        <v>0</v>
      </c>
      <c r="CRQ129" s="70">
        <v>0</v>
      </c>
      <c r="CRR129" s="70">
        <v>0</v>
      </c>
      <c r="CRS129" s="70">
        <v>0</v>
      </c>
      <c r="CRT129" s="70">
        <v>0</v>
      </c>
      <c r="CRU129" s="70">
        <v>0</v>
      </c>
      <c r="CRV129" s="70">
        <v>0</v>
      </c>
      <c r="CRW129" s="70">
        <v>0</v>
      </c>
      <c r="CRX129" s="70">
        <v>0</v>
      </c>
      <c r="CRY129" s="70">
        <v>0</v>
      </c>
      <c r="CRZ129" s="70">
        <v>0</v>
      </c>
      <c r="CSA129" s="70">
        <v>0</v>
      </c>
      <c r="CSB129" s="70">
        <v>0</v>
      </c>
      <c r="CSC129" s="70">
        <v>0</v>
      </c>
      <c r="CSD129" s="70">
        <v>0</v>
      </c>
      <c r="CSE129" s="70">
        <v>0</v>
      </c>
      <c r="CSF129" s="70">
        <v>0</v>
      </c>
      <c r="CSG129" s="70">
        <v>0</v>
      </c>
      <c r="CSH129" s="70">
        <v>0</v>
      </c>
      <c r="CSI129" s="70">
        <v>0</v>
      </c>
      <c r="CSJ129" s="70">
        <v>0</v>
      </c>
      <c r="CSK129" s="70">
        <v>0</v>
      </c>
      <c r="CSL129" s="70">
        <v>0</v>
      </c>
      <c r="CSM129" s="70">
        <v>0</v>
      </c>
      <c r="CSN129" s="70">
        <v>0</v>
      </c>
      <c r="CSO129" s="70">
        <v>0</v>
      </c>
      <c r="CSP129" s="70">
        <v>0</v>
      </c>
      <c r="CSQ129" s="70">
        <v>0</v>
      </c>
      <c r="CSR129" s="70">
        <v>0</v>
      </c>
      <c r="CSS129" s="70">
        <v>0</v>
      </c>
      <c r="CST129" s="70">
        <v>0</v>
      </c>
      <c r="CSU129" s="70">
        <v>0</v>
      </c>
      <c r="CSV129" s="70">
        <v>0</v>
      </c>
      <c r="CSW129" s="70">
        <v>0</v>
      </c>
      <c r="CSX129" s="70">
        <v>0</v>
      </c>
      <c r="CSY129" s="70">
        <v>0</v>
      </c>
      <c r="CSZ129" s="70">
        <v>0</v>
      </c>
      <c r="CTA129" s="70">
        <v>0</v>
      </c>
      <c r="CTB129" s="70">
        <v>0</v>
      </c>
      <c r="CTC129" s="70">
        <v>0</v>
      </c>
      <c r="CTD129" s="70">
        <v>0</v>
      </c>
      <c r="CTE129" s="70">
        <v>0</v>
      </c>
      <c r="CTF129" s="70">
        <v>0</v>
      </c>
      <c r="CTG129" s="70">
        <v>0</v>
      </c>
      <c r="CTH129" s="70">
        <v>0</v>
      </c>
      <c r="CTI129" s="70">
        <v>0</v>
      </c>
      <c r="CTJ129" s="70">
        <v>0</v>
      </c>
      <c r="CTK129" s="70">
        <v>0</v>
      </c>
      <c r="CTL129" s="70">
        <v>0</v>
      </c>
      <c r="CTM129" s="70">
        <v>0</v>
      </c>
      <c r="CTN129" s="70">
        <v>0</v>
      </c>
      <c r="CTO129" s="70">
        <v>0</v>
      </c>
      <c r="CTP129" s="70">
        <v>0</v>
      </c>
      <c r="CTQ129" s="70">
        <v>0</v>
      </c>
      <c r="CTR129" s="70">
        <v>0</v>
      </c>
      <c r="CTS129" s="70">
        <v>0</v>
      </c>
      <c r="CTT129" s="70">
        <v>0</v>
      </c>
      <c r="CTU129" s="70">
        <v>0</v>
      </c>
      <c r="CTV129" s="70">
        <v>0</v>
      </c>
      <c r="CTW129" s="70">
        <v>0</v>
      </c>
      <c r="CTX129" s="70">
        <v>0</v>
      </c>
      <c r="CTY129" s="70">
        <v>0</v>
      </c>
      <c r="CTZ129" s="70">
        <v>0</v>
      </c>
      <c r="CUA129" s="70">
        <v>0</v>
      </c>
      <c r="CUB129" s="70">
        <v>0</v>
      </c>
      <c r="CUC129" s="70">
        <v>0</v>
      </c>
      <c r="CUD129" s="70">
        <v>0</v>
      </c>
      <c r="CUE129" s="70">
        <v>0</v>
      </c>
      <c r="CUF129" s="70">
        <v>0</v>
      </c>
      <c r="CUG129" s="70">
        <v>0</v>
      </c>
      <c r="CUH129" s="70">
        <v>0</v>
      </c>
      <c r="CUI129" s="70">
        <v>0</v>
      </c>
      <c r="CUJ129" s="70">
        <v>0</v>
      </c>
      <c r="CUK129" s="70">
        <v>0</v>
      </c>
      <c r="CUL129" s="70">
        <v>0</v>
      </c>
      <c r="CUM129" s="70">
        <v>0</v>
      </c>
      <c r="CUN129" s="70">
        <v>0</v>
      </c>
      <c r="CUO129" s="70">
        <v>0</v>
      </c>
      <c r="CUP129" s="70">
        <v>0</v>
      </c>
      <c r="CUQ129" s="70">
        <v>0</v>
      </c>
      <c r="CUR129" s="70">
        <v>0</v>
      </c>
      <c r="CUS129" s="70">
        <v>0</v>
      </c>
      <c r="CUT129" s="70">
        <v>0</v>
      </c>
      <c r="CUU129" s="70">
        <v>0</v>
      </c>
      <c r="CUV129" s="70">
        <v>0</v>
      </c>
      <c r="CUW129" s="70">
        <v>0</v>
      </c>
      <c r="CUX129" s="70">
        <v>0</v>
      </c>
      <c r="CUY129" s="70">
        <v>0</v>
      </c>
      <c r="CUZ129" s="70">
        <v>0</v>
      </c>
      <c r="CVA129" s="70">
        <v>0</v>
      </c>
      <c r="CVB129" s="70">
        <v>0</v>
      </c>
      <c r="CVC129" s="70">
        <v>0</v>
      </c>
      <c r="CVD129" s="70">
        <v>0</v>
      </c>
      <c r="CVE129" s="70">
        <v>0</v>
      </c>
      <c r="CVF129" s="70">
        <v>0</v>
      </c>
      <c r="CVG129" s="70">
        <v>0</v>
      </c>
      <c r="CVH129" s="70">
        <v>0</v>
      </c>
      <c r="CVI129" s="70">
        <v>0</v>
      </c>
      <c r="CVJ129" s="70">
        <v>0</v>
      </c>
      <c r="CVK129" s="70">
        <v>0</v>
      </c>
      <c r="CVL129" s="70">
        <v>0</v>
      </c>
      <c r="CVM129" s="70">
        <v>0</v>
      </c>
      <c r="CVN129" s="70">
        <v>0</v>
      </c>
      <c r="CVO129" s="70">
        <v>0</v>
      </c>
      <c r="CVP129" s="70">
        <v>0</v>
      </c>
      <c r="CVQ129" s="70">
        <v>0</v>
      </c>
      <c r="CVR129" s="70">
        <v>0</v>
      </c>
      <c r="CVS129" s="70">
        <v>0</v>
      </c>
      <c r="CVT129" s="70">
        <v>0</v>
      </c>
      <c r="CVU129" s="70">
        <v>0</v>
      </c>
      <c r="CVV129" s="70">
        <v>0</v>
      </c>
      <c r="CVW129" s="70">
        <v>0</v>
      </c>
      <c r="CVX129" s="70">
        <v>0</v>
      </c>
      <c r="CVY129" s="70">
        <v>0</v>
      </c>
      <c r="CVZ129" s="70">
        <v>0</v>
      </c>
      <c r="CWA129" s="70">
        <v>0</v>
      </c>
      <c r="CWB129" s="70">
        <v>0</v>
      </c>
      <c r="CWC129" s="70">
        <v>0</v>
      </c>
      <c r="CWD129" s="70">
        <v>0</v>
      </c>
      <c r="CWE129" s="70">
        <v>0</v>
      </c>
      <c r="CWF129" s="70">
        <v>0</v>
      </c>
      <c r="CWG129" s="70">
        <v>0</v>
      </c>
      <c r="CWH129" s="70">
        <v>0</v>
      </c>
      <c r="CWI129" s="70">
        <v>0</v>
      </c>
      <c r="CWJ129" s="70">
        <v>0</v>
      </c>
      <c r="CWK129" s="70">
        <v>0</v>
      </c>
      <c r="CWL129" s="70">
        <v>0</v>
      </c>
      <c r="CWM129" s="70">
        <v>0</v>
      </c>
      <c r="CWN129" s="70">
        <v>0</v>
      </c>
      <c r="CWO129" s="70">
        <v>0</v>
      </c>
      <c r="CWP129" s="70">
        <v>0</v>
      </c>
      <c r="CWQ129" s="70">
        <v>0</v>
      </c>
      <c r="CWR129" s="70">
        <v>0</v>
      </c>
      <c r="CWS129" s="70">
        <v>0</v>
      </c>
      <c r="CWT129" s="70">
        <v>0</v>
      </c>
      <c r="CWU129" s="70">
        <v>0</v>
      </c>
      <c r="CWV129" s="70">
        <v>0</v>
      </c>
      <c r="CWW129" s="70">
        <v>0</v>
      </c>
      <c r="CWX129" s="70">
        <v>0</v>
      </c>
      <c r="CWY129" s="70">
        <v>0</v>
      </c>
      <c r="CWZ129" s="70">
        <v>0</v>
      </c>
      <c r="CXA129" s="70">
        <v>0</v>
      </c>
      <c r="CXB129" s="70">
        <v>0</v>
      </c>
      <c r="CXC129" s="70">
        <v>0</v>
      </c>
      <c r="CXD129" s="70">
        <v>0</v>
      </c>
      <c r="CXE129" s="70">
        <v>0</v>
      </c>
      <c r="CXF129" s="70">
        <v>0</v>
      </c>
      <c r="CXG129" s="70">
        <v>0</v>
      </c>
      <c r="CXH129" s="70">
        <v>0</v>
      </c>
      <c r="CXI129" s="70">
        <v>0</v>
      </c>
      <c r="CXJ129" s="70">
        <v>0</v>
      </c>
      <c r="CXK129" s="70">
        <v>0</v>
      </c>
      <c r="CXL129" s="70">
        <v>0</v>
      </c>
      <c r="CXM129" s="70">
        <v>0</v>
      </c>
      <c r="CXN129" s="70">
        <v>0</v>
      </c>
      <c r="CXO129" s="70">
        <v>0</v>
      </c>
      <c r="CXP129" s="70">
        <v>0</v>
      </c>
      <c r="CXQ129" s="70">
        <v>0</v>
      </c>
      <c r="CXR129" s="70">
        <v>0</v>
      </c>
      <c r="CXS129" s="70">
        <v>0</v>
      </c>
      <c r="CXT129" s="70">
        <v>0</v>
      </c>
      <c r="CXU129" s="70">
        <v>0</v>
      </c>
      <c r="CXV129" s="70">
        <v>0</v>
      </c>
      <c r="CXW129" s="70">
        <v>0</v>
      </c>
      <c r="CXX129" s="70">
        <v>0</v>
      </c>
      <c r="CXY129" s="70">
        <v>0</v>
      </c>
      <c r="CXZ129" s="70">
        <v>0</v>
      </c>
      <c r="CYA129" s="70">
        <v>0</v>
      </c>
      <c r="CYB129" s="70">
        <v>0</v>
      </c>
      <c r="CYC129" s="70">
        <v>0</v>
      </c>
      <c r="CYD129" s="70">
        <v>0</v>
      </c>
      <c r="CYE129" s="70">
        <v>0</v>
      </c>
      <c r="CYF129" s="70">
        <v>0</v>
      </c>
      <c r="CYG129" s="70">
        <v>0</v>
      </c>
      <c r="CYH129" s="70">
        <v>0</v>
      </c>
      <c r="CYI129" s="70">
        <v>0</v>
      </c>
      <c r="CYJ129" s="70">
        <v>0</v>
      </c>
      <c r="CYK129" s="70">
        <v>0</v>
      </c>
      <c r="CYL129" s="70">
        <v>0</v>
      </c>
      <c r="CYM129" s="70">
        <v>0</v>
      </c>
      <c r="CYN129" s="70">
        <v>0</v>
      </c>
      <c r="CYO129" s="70">
        <v>0</v>
      </c>
      <c r="CYP129" s="70">
        <v>0</v>
      </c>
      <c r="CYQ129" s="70">
        <v>0</v>
      </c>
      <c r="CYR129" s="70">
        <v>0</v>
      </c>
      <c r="CYS129" s="70">
        <v>0</v>
      </c>
      <c r="CYT129" s="70">
        <v>0</v>
      </c>
      <c r="CYU129" s="70">
        <v>0</v>
      </c>
      <c r="CYV129" s="70">
        <v>0</v>
      </c>
      <c r="CYW129" s="70">
        <v>0</v>
      </c>
      <c r="CYX129" s="70">
        <v>0</v>
      </c>
      <c r="CYY129" s="70">
        <v>0</v>
      </c>
      <c r="CYZ129" s="70">
        <v>0</v>
      </c>
      <c r="CZA129" s="70">
        <v>0</v>
      </c>
      <c r="CZB129" s="70">
        <v>0</v>
      </c>
      <c r="CZC129" s="70">
        <v>0</v>
      </c>
      <c r="CZD129" s="70">
        <v>0</v>
      </c>
      <c r="CZE129" s="70">
        <v>0</v>
      </c>
      <c r="CZF129" s="70">
        <v>0</v>
      </c>
      <c r="CZG129" s="70">
        <v>0</v>
      </c>
      <c r="CZH129" s="70">
        <v>0</v>
      </c>
      <c r="CZI129" s="70">
        <v>0</v>
      </c>
      <c r="CZJ129" s="70">
        <v>0</v>
      </c>
      <c r="CZK129" s="70">
        <v>0</v>
      </c>
      <c r="CZL129" s="70">
        <v>0</v>
      </c>
      <c r="CZM129" s="70">
        <v>0</v>
      </c>
      <c r="CZN129" s="70">
        <v>0</v>
      </c>
      <c r="CZO129" s="70">
        <v>0</v>
      </c>
      <c r="CZP129" s="70">
        <v>0</v>
      </c>
      <c r="CZQ129" s="70">
        <v>0</v>
      </c>
      <c r="CZR129" s="70">
        <v>0</v>
      </c>
      <c r="CZS129" s="70">
        <v>0</v>
      </c>
      <c r="CZT129" s="70">
        <v>0</v>
      </c>
      <c r="CZU129" s="70">
        <v>0</v>
      </c>
      <c r="CZV129" s="70">
        <v>0</v>
      </c>
      <c r="CZW129" s="70">
        <v>0</v>
      </c>
      <c r="CZX129" s="70">
        <v>0</v>
      </c>
      <c r="CZY129" s="70">
        <v>0</v>
      </c>
      <c r="CZZ129" s="70">
        <v>0</v>
      </c>
      <c r="DAA129" s="70">
        <v>0</v>
      </c>
      <c r="DAB129" s="70">
        <v>0</v>
      </c>
      <c r="DAC129" s="70">
        <v>0</v>
      </c>
      <c r="DAD129" s="70">
        <v>0</v>
      </c>
      <c r="DAE129" s="70">
        <v>0</v>
      </c>
      <c r="DAF129" s="70">
        <v>0</v>
      </c>
      <c r="DAG129" s="70">
        <v>0</v>
      </c>
      <c r="DAH129" s="70">
        <v>0</v>
      </c>
      <c r="DAI129" s="70">
        <v>0</v>
      </c>
      <c r="DAJ129" s="70">
        <v>0</v>
      </c>
      <c r="DAK129" s="70">
        <v>0</v>
      </c>
      <c r="DAL129" s="70">
        <v>0</v>
      </c>
      <c r="DAM129" s="70">
        <v>0</v>
      </c>
      <c r="DAN129" s="70">
        <v>0</v>
      </c>
      <c r="DAO129" s="70">
        <v>0</v>
      </c>
      <c r="DAP129" s="70">
        <v>0</v>
      </c>
      <c r="DAQ129" s="70">
        <v>0</v>
      </c>
      <c r="DAR129" s="70">
        <v>0</v>
      </c>
      <c r="DAS129" s="70">
        <v>0</v>
      </c>
      <c r="DAT129" s="70">
        <v>0</v>
      </c>
      <c r="DAU129" s="70">
        <v>0</v>
      </c>
      <c r="DAV129" s="70">
        <v>0</v>
      </c>
      <c r="DAW129" s="70">
        <v>0</v>
      </c>
      <c r="DAX129" s="70">
        <v>0</v>
      </c>
      <c r="DAY129" s="70">
        <v>0</v>
      </c>
      <c r="DAZ129" s="70">
        <v>0</v>
      </c>
      <c r="DBA129" s="70">
        <v>0</v>
      </c>
      <c r="DBB129" s="70">
        <v>0</v>
      </c>
      <c r="DBC129" s="70">
        <v>0</v>
      </c>
      <c r="DBD129" s="70">
        <v>0</v>
      </c>
      <c r="DBE129" s="70">
        <v>0</v>
      </c>
      <c r="DBF129" s="70">
        <v>0</v>
      </c>
      <c r="DBG129" s="70">
        <v>0</v>
      </c>
      <c r="DBH129" s="70">
        <v>0</v>
      </c>
      <c r="DBI129" s="70">
        <v>0</v>
      </c>
      <c r="DBJ129" s="70">
        <v>0</v>
      </c>
      <c r="DBK129" s="70">
        <v>0</v>
      </c>
      <c r="DBL129" s="70">
        <v>0</v>
      </c>
      <c r="DBM129" s="70">
        <v>0</v>
      </c>
      <c r="DBN129" s="70">
        <v>0</v>
      </c>
      <c r="DBO129" s="70">
        <v>0</v>
      </c>
      <c r="DBP129" s="70">
        <v>0</v>
      </c>
      <c r="DBQ129" s="70">
        <v>0</v>
      </c>
      <c r="DBR129" s="70">
        <v>0</v>
      </c>
      <c r="DBS129" s="70">
        <v>0</v>
      </c>
      <c r="DBT129" s="70">
        <v>0</v>
      </c>
      <c r="DBU129" s="70">
        <v>0</v>
      </c>
      <c r="DBV129" s="70">
        <v>0</v>
      </c>
      <c r="DBW129" s="70">
        <v>0</v>
      </c>
      <c r="DBX129" s="70">
        <v>0</v>
      </c>
      <c r="DBY129" s="70">
        <v>0</v>
      </c>
      <c r="DBZ129" s="70">
        <v>0</v>
      </c>
      <c r="DCA129" s="70">
        <v>0</v>
      </c>
      <c r="DCB129" s="70">
        <v>0</v>
      </c>
      <c r="DCC129" s="70">
        <v>0</v>
      </c>
      <c r="DCD129" s="70">
        <v>0</v>
      </c>
      <c r="DCE129" s="70">
        <v>0</v>
      </c>
      <c r="DCF129" s="70">
        <v>0</v>
      </c>
      <c r="DCG129" s="70">
        <v>0</v>
      </c>
      <c r="DCH129" s="70">
        <v>0</v>
      </c>
      <c r="DCI129" s="70">
        <v>0</v>
      </c>
      <c r="DCJ129" s="70">
        <v>0</v>
      </c>
      <c r="DCK129" s="70">
        <v>0</v>
      </c>
      <c r="DCL129" s="70">
        <v>0</v>
      </c>
      <c r="DCM129" s="70">
        <v>0</v>
      </c>
      <c r="DCN129" s="70">
        <v>0</v>
      </c>
      <c r="DCO129" s="70">
        <v>0</v>
      </c>
      <c r="DCP129" s="70">
        <v>0</v>
      </c>
      <c r="DCQ129" s="70">
        <v>0</v>
      </c>
      <c r="DCR129" s="70">
        <v>0</v>
      </c>
      <c r="DCS129" s="70">
        <v>0</v>
      </c>
      <c r="DCT129" s="70">
        <v>0</v>
      </c>
      <c r="DCU129" s="70">
        <v>0</v>
      </c>
      <c r="DCV129" s="70">
        <v>0</v>
      </c>
      <c r="DCW129" s="70">
        <v>0</v>
      </c>
      <c r="DCX129" s="70">
        <v>0</v>
      </c>
      <c r="DCY129" s="70">
        <v>0</v>
      </c>
      <c r="DCZ129" s="70">
        <v>0</v>
      </c>
      <c r="DDA129" s="70">
        <v>0</v>
      </c>
      <c r="DDB129" s="70">
        <v>0</v>
      </c>
      <c r="DDC129" s="70">
        <v>0</v>
      </c>
      <c r="DDD129" s="70">
        <v>0</v>
      </c>
      <c r="DDE129" s="70">
        <v>0</v>
      </c>
      <c r="DDF129" s="70">
        <v>0</v>
      </c>
      <c r="DDG129" s="70">
        <v>0</v>
      </c>
      <c r="DDH129" s="70">
        <v>0</v>
      </c>
      <c r="DDI129" s="70">
        <v>0</v>
      </c>
      <c r="DDJ129" s="70">
        <v>0</v>
      </c>
      <c r="DDK129" s="70">
        <v>0</v>
      </c>
      <c r="DDL129" s="70">
        <v>0</v>
      </c>
      <c r="DDM129" s="70">
        <v>0</v>
      </c>
      <c r="DDN129" s="70">
        <v>0</v>
      </c>
      <c r="DDO129" s="70">
        <v>0</v>
      </c>
      <c r="DDP129" s="70">
        <v>0</v>
      </c>
      <c r="DDQ129" s="70">
        <v>0</v>
      </c>
      <c r="DDR129" s="70">
        <v>0</v>
      </c>
      <c r="DDS129" s="70">
        <v>0</v>
      </c>
      <c r="DDT129" s="70">
        <v>0</v>
      </c>
      <c r="DDU129" s="70">
        <v>0</v>
      </c>
      <c r="DDV129" s="70">
        <v>0</v>
      </c>
      <c r="DDW129" s="70">
        <v>0</v>
      </c>
      <c r="DDX129" s="70">
        <v>0</v>
      </c>
      <c r="DDY129" s="70">
        <v>0</v>
      </c>
      <c r="DDZ129" s="70">
        <v>0</v>
      </c>
      <c r="DEA129" s="70">
        <v>0</v>
      </c>
      <c r="DEB129" s="70">
        <v>0</v>
      </c>
      <c r="DEC129" s="70">
        <v>0</v>
      </c>
      <c r="DED129" s="70">
        <v>0</v>
      </c>
      <c r="DEE129" s="70">
        <v>0</v>
      </c>
      <c r="DEF129" s="70">
        <v>0</v>
      </c>
      <c r="DEG129" s="70">
        <v>0</v>
      </c>
      <c r="DEH129" s="70">
        <v>0</v>
      </c>
      <c r="DEI129" s="70">
        <v>0</v>
      </c>
      <c r="DEJ129" s="70">
        <v>0</v>
      </c>
      <c r="DEK129" s="70">
        <v>0</v>
      </c>
      <c r="DEL129" s="70">
        <v>0</v>
      </c>
      <c r="DEM129" s="70">
        <v>0</v>
      </c>
      <c r="DEN129" s="70">
        <v>0</v>
      </c>
      <c r="DEO129" s="70">
        <v>0</v>
      </c>
      <c r="DEP129" s="70">
        <v>0</v>
      </c>
      <c r="DEQ129" s="70">
        <v>0</v>
      </c>
      <c r="DER129" s="70">
        <v>0</v>
      </c>
      <c r="DES129" s="70">
        <v>0</v>
      </c>
      <c r="DET129" s="70">
        <v>0</v>
      </c>
      <c r="DEU129" s="70">
        <v>0</v>
      </c>
      <c r="DEV129" s="70">
        <v>0</v>
      </c>
      <c r="DEW129" s="70">
        <v>0</v>
      </c>
      <c r="DEX129" s="70">
        <v>0</v>
      </c>
      <c r="DEY129" s="70">
        <v>0</v>
      </c>
      <c r="DEZ129" s="70">
        <v>0</v>
      </c>
      <c r="DFA129" s="70">
        <v>0</v>
      </c>
      <c r="DFB129" s="70">
        <v>0</v>
      </c>
      <c r="DFC129" s="70">
        <v>0</v>
      </c>
      <c r="DFD129" s="70">
        <v>0</v>
      </c>
      <c r="DFE129" s="70">
        <v>0</v>
      </c>
      <c r="DFF129" s="70">
        <v>0</v>
      </c>
      <c r="DFG129" s="70">
        <v>0</v>
      </c>
      <c r="DFH129" s="70">
        <v>0</v>
      </c>
      <c r="DFI129" s="70">
        <v>0</v>
      </c>
      <c r="DFJ129" s="70">
        <v>0</v>
      </c>
      <c r="DFK129" s="70">
        <v>0</v>
      </c>
      <c r="DFL129" s="70">
        <v>0</v>
      </c>
      <c r="DFM129" s="70">
        <v>0</v>
      </c>
      <c r="DFN129" s="70">
        <v>0</v>
      </c>
      <c r="DFO129" s="70">
        <v>0</v>
      </c>
      <c r="DFP129" s="70">
        <v>0</v>
      </c>
      <c r="DFQ129" s="70">
        <v>0</v>
      </c>
      <c r="DFR129" s="70">
        <v>0</v>
      </c>
      <c r="DFS129" s="70">
        <v>0</v>
      </c>
      <c r="DFT129" s="70">
        <v>0</v>
      </c>
      <c r="DFU129" s="70">
        <v>0</v>
      </c>
      <c r="DFV129" s="70">
        <v>0</v>
      </c>
      <c r="DFW129" s="70">
        <v>0</v>
      </c>
      <c r="DFX129" s="70">
        <v>0</v>
      </c>
      <c r="DFY129" s="70">
        <v>0</v>
      </c>
      <c r="DFZ129" s="70">
        <v>0</v>
      </c>
      <c r="DGA129" s="70">
        <v>0</v>
      </c>
      <c r="DGB129" s="70">
        <v>0</v>
      </c>
      <c r="DGC129" s="70">
        <v>0</v>
      </c>
      <c r="DGD129" s="70">
        <v>0</v>
      </c>
      <c r="DGE129" s="70">
        <v>0</v>
      </c>
      <c r="DGF129" s="70">
        <v>0</v>
      </c>
      <c r="DGG129" s="70">
        <v>0</v>
      </c>
      <c r="DGH129" s="70">
        <v>0</v>
      </c>
      <c r="DGI129" s="70">
        <v>0</v>
      </c>
      <c r="DGJ129" s="70">
        <v>0</v>
      </c>
      <c r="DGK129" s="70">
        <v>0</v>
      </c>
      <c r="DGL129" s="70">
        <v>0</v>
      </c>
      <c r="DGM129" s="70">
        <v>0</v>
      </c>
      <c r="DGN129" s="70">
        <v>0</v>
      </c>
      <c r="DGO129" s="70">
        <v>0</v>
      </c>
      <c r="DGP129" s="70">
        <v>0</v>
      </c>
      <c r="DGQ129" s="70">
        <v>0</v>
      </c>
      <c r="DGR129" s="70">
        <v>0</v>
      </c>
      <c r="DGS129" s="70">
        <v>0</v>
      </c>
      <c r="DGT129" s="70">
        <v>0</v>
      </c>
      <c r="DGU129" s="70">
        <v>0</v>
      </c>
      <c r="DGV129" s="70">
        <v>0</v>
      </c>
      <c r="DGW129" s="70">
        <v>0</v>
      </c>
      <c r="DGX129" s="70">
        <v>0</v>
      </c>
      <c r="DGY129" s="70">
        <v>0</v>
      </c>
      <c r="DGZ129" s="70">
        <v>0</v>
      </c>
      <c r="DHA129" s="70">
        <v>0</v>
      </c>
      <c r="DHB129" s="70">
        <v>0</v>
      </c>
      <c r="DHC129" s="70">
        <v>0</v>
      </c>
      <c r="DHD129" s="70">
        <v>0</v>
      </c>
      <c r="DHE129" s="70">
        <v>0</v>
      </c>
      <c r="DHF129" s="70">
        <v>0</v>
      </c>
      <c r="DHG129" s="70">
        <v>0</v>
      </c>
      <c r="DHH129" s="70">
        <v>0</v>
      </c>
      <c r="DHI129" s="70">
        <v>0</v>
      </c>
      <c r="DHJ129" s="70">
        <v>0</v>
      </c>
      <c r="DHK129" s="70">
        <v>0</v>
      </c>
      <c r="DHL129" s="70">
        <v>0</v>
      </c>
      <c r="DHM129" s="70">
        <v>0</v>
      </c>
      <c r="DHN129" s="70">
        <v>0</v>
      </c>
      <c r="DHO129" s="70">
        <v>0</v>
      </c>
      <c r="DHP129" s="70">
        <v>0</v>
      </c>
      <c r="DHQ129" s="70">
        <v>0</v>
      </c>
      <c r="DHR129" s="70">
        <v>0</v>
      </c>
      <c r="DHS129" s="70">
        <v>0</v>
      </c>
      <c r="DHT129" s="70">
        <v>0</v>
      </c>
      <c r="DHU129" s="70">
        <v>0</v>
      </c>
      <c r="DHV129" s="70">
        <v>0</v>
      </c>
      <c r="DHW129" s="70">
        <v>0</v>
      </c>
      <c r="DHX129" s="70">
        <v>0</v>
      </c>
      <c r="DHY129" s="70">
        <v>0</v>
      </c>
      <c r="DHZ129" s="70">
        <v>0</v>
      </c>
      <c r="DIA129" s="70">
        <v>0</v>
      </c>
      <c r="DIB129" s="70">
        <v>0</v>
      </c>
      <c r="DIC129" s="70">
        <v>0</v>
      </c>
      <c r="DID129" s="70">
        <v>0</v>
      </c>
      <c r="DIE129" s="70">
        <v>0</v>
      </c>
      <c r="DIF129" s="70">
        <v>0</v>
      </c>
      <c r="DIG129" s="70">
        <v>0</v>
      </c>
      <c r="DIH129" s="70">
        <v>0</v>
      </c>
      <c r="DII129" s="70">
        <v>0</v>
      </c>
      <c r="DIJ129" s="70">
        <v>0</v>
      </c>
      <c r="DIK129" s="70">
        <v>0</v>
      </c>
      <c r="DIL129" s="70">
        <v>0</v>
      </c>
      <c r="DIM129" s="70">
        <v>0</v>
      </c>
      <c r="DIN129" s="70">
        <v>0</v>
      </c>
      <c r="DIO129" s="70">
        <v>0</v>
      </c>
      <c r="DIP129" s="70">
        <v>0</v>
      </c>
      <c r="DIQ129" s="70">
        <v>0</v>
      </c>
      <c r="DIR129" s="70">
        <v>0</v>
      </c>
      <c r="DIS129" s="70">
        <v>0</v>
      </c>
      <c r="DIT129" s="70">
        <v>0</v>
      </c>
      <c r="DIU129" s="70">
        <v>0</v>
      </c>
      <c r="DIV129" s="70">
        <v>0</v>
      </c>
      <c r="DIW129" s="70">
        <v>0</v>
      </c>
      <c r="DIX129" s="70">
        <v>0</v>
      </c>
      <c r="DIY129" s="70">
        <v>0</v>
      </c>
      <c r="DIZ129" s="70">
        <v>0</v>
      </c>
      <c r="DJA129" s="70">
        <v>0</v>
      </c>
      <c r="DJB129" s="70">
        <v>0</v>
      </c>
      <c r="DJC129" s="70">
        <v>0</v>
      </c>
      <c r="DJD129" s="70">
        <v>0</v>
      </c>
      <c r="DJE129" s="70">
        <v>0</v>
      </c>
      <c r="DJF129" s="70">
        <v>0</v>
      </c>
      <c r="DJG129" s="70">
        <v>0</v>
      </c>
      <c r="DJH129" s="70">
        <v>0</v>
      </c>
      <c r="DJI129" s="70">
        <v>0</v>
      </c>
      <c r="DJJ129" s="70">
        <v>0</v>
      </c>
      <c r="DJK129" s="70">
        <v>0</v>
      </c>
      <c r="DJL129" s="70">
        <v>0</v>
      </c>
      <c r="DJM129" s="70">
        <v>0</v>
      </c>
      <c r="DJN129" s="70">
        <v>0</v>
      </c>
      <c r="DJO129" s="70">
        <v>0</v>
      </c>
      <c r="DJP129" s="70">
        <v>0</v>
      </c>
      <c r="DJQ129" s="70">
        <v>0</v>
      </c>
      <c r="DJR129" s="70">
        <v>0</v>
      </c>
      <c r="DJS129" s="70">
        <v>0</v>
      </c>
      <c r="DJT129" s="70">
        <v>0</v>
      </c>
      <c r="DJU129" s="70">
        <v>0</v>
      </c>
      <c r="DJV129" s="70">
        <v>0</v>
      </c>
      <c r="DJW129" s="70">
        <v>0</v>
      </c>
      <c r="DJX129" s="70">
        <v>0</v>
      </c>
      <c r="DJY129" s="70">
        <v>0</v>
      </c>
      <c r="DJZ129" s="70">
        <v>0</v>
      </c>
      <c r="DKA129" s="70">
        <v>0</v>
      </c>
      <c r="DKB129" s="70">
        <v>0</v>
      </c>
      <c r="DKC129" s="70">
        <v>0</v>
      </c>
      <c r="DKD129" s="70">
        <v>0</v>
      </c>
      <c r="DKE129" s="70">
        <v>0</v>
      </c>
      <c r="DKF129" s="70">
        <v>0</v>
      </c>
      <c r="DKG129" s="70">
        <v>0</v>
      </c>
      <c r="DKH129" s="70">
        <v>0</v>
      </c>
      <c r="DKI129" s="70">
        <v>0</v>
      </c>
      <c r="DKJ129" s="70">
        <v>0</v>
      </c>
      <c r="DKK129" s="70">
        <v>0</v>
      </c>
      <c r="DKL129" s="70">
        <v>0</v>
      </c>
      <c r="DKM129" s="70">
        <v>0</v>
      </c>
      <c r="DKN129" s="70">
        <v>0</v>
      </c>
      <c r="DKO129" s="70">
        <v>0</v>
      </c>
      <c r="DKP129" s="70">
        <v>0</v>
      </c>
      <c r="DKQ129" s="70">
        <v>0</v>
      </c>
      <c r="DKR129" s="70">
        <v>0</v>
      </c>
      <c r="DKS129" s="70">
        <v>0</v>
      </c>
      <c r="DKT129" s="70">
        <v>0</v>
      </c>
      <c r="DKU129" s="70">
        <v>0</v>
      </c>
      <c r="DKV129" s="70">
        <v>0</v>
      </c>
      <c r="DKW129" s="70">
        <v>0</v>
      </c>
      <c r="DKX129" s="70">
        <v>0</v>
      </c>
      <c r="DKY129" s="70">
        <v>0</v>
      </c>
      <c r="DKZ129" s="70">
        <v>0</v>
      </c>
      <c r="DLA129" s="70">
        <v>0</v>
      </c>
      <c r="DLB129" s="70">
        <v>0</v>
      </c>
      <c r="DLC129" s="70">
        <v>0</v>
      </c>
      <c r="DLD129" s="70">
        <v>0</v>
      </c>
      <c r="DLE129" s="70">
        <v>0</v>
      </c>
      <c r="DLF129" s="70">
        <v>0</v>
      </c>
      <c r="DLG129" s="70">
        <v>0</v>
      </c>
      <c r="DLH129" s="70">
        <v>0</v>
      </c>
      <c r="DLI129" s="70">
        <v>0</v>
      </c>
      <c r="DLJ129" s="70">
        <v>0</v>
      </c>
      <c r="DLK129" s="70">
        <v>0</v>
      </c>
      <c r="DLL129" s="70">
        <v>0</v>
      </c>
      <c r="DLM129" s="70">
        <v>0</v>
      </c>
      <c r="DLN129" s="70">
        <v>0</v>
      </c>
      <c r="DLO129" s="70">
        <v>0</v>
      </c>
      <c r="DLP129" s="70">
        <v>0</v>
      </c>
      <c r="DLQ129" s="70">
        <v>0</v>
      </c>
      <c r="DLR129" s="70">
        <v>0</v>
      </c>
      <c r="DLS129" s="70">
        <v>0</v>
      </c>
      <c r="DLT129" s="70">
        <v>0</v>
      </c>
      <c r="DLU129" s="70">
        <v>0</v>
      </c>
      <c r="DLV129" s="70">
        <v>0</v>
      </c>
      <c r="DLW129" s="70">
        <v>0</v>
      </c>
      <c r="DLX129" s="70">
        <v>0</v>
      </c>
      <c r="DLY129" s="70">
        <v>0</v>
      </c>
      <c r="DLZ129" s="70">
        <v>0</v>
      </c>
      <c r="DMA129" s="70">
        <v>0</v>
      </c>
      <c r="DMB129" s="70">
        <v>0</v>
      </c>
      <c r="DMC129" s="70">
        <v>0</v>
      </c>
      <c r="DMD129" s="70">
        <v>0</v>
      </c>
      <c r="DME129" s="70">
        <v>0</v>
      </c>
      <c r="DMF129" s="70">
        <v>0</v>
      </c>
      <c r="DMG129" s="70">
        <v>0</v>
      </c>
      <c r="DMH129" s="70">
        <v>0</v>
      </c>
      <c r="DMI129" s="70">
        <v>0</v>
      </c>
      <c r="DMJ129" s="70">
        <v>0</v>
      </c>
      <c r="DMK129" s="70">
        <v>0</v>
      </c>
      <c r="DML129" s="70">
        <v>0</v>
      </c>
      <c r="DMM129" s="70">
        <v>0</v>
      </c>
      <c r="DMN129" s="70">
        <v>0</v>
      </c>
      <c r="DMO129" s="70">
        <v>0</v>
      </c>
      <c r="DMP129" s="70">
        <v>0</v>
      </c>
      <c r="DMQ129" s="70">
        <v>0</v>
      </c>
      <c r="DMR129" s="70">
        <v>0</v>
      </c>
      <c r="DMS129" s="70">
        <v>0</v>
      </c>
      <c r="DMT129" s="70">
        <v>0</v>
      </c>
      <c r="DMU129" s="70">
        <v>0</v>
      </c>
      <c r="DMV129" s="70">
        <v>0</v>
      </c>
      <c r="DMW129" s="70">
        <v>0</v>
      </c>
      <c r="DMX129" s="70">
        <v>0</v>
      </c>
      <c r="DMY129" s="70">
        <v>0</v>
      </c>
      <c r="DMZ129" s="70">
        <v>0</v>
      </c>
      <c r="DNA129" s="70">
        <v>0</v>
      </c>
      <c r="DNB129" s="70">
        <v>0</v>
      </c>
      <c r="DNC129" s="70">
        <v>0</v>
      </c>
      <c r="DND129" s="70">
        <v>0</v>
      </c>
      <c r="DNE129" s="70">
        <v>0</v>
      </c>
      <c r="DNF129" s="70">
        <v>0</v>
      </c>
      <c r="DNG129" s="70">
        <v>0</v>
      </c>
      <c r="DNH129" s="70">
        <v>0</v>
      </c>
      <c r="DNI129" s="70">
        <v>0</v>
      </c>
      <c r="DNJ129" s="70">
        <v>0</v>
      </c>
      <c r="DNK129" s="70">
        <v>0</v>
      </c>
      <c r="DNL129" s="70">
        <v>0</v>
      </c>
      <c r="DNM129" s="70">
        <v>0</v>
      </c>
      <c r="DNN129" s="70">
        <v>0</v>
      </c>
      <c r="DNO129" s="70">
        <v>0</v>
      </c>
      <c r="DNP129" s="70">
        <v>0</v>
      </c>
      <c r="DNQ129" s="70">
        <v>0</v>
      </c>
      <c r="DNR129" s="70">
        <v>0</v>
      </c>
      <c r="DNS129" s="70">
        <v>0</v>
      </c>
      <c r="DNT129" s="70">
        <v>0</v>
      </c>
      <c r="DNU129" s="70">
        <v>0</v>
      </c>
      <c r="DNV129" s="70">
        <v>0</v>
      </c>
      <c r="DNW129" s="70">
        <v>0</v>
      </c>
      <c r="DNX129" s="70">
        <v>0</v>
      </c>
      <c r="DNY129" s="70">
        <v>0</v>
      </c>
      <c r="DNZ129" s="70">
        <v>0</v>
      </c>
      <c r="DOA129" s="70">
        <v>0</v>
      </c>
      <c r="DOB129" s="70">
        <v>0</v>
      </c>
      <c r="DOC129" s="70">
        <v>0</v>
      </c>
      <c r="DOD129" s="70">
        <v>0</v>
      </c>
      <c r="DOE129" s="70">
        <v>0</v>
      </c>
      <c r="DOF129" s="70">
        <v>0</v>
      </c>
      <c r="DOG129" s="70">
        <v>0</v>
      </c>
      <c r="DOH129" s="70">
        <v>0</v>
      </c>
      <c r="DOI129" s="70">
        <v>0</v>
      </c>
      <c r="DOJ129" s="70">
        <v>0</v>
      </c>
      <c r="DOK129" s="70">
        <v>0</v>
      </c>
      <c r="DOL129" s="70">
        <v>0</v>
      </c>
      <c r="DOM129" s="70">
        <v>0</v>
      </c>
      <c r="DON129" s="70">
        <v>0</v>
      </c>
      <c r="DOO129" s="70">
        <v>0</v>
      </c>
      <c r="DOP129" s="70">
        <v>0</v>
      </c>
      <c r="DOQ129" s="70">
        <v>0</v>
      </c>
      <c r="DOR129" s="70">
        <v>0</v>
      </c>
      <c r="DOS129" s="70">
        <v>0</v>
      </c>
      <c r="DOT129" s="70">
        <v>0</v>
      </c>
      <c r="DOU129" s="70">
        <v>0</v>
      </c>
      <c r="DOV129" s="70">
        <v>0</v>
      </c>
      <c r="DOW129" s="70">
        <v>0</v>
      </c>
      <c r="DOX129" s="70">
        <v>0</v>
      </c>
      <c r="DOY129" s="70">
        <v>0</v>
      </c>
      <c r="DOZ129" s="70">
        <v>0</v>
      </c>
      <c r="DPA129" s="70">
        <v>0</v>
      </c>
      <c r="DPB129" s="70">
        <v>0</v>
      </c>
      <c r="DPC129" s="70">
        <v>0</v>
      </c>
      <c r="DPD129" s="70">
        <v>0</v>
      </c>
      <c r="DPE129" s="70">
        <v>0</v>
      </c>
      <c r="DPF129" s="70">
        <v>0</v>
      </c>
      <c r="DPG129" s="70">
        <v>0</v>
      </c>
      <c r="DPH129" s="70">
        <v>0</v>
      </c>
      <c r="DPI129" s="70">
        <v>0</v>
      </c>
      <c r="DPJ129" s="70">
        <v>0</v>
      </c>
      <c r="DPK129" s="70">
        <v>0</v>
      </c>
      <c r="DPL129" s="70">
        <v>0</v>
      </c>
      <c r="DPM129" s="70">
        <v>0</v>
      </c>
      <c r="DPN129" s="70">
        <v>0</v>
      </c>
      <c r="DPO129" s="70">
        <v>0</v>
      </c>
      <c r="DPP129" s="70">
        <v>0</v>
      </c>
      <c r="DPQ129" s="70">
        <v>0</v>
      </c>
      <c r="DPR129" s="70">
        <v>0</v>
      </c>
      <c r="DPS129" s="70">
        <v>0</v>
      </c>
      <c r="DPT129" s="70">
        <v>0</v>
      </c>
      <c r="DPU129" s="70">
        <v>0</v>
      </c>
      <c r="DPV129" s="70">
        <v>0</v>
      </c>
      <c r="DPW129" s="70">
        <v>0</v>
      </c>
      <c r="DPX129" s="70">
        <v>0</v>
      </c>
      <c r="DPY129" s="70">
        <v>0</v>
      </c>
      <c r="DPZ129" s="70">
        <v>0</v>
      </c>
      <c r="DQA129" s="70">
        <v>0</v>
      </c>
      <c r="DQB129" s="70">
        <v>0</v>
      </c>
      <c r="DQC129" s="70">
        <v>0</v>
      </c>
      <c r="DQD129" s="70">
        <v>0</v>
      </c>
      <c r="DQE129" s="70">
        <v>0</v>
      </c>
      <c r="DQF129" s="70">
        <v>0</v>
      </c>
      <c r="DQG129" s="70">
        <v>0</v>
      </c>
      <c r="DQH129" s="70">
        <v>0</v>
      </c>
      <c r="DQI129" s="70">
        <v>0</v>
      </c>
      <c r="DQJ129" s="70">
        <v>0</v>
      </c>
      <c r="DQK129" s="70">
        <v>0</v>
      </c>
      <c r="DQL129" s="70">
        <v>0</v>
      </c>
      <c r="DQM129" s="70">
        <v>0</v>
      </c>
      <c r="DQN129" s="70">
        <v>0</v>
      </c>
      <c r="DQO129" s="70">
        <v>0</v>
      </c>
      <c r="DQP129" s="70">
        <v>0</v>
      </c>
      <c r="DQQ129" s="70">
        <v>0</v>
      </c>
      <c r="DQR129" s="70">
        <v>0</v>
      </c>
      <c r="DQS129" s="70">
        <v>0</v>
      </c>
      <c r="DQT129" s="70">
        <v>0</v>
      </c>
      <c r="DQU129" s="70">
        <v>0</v>
      </c>
      <c r="DQV129" s="70">
        <v>0</v>
      </c>
      <c r="DQW129" s="70">
        <v>0</v>
      </c>
      <c r="DQX129" s="70">
        <v>0</v>
      </c>
      <c r="DQY129" s="70">
        <v>0</v>
      </c>
      <c r="DQZ129" s="70">
        <v>0</v>
      </c>
      <c r="DRA129" s="70">
        <v>0</v>
      </c>
      <c r="DRB129" s="70">
        <v>0</v>
      </c>
      <c r="DRC129" s="70">
        <v>0</v>
      </c>
      <c r="DRD129" s="70">
        <v>0</v>
      </c>
      <c r="DRE129" s="70">
        <v>0</v>
      </c>
      <c r="DRF129" s="70">
        <v>0</v>
      </c>
      <c r="DRG129" s="70">
        <v>0</v>
      </c>
      <c r="DRH129" s="70">
        <v>0</v>
      </c>
      <c r="DRI129" s="70">
        <v>0</v>
      </c>
      <c r="DRJ129" s="70">
        <v>0</v>
      </c>
      <c r="DRK129" s="70">
        <v>0</v>
      </c>
      <c r="DRL129" s="70">
        <v>0</v>
      </c>
      <c r="DRM129" s="70">
        <v>0</v>
      </c>
      <c r="DRN129" s="70">
        <v>0</v>
      </c>
      <c r="DRO129" s="70">
        <v>0</v>
      </c>
      <c r="DRP129" s="70">
        <v>0</v>
      </c>
      <c r="DRQ129" s="70">
        <v>0</v>
      </c>
      <c r="DRR129" s="70">
        <v>0</v>
      </c>
      <c r="DRS129" s="70">
        <v>0</v>
      </c>
      <c r="DRT129" s="70">
        <v>0</v>
      </c>
      <c r="DRU129" s="70">
        <v>0</v>
      </c>
      <c r="DRV129" s="70">
        <v>0</v>
      </c>
      <c r="DRW129" s="70">
        <v>0</v>
      </c>
      <c r="DRX129" s="70">
        <v>0</v>
      </c>
      <c r="DRY129" s="70">
        <v>0</v>
      </c>
      <c r="DRZ129" s="70">
        <v>0</v>
      </c>
      <c r="DSA129" s="70">
        <v>0</v>
      </c>
      <c r="DSB129" s="70">
        <v>0</v>
      </c>
      <c r="DSC129" s="70">
        <v>0</v>
      </c>
      <c r="DSD129" s="70">
        <v>0</v>
      </c>
      <c r="DSE129" s="70">
        <v>0</v>
      </c>
      <c r="DSF129" s="70">
        <v>0</v>
      </c>
      <c r="DSG129" s="70">
        <v>0</v>
      </c>
      <c r="DSH129" s="70">
        <v>0</v>
      </c>
      <c r="DSI129" s="70">
        <v>0</v>
      </c>
      <c r="DSJ129" s="70">
        <v>0</v>
      </c>
      <c r="DSK129" s="70">
        <v>0</v>
      </c>
      <c r="DSL129" s="70">
        <v>0</v>
      </c>
      <c r="DSM129" s="70">
        <v>0</v>
      </c>
      <c r="DSN129" s="70">
        <v>0</v>
      </c>
      <c r="DSO129" s="70">
        <v>0</v>
      </c>
      <c r="DSP129" s="70">
        <v>0</v>
      </c>
      <c r="DSQ129" s="70">
        <v>0</v>
      </c>
      <c r="DSR129" s="70">
        <v>0</v>
      </c>
      <c r="DSS129" s="70">
        <v>0</v>
      </c>
      <c r="DST129" s="70">
        <v>0</v>
      </c>
      <c r="DSU129" s="70">
        <v>0</v>
      </c>
      <c r="DSV129" s="70">
        <v>0</v>
      </c>
      <c r="DSW129" s="70">
        <v>0</v>
      </c>
      <c r="DSX129" s="70">
        <v>0</v>
      </c>
      <c r="DSY129" s="70">
        <v>0</v>
      </c>
      <c r="DSZ129" s="70">
        <v>0</v>
      </c>
      <c r="DTA129" s="70">
        <v>0</v>
      </c>
      <c r="DTB129" s="70">
        <v>0</v>
      </c>
      <c r="DTC129" s="70">
        <v>0</v>
      </c>
      <c r="DTD129" s="70">
        <v>0</v>
      </c>
      <c r="DTE129" s="70">
        <v>0</v>
      </c>
      <c r="DTF129" s="70">
        <v>0</v>
      </c>
      <c r="DTG129" s="70">
        <v>0</v>
      </c>
      <c r="DTH129" s="70">
        <v>0</v>
      </c>
      <c r="DTI129" s="70">
        <v>0</v>
      </c>
      <c r="DTJ129" s="70">
        <v>0</v>
      </c>
      <c r="DTK129" s="70">
        <v>0</v>
      </c>
      <c r="DTL129" s="70">
        <v>0</v>
      </c>
      <c r="DTM129" s="70">
        <v>0</v>
      </c>
      <c r="DTN129" s="70">
        <v>0</v>
      </c>
      <c r="DTO129" s="70">
        <v>0</v>
      </c>
      <c r="DTP129" s="70">
        <v>0</v>
      </c>
      <c r="DTQ129" s="70">
        <v>0</v>
      </c>
      <c r="DTR129" s="70">
        <v>0</v>
      </c>
      <c r="DTS129" s="70">
        <v>0</v>
      </c>
      <c r="DTT129" s="70">
        <v>0</v>
      </c>
      <c r="DTU129" s="70">
        <v>0</v>
      </c>
      <c r="DTV129" s="70">
        <v>0</v>
      </c>
      <c r="DTW129" s="70">
        <v>0</v>
      </c>
      <c r="DTX129" s="70">
        <v>0</v>
      </c>
      <c r="DTY129" s="70">
        <v>0</v>
      </c>
      <c r="DTZ129" s="70">
        <v>0</v>
      </c>
      <c r="DUA129" s="70">
        <v>0</v>
      </c>
      <c r="DUB129" s="70">
        <v>0</v>
      </c>
      <c r="DUC129" s="70">
        <v>0</v>
      </c>
      <c r="DUD129" s="70">
        <v>0</v>
      </c>
      <c r="DUE129" s="70">
        <v>0</v>
      </c>
      <c r="DUF129" s="70">
        <v>0</v>
      </c>
      <c r="DUG129" s="70">
        <v>0</v>
      </c>
      <c r="DUH129" s="70">
        <v>0</v>
      </c>
      <c r="DUI129" s="70">
        <v>0</v>
      </c>
      <c r="DUJ129" s="70">
        <v>0</v>
      </c>
      <c r="DUK129" s="70">
        <v>0</v>
      </c>
      <c r="DUL129" s="70">
        <v>0</v>
      </c>
      <c r="DUM129" s="70">
        <v>0</v>
      </c>
      <c r="DUN129" s="70">
        <v>0</v>
      </c>
      <c r="DUO129" s="70">
        <v>0</v>
      </c>
      <c r="DUP129" s="70">
        <v>0</v>
      </c>
      <c r="DUQ129" s="70">
        <v>0</v>
      </c>
      <c r="DUR129" s="70">
        <v>0</v>
      </c>
      <c r="DUS129" s="70">
        <v>0</v>
      </c>
      <c r="DUT129" s="70">
        <v>0</v>
      </c>
      <c r="DUU129" s="70">
        <v>0</v>
      </c>
      <c r="DUV129" s="70">
        <v>0</v>
      </c>
      <c r="DUW129" s="70">
        <v>0</v>
      </c>
      <c r="DUX129" s="70">
        <v>0</v>
      </c>
      <c r="DUY129" s="70">
        <v>0</v>
      </c>
      <c r="DUZ129" s="70">
        <v>0</v>
      </c>
      <c r="DVA129" s="70">
        <v>0</v>
      </c>
      <c r="DVB129" s="70">
        <v>0</v>
      </c>
      <c r="DVC129" s="70">
        <v>0</v>
      </c>
      <c r="DVD129" s="70">
        <v>0</v>
      </c>
      <c r="DVE129" s="70">
        <v>0</v>
      </c>
      <c r="DVF129" s="70">
        <v>0</v>
      </c>
      <c r="DVG129" s="70">
        <v>0</v>
      </c>
      <c r="DVH129" s="70">
        <v>0</v>
      </c>
      <c r="DVI129" s="70">
        <v>0</v>
      </c>
      <c r="DVJ129" s="70">
        <v>0</v>
      </c>
      <c r="DVK129" s="70">
        <v>0</v>
      </c>
      <c r="DVL129" s="70">
        <v>0</v>
      </c>
      <c r="DVM129" s="70">
        <v>0</v>
      </c>
      <c r="DVN129" s="70">
        <v>0</v>
      </c>
      <c r="DVO129" s="70">
        <v>0</v>
      </c>
      <c r="DVP129" s="70">
        <v>0</v>
      </c>
      <c r="DVQ129" s="70">
        <v>0</v>
      </c>
      <c r="DVR129" s="70">
        <v>0</v>
      </c>
      <c r="DVS129" s="70">
        <v>0</v>
      </c>
      <c r="DVT129" s="70">
        <v>0</v>
      </c>
      <c r="DVU129" s="70">
        <v>0</v>
      </c>
      <c r="DVV129" s="70">
        <v>0</v>
      </c>
      <c r="DVW129" s="70">
        <v>0</v>
      </c>
      <c r="DVX129" s="70">
        <v>0</v>
      </c>
      <c r="DVY129" s="70">
        <v>0</v>
      </c>
      <c r="DVZ129" s="70">
        <v>0</v>
      </c>
      <c r="DWA129" s="70">
        <v>0</v>
      </c>
      <c r="DWB129" s="70">
        <v>0</v>
      </c>
      <c r="DWC129" s="70">
        <v>0</v>
      </c>
      <c r="DWD129" s="70">
        <v>0</v>
      </c>
      <c r="DWE129" s="70">
        <v>0</v>
      </c>
      <c r="DWF129" s="70">
        <v>0</v>
      </c>
      <c r="DWG129" s="70">
        <v>0</v>
      </c>
      <c r="DWH129" s="70">
        <v>0</v>
      </c>
      <c r="DWI129" s="70">
        <v>0</v>
      </c>
      <c r="DWJ129" s="70">
        <v>0</v>
      </c>
      <c r="DWK129" s="70">
        <v>0</v>
      </c>
      <c r="DWL129" s="70">
        <v>0</v>
      </c>
      <c r="DWM129" s="70">
        <v>0</v>
      </c>
      <c r="DWN129" s="70">
        <v>0</v>
      </c>
      <c r="DWO129" s="70">
        <v>0</v>
      </c>
      <c r="DWP129" s="70">
        <v>0</v>
      </c>
      <c r="DWQ129" s="70">
        <v>0</v>
      </c>
      <c r="DWR129" s="70">
        <v>0</v>
      </c>
      <c r="DWS129" s="70">
        <v>0</v>
      </c>
      <c r="DWT129" s="70">
        <v>0</v>
      </c>
      <c r="DWU129" s="70">
        <v>0</v>
      </c>
      <c r="DWV129" s="70">
        <v>0</v>
      </c>
      <c r="DWW129" s="70">
        <v>0</v>
      </c>
      <c r="DWX129" s="70">
        <v>0</v>
      </c>
      <c r="DWY129" s="70">
        <v>0</v>
      </c>
      <c r="DWZ129" s="70">
        <v>0</v>
      </c>
      <c r="DXA129" s="70">
        <v>0</v>
      </c>
      <c r="DXB129" s="70">
        <v>0</v>
      </c>
      <c r="DXC129" s="70">
        <v>0</v>
      </c>
      <c r="DXD129" s="70">
        <v>0</v>
      </c>
      <c r="DXE129" s="70">
        <v>0</v>
      </c>
      <c r="DXF129" s="70">
        <v>0</v>
      </c>
      <c r="DXG129" s="70">
        <v>0</v>
      </c>
      <c r="DXH129" s="70">
        <v>0</v>
      </c>
      <c r="DXI129" s="70">
        <v>0</v>
      </c>
      <c r="DXJ129" s="70">
        <v>0</v>
      </c>
      <c r="DXK129" s="70">
        <v>0</v>
      </c>
      <c r="DXL129" s="70">
        <v>0</v>
      </c>
      <c r="DXM129" s="70">
        <v>0</v>
      </c>
      <c r="DXN129" s="70">
        <v>0</v>
      </c>
      <c r="DXO129" s="70">
        <v>0</v>
      </c>
      <c r="DXP129" s="70">
        <v>0</v>
      </c>
      <c r="DXQ129" s="70">
        <v>0</v>
      </c>
      <c r="DXR129" s="70">
        <v>0</v>
      </c>
      <c r="DXS129" s="70">
        <v>0</v>
      </c>
      <c r="DXT129" s="70">
        <v>0</v>
      </c>
      <c r="DXU129" s="70">
        <v>0</v>
      </c>
      <c r="DXV129" s="70">
        <v>0</v>
      </c>
      <c r="DXW129" s="70">
        <v>0</v>
      </c>
      <c r="DXX129" s="70">
        <v>0</v>
      </c>
      <c r="DXY129" s="70">
        <v>0</v>
      </c>
      <c r="DXZ129" s="70">
        <v>0</v>
      </c>
      <c r="DYA129" s="70">
        <v>0</v>
      </c>
      <c r="DYB129" s="70">
        <v>0</v>
      </c>
      <c r="DYC129" s="70">
        <v>0</v>
      </c>
      <c r="DYD129" s="70">
        <v>0</v>
      </c>
      <c r="DYE129" s="70">
        <v>0</v>
      </c>
      <c r="DYF129" s="70">
        <v>0</v>
      </c>
      <c r="DYG129" s="70">
        <v>0</v>
      </c>
      <c r="DYH129" s="70">
        <v>0</v>
      </c>
      <c r="DYI129" s="70">
        <v>0</v>
      </c>
      <c r="DYJ129" s="70">
        <v>0</v>
      </c>
      <c r="DYK129" s="70">
        <v>0</v>
      </c>
      <c r="DYL129" s="70">
        <v>0</v>
      </c>
      <c r="DYM129" s="70">
        <v>0</v>
      </c>
      <c r="DYN129" s="70">
        <v>0</v>
      </c>
      <c r="DYO129" s="70">
        <v>0</v>
      </c>
      <c r="DYP129" s="70">
        <v>0</v>
      </c>
      <c r="DYQ129" s="70">
        <v>0</v>
      </c>
      <c r="DYR129" s="70">
        <v>0</v>
      </c>
      <c r="DYS129" s="70">
        <v>0</v>
      </c>
      <c r="DYT129" s="70">
        <v>0</v>
      </c>
      <c r="DYU129" s="70">
        <v>0</v>
      </c>
      <c r="DYV129" s="70">
        <v>0</v>
      </c>
      <c r="DYW129" s="70">
        <v>0</v>
      </c>
      <c r="DYX129" s="70">
        <v>0</v>
      </c>
      <c r="DYY129" s="70">
        <v>0</v>
      </c>
      <c r="DYZ129" s="70">
        <v>0</v>
      </c>
      <c r="DZA129" s="70">
        <v>0</v>
      </c>
      <c r="DZB129" s="70">
        <v>0</v>
      </c>
      <c r="DZC129" s="70">
        <v>0</v>
      </c>
      <c r="DZD129" s="70">
        <v>0</v>
      </c>
      <c r="DZE129" s="70">
        <v>0</v>
      </c>
      <c r="DZF129" s="70">
        <v>0</v>
      </c>
      <c r="DZG129" s="70">
        <v>0</v>
      </c>
      <c r="DZH129" s="70">
        <v>0</v>
      </c>
      <c r="DZI129" s="70">
        <v>0</v>
      </c>
      <c r="DZJ129" s="70">
        <v>0</v>
      </c>
      <c r="DZK129" s="70">
        <v>0</v>
      </c>
      <c r="DZL129" s="70">
        <v>0</v>
      </c>
      <c r="DZM129" s="70">
        <v>0</v>
      </c>
      <c r="DZN129" s="70">
        <v>0</v>
      </c>
      <c r="DZO129" s="70">
        <v>0</v>
      </c>
      <c r="DZP129" s="70">
        <v>0</v>
      </c>
      <c r="DZQ129" s="70">
        <v>0</v>
      </c>
      <c r="DZR129" s="70">
        <v>0</v>
      </c>
      <c r="DZS129" s="70">
        <v>0</v>
      </c>
      <c r="DZT129" s="70">
        <v>0</v>
      </c>
      <c r="DZU129" s="70">
        <v>0</v>
      </c>
      <c r="DZV129" s="70">
        <v>0</v>
      </c>
      <c r="DZW129" s="70">
        <v>0</v>
      </c>
      <c r="DZX129" s="70">
        <v>0</v>
      </c>
      <c r="DZY129" s="70">
        <v>0</v>
      </c>
      <c r="DZZ129" s="70">
        <v>0</v>
      </c>
      <c r="EAA129" s="70">
        <v>0</v>
      </c>
      <c r="EAB129" s="70">
        <v>0</v>
      </c>
      <c r="EAC129" s="70">
        <v>0</v>
      </c>
      <c r="EAD129" s="70">
        <v>0</v>
      </c>
      <c r="EAE129" s="70">
        <v>0</v>
      </c>
      <c r="EAF129" s="70">
        <v>0</v>
      </c>
      <c r="EAG129" s="70">
        <v>0</v>
      </c>
      <c r="EAH129" s="70">
        <v>0</v>
      </c>
      <c r="EAI129" s="70">
        <v>0</v>
      </c>
      <c r="EAJ129" s="70">
        <v>0</v>
      </c>
      <c r="EAK129" s="70">
        <v>0</v>
      </c>
      <c r="EAL129" s="70">
        <v>0</v>
      </c>
      <c r="EAM129" s="70">
        <v>0</v>
      </c>
      <c r="EAN129" s="70">
        <v>0</v>
      </c>
      <c r="EAO129" s="70">
        <v>0</v>
      </c>
      <c r="EAP129" s="70">
        <v>0</v>
      </c>
      <c r="EAQ129" s="70">
        <v>0</v>
      </c>
      <c r="EAR129" s="70">
        <v>0</v>
      </c>
      <c r="EAS129" s="70">
        <v>0</v>
      </c>
      <c r="EAT129" s="70">
        <v>0</v>
      </c>
      <c r="EAU129" s="70">
        <v>0</v>
      </c>
      <c r="EAV129" s="70">
        <v>0</v>
      </c>
      <c r="EAW129" s="70">
        <v>0</v>
      </c>
      <c r="EAX129" s="70">
        <v>0</v>
      </c>
      <c r="EAY129" s="70">
        <v>0</v>
      </c>
      <c r="EAZ129" s="70">
        <v>0</v>
      </c>
      <c r="EBA129" s="70">
        <v>0</v>
      </c>
      <c r="EBB129" s="70">
        <v>0</v>
      </c>
      <c r="EBC129" s="70">
        <v>0</v>
      </c>
      <c r="EBD129" s="70">
        <v>0</v>
      </c>
      <c r="EBE129" s="70">
        <v>0</v>
      </c>
      <c r="EBF129" s="70">
        <v>0</v>
      </c>
      <c r="EBG129" s="70">
        <v>0</v>
      </c>
      <c r="EBH129" s="70">
        <v>0</v>
      </c>
      <c r="EBI129" s="70">
        <v>0</v>
      </c>
      <c r="EBJ129" s="70">
        <v>0</v>
      </c>
      <c r="EBK129" s="70">
        <v>0</v>
      </c>
      <c r="EBL129" s="70">
        <v>0</v>
      </c>
      <c r="EBM129" s="70">
        <v>0</v>
      </c>
      <c r="EBN129" s="70">
        <v>0</v>
      </c>
      <c r="EBO129" s="70">
        <v>0</v>
      </c>
      <c r="EBP129" s="70">
        <v>0</v>
      </c>
      <c r="EBQ129" s="70">
        <v>0</v>
      </c>
      <c r="EBR129" s="70">
        <v>0</v>
      </c>
      <c r="EBS129" s="70">
        <v>0</v>
      </c>
      <c r="EBT129" s="70">
        <v>0</v>
      </c>
      <c r="EBU129" s="70">
        <v>0</v>
      </c>
      <c r="EBV129" s="70">
        <v>0</v>
      </c>
      <c r="EBW129" s="70">
        <v>0</v>
      </c>
      <c r="EBX129" s="70">
        <v>0</v>
      </c>
      <c r="EBY129" s="70">
        <v>0</v>
      </c>
      <c r="EBZ129" s="70">
        <v>0</v>
      </c>
      <c r="ECA129" s="70">
        <v>0</v>
      </c>
      <c r="ECB129" s="70">
        <v>0</v>
      </c>
      <c r="ECC129" s="70">
        <v>0</v>
      </c>
      <c r="ECD129" s="70">
        <v>0</v>
      </c>
      <c r="ECE129" s="70">
        <v>0</v>
      </c>
      <c r="ECF129" s="70">
        <v>0</v>
      </c>
      <c r="ECG129" s="70">
        <v>0</v>
      </c>
      <c r="ECH129" s="70">
        <v>0</v>
      </c>
      <c r="ECI129" s="70">
        <v>0</v>
      </c>
      <c r="ECJ129" s="70">
        <v>0</v>
      </c>
      <c r="ECK129" s="70">
        <v>0</v>
      </c>
      <c r="ECL129" s="70">
        <v>0</v>
      </c>
      <c r="ECM129" s="70">
        <v>0</v>
      </c>
      <c r="ECN129" s="70">
        <v>0</v>
      </c>
      <c r="ECO129" s="70">
        <v>0</v>
      </c>
      <c r="ECP129" s="70">
        <v>0</v>
      </c>
      <c r="ECQ129" s="70">
        <v>0</v>
      </c>
      <c r="ECR129" s="70">
        <v>0</v>
      </c>
      <c r="ECS129" s="70">
        <v>0</v>
      </c>
      <c r="ECT129" s="70">
        <v>0</v>
      </c>
      <c r="ECU129" s="70">
        <v>0</v>
      </c>
      <c r="ECV129" s="70">
        <v>0</v>
      </c>
      <c r="ECW129" s="70">
        <v>0</v>
      </c>
      <c r="ECX129" s="70">
        <v>0</v>
      </c>
      <c r="ECY129" s="70">
        <v>0</v>
      </c>
      <c r="ECZ129" s="70">
        <v>0</v>
      </c>
      <c r="EDA129" s="70">
        <v>0</v>
      </c>
      <c r="EDB129" s="70">
        <v>0</v>
      </c>
      <c r="EDC129" s="70">
        <v>0</v>
      </c>
      <c r="EDD129" s="70">
        <v>0</v>
      </c>
      <c r="EDE129" s="70">
        <v>0</v>
      </c>
      <c r="EDF129" s="70">
        <v>0</v>
      </c>
      <c r="EDG129" s="70">
        <v>0</v>
      </c>
      <c r="EDH129" s="70">
        <v>0</v>
      </c>
      <c r="EDI129" s="70">
        <v>0</v>
      </c>
      <c r="EDJ129" s="70">
        <v>0</v>
      </c>
      <c r="EDK129" s="70">
        <v>0</v>
      </c>
      <c r="EDL129" s="70">
        <v>0</v>
      </c>
      <c r="EDM129" s="70">
        <v>0</v>
      </c>
      <c r="EDN129" s="70">
        <v>0</v>
      </c>
      <c r="EDO129" s="70">
        <v>0</v>
      </c>
      <c r="EDP129" s="70">
        <v>0</v>
      </c>
      <c r="EDQ129" s="70">
        <v>0</v>
      </c>
      <c r="EDR129" s="70">
        <v>0</v>
      </c>
      <c r="EDS129" s="70">
        <v>0</v>
      </c>
      <c r="EDT129" s="70">
        <v>0</v>
      </c>
      <c r="EDU129" s="70">
        <v>0</v>
      </c>
      <c r="EDV129" s="70">
        <v>0</v>
      </c>
      <c r="EDW129" s="70">
        <v>0</v>
      </c>
      <c r="EDX129" s="70">
        <v>0</v>
      </c>
      <c r="EDY129" s="70">
        <v>0</v>
      </c>
      <c r="EDZ129" s="70">
        <v>0</v>
      </c>
      <c r="EEA129" s="70">
        <v>0</v>
      </c>
      <c r="EEB129" s="70">
        <v>0</v>
      </c>
      <c r="EEC129" s="70">
        <v>0</v>
      </c>
      <c r="EED129" s="70">
        <v>0</v>
      </c>
      <c r="EEE129" s="70">
        <v>0</v>
      </c>
      <c r="EEF129" s="70">
        <v>0</v>
      </c>
      <c r="EEG129" s="70">
        <v>0</v>
      </c>
      <c r="EEH129" s="70">
        <v>0</v>
      </c>
      <c r="EEI129" s="70">
        <v>0</v>
      </c>
      <c r="EEJ129" s="70">
        <v>0</v>
      </c>
      <c r="EEK129" s="70">
        <v>0</v>
      </c>
      <c r="EEL129" s="70">
        <v>0</v>
      </c>
      <c r="EEM129" s="70">
        <v>0</v>
      </c>
      <c r="EEN129" s="70">
        <v>0</v>
      </c>
      <c r="EEO129" s="70">
        <v>0</v>
      </c>
      <c r="EEP129" s="70">
        <v>0</v>
      </c>
      <c r="EEQ129" s="70">
        <v>0</v>
      </c>
      <c r="EER129" s="70">
        <v>0</v>
      </c>
      <c r="EES129" s="70">
        <v>0</v>
      </c>
      <c r="EET129" s="70">
        <v>0</v>
      </c>
      <c r="EEU129" s="70">
        <v>0</v>
      </c>
      <c r="EEV129" s="70">
        <v>0</v>
      </c>
      <c r="EEW129" s="70">
        <v>0</v>
      </c>
      <c r="EEX129" s="70">
        <v>0</v>
      </c>
      <c r="EEY129" s="70">
        <v>0</v>
      </c>
      <c r="EEZ129" s="70">
        <v>0</v>
      </c>
      <c r="EFA129" s="70">
        <v>0</v>
      </c>
      <c r="EFB129" s="70">
        <v>0</v>
      </c>
      <c r="EFC129" s="70">
        <v>0</v>
      </c>
      <c r="EFD129" s="70">
        <v>0</v>
      </c>
      <c r="EFE129" s="70">
        <v>0</v>
      </c>
      <c r="EFF129" s="70">
        <v>0</v>
      </c>
      <c r="EFG129" s="70">
        <v>0</v>
      </c>
      <c r="EFH129" s="70">
        <v>0</v>
      </c>
      <c r="EFI129" s="70">
        <v>0</v>
      </c>
      <c r="EFJ129" s="70">
        <v>0</v>
      </c>
      <c r="EFK129" s="70">
        <v>0</v>
      </c>
      <c r="EFL129" s="70">
        <v>0</v>
      </c>
      <c r="EFM129" s="70">
        <v>0</v>
      </c>
      <c r="EFN129" s="70">
        <v>0</v>
      </c>
      <c r="EFO129" s="70">
        <v>0</v>
      </c>
      <c r="EFP129" s="70">
        <v>0</v>
      </c>
      <c r="EFQ129" s="70">
        <v>0</v>
      </c>
      <c r="EFR129" s="70">
        <v>0</v>
      </c>
      <c r="EFS129" s="70">
        <v>0</v>
      </c>
      <c r="EFT129" s="70">
        <v>0</v>
      </c>
      <c r="EFU129" s="70">
        <v>0</v>
      </c>
      <c r="EFV129" s="70">
        <v>0</v>
      </c>
      <c r="EFW129" s="70">
        <v>0</v>
      </c>
      <c r="EFX129" s="70">
        <v>0</v>
      </c>
      <c r="EFY129" s="70">
        <v>0</v>
      </c>
      <c r="EFZ129" s="70">
        <v>0</v>
      </c>
      <c r="EGA129" s="70">
        <v>0</v>
      </c>
      <c r="EGB129" s="70">
        <v>0</v>
      </c>
      <c r="EGC129" s="70">
        <v>0</v>
      </c>
      <c r="EGD129" s="70">
        <v>0</v>
      </c>
      <c r="EGE129" s="70">
        <v>0</v>
      </c>
      <c r="EGF129" s="70">
        <v>0</v>
      </c>
      <c r="EGG129" s="70">
        <v>0</v>
      </c>
      <c r="EGH129" s="70">
        <v>0</v>
      </c>
      <c r="EGI129" s="70">
        <v>0</v>
      </c>
      <c r="EGJ129" s="70">
        <v>0</v>
      </c>
      <c r="EGK129" s="70">
        <v>0</v>
      </c>
      <c r="EGL129" s="70">
        <v>0</v>
      </c>
      <c r="EGM129" s="70">
        <v>0</v>
      </c>
      <c r="EGN129" s="70">
        <v>0</v>
      </c>
      <c r="EGO129" s="70">
        <v>0</v>
      </c>
      <c r="EGP129" s="70">
        <v>0</v>
      </c>
      <c r="EGQ129" s="70">
        <v>0</v>
      </c>
      <c r="EGR129" s="70">
        <v>0</v>
      </c>
      <c r="EGS129" s="70">
        <v>0</v>
      </c>
      <c r="EGT129" s="70">
        <v>0</v>
      </c>
      <c r="EGU129" s="70">
        <v>0</v>
      </c>
      <c r="EGV129" s="70">
        <v>0</v>
      </c>
      <c r="EGW129" s="70">
        <v>0</v>
      </c>
      <c r="EGX129" s="70">
        <v>0</v>
      </c>
      <c r="EGY129" s="70">
        <v>0</v>
      </c>
      <c r="EGZ129" s="70">
        <v>0</v>
      </c>
      <c r="EHA129" s="70">
        <v>0</v>
      </c>
      <c r="EHB129" s="70">
        <v>0</v>
      </c>
      <c r="EHC129" s="70">
        <v>0</v>
      </c>
      <c r="EHD129" s="70">
        <v>0</v>
      </c>
      <c r="EHE129" s="70">
        <v>0</v>
      </c>
      <c r="EHF129" s="70">
        <v>0</v>
      </c>
      <c r="EHG129" s="70">
        <v>0</v>
      </c>
      <c r="EHH129" s="70">
        <v>0</v>
      </c>
      <c r="EHI129" s="70">
        <v>0</v>
      </c>
      <c r="EHJ129" s="70">
        <v>0</v>
      </c>
      <c r="EHK129" s="70">
        <v>0</v>
      </c>
      <c r="EHL129" s="70">
        <v>0</v>
      </c>
      <c r="EHM129" s="70">
        <v>0</v>
      </c>
      <c r="EHN129" s="70">
        <v>0</v>
      </c>
      <c r="EHO129" s="70">
        <v>0</v>
      </c>
      <c r="EHP129" s="70">
        <v>0</v>
      </c>
      <c r="EHQ129" s="70">
        <v>0</v>
      </c>
      <c r="EHR129" s="70">
        <v>0</v>
      </c>
      <c r="EHS129" s="70">
        <v>0</v>
      </c>
      <c r="EHT129" s="70">
        <v>0</v>
      </c>
      <c r="EHU129" s="70">
        <v>0</v>
      </c>
      <c r="EHV129" s="70">
        <v>0</v>
      </c>
      <c r="EHW129" s="70">
        <v>0</v>
      </c>
      <c r="EHX129" s="70">
        <v>0</v>
      </c>
      <c r="EHY129" s="70">
        <v>0</v>
      </c>
      <c r="EHZ129" s="70">
        <v>0</v>
      </c>
      <c r="EIA129" s="70">
        <v>0</v>
      </c>
      <c r="EIB129" s="70">
        <v>0</v>
      </c>
      <c r="EIC129" s="70">
        <v>0</v>
      </c>
      <c r="EID129" s="70">
        <v>0</v>
      </c>
      <c r="EIE129" s="70">
        <v>0</v>
      </c>
      <c r="EIF129" s="70">
        <v>0</v>
      </c>
      <c r="EIG129" s="70">
        <v>0</v>
      </c>
      <c r="EIH129" s="70">
        <v>0</v>
      </c>
      <c r="EII129" s="70">
        <v>0</v>
      </c>
      <c r="EIJ129" s="70">
        <v>0</v>
      </c>
      <c r="EIK129" s="70">
        <v>0</v>
      </c>
      <c r="EIL129" s="70">
        <v>0</v>
      </c>
      <c r="EIM129" s="70">
        <v>0</v>
      </c>
      <c r="EIN129" s="70">
        <v>0</v>
      </c>
      <c r="EIO129" s="70">
        <v>0</v>
      </c>
      <c r="EIP129" s="70">
        <v>0</v>
      </c>
      <c r="EIQ129" s="70">
        <v>0</v>
      </c>
      <c r="EIR129" s="70">
        <v>0</v>
      </c>
      <c r="EIS129" s="70">
        <v>0</v>
      </c>
      <c r="EIT129" s="70">
        <v>0</v>
      </c>
      <c r="EIU129" s="70">
        <v>0</v>
      </c>
      <c r="EIV129" s="70">
        <v>0</v>
      </c>
      <c r="EIW129" s="70">
        <v>0</v>
      </c>
      <c r="EIX129" s="70">
        <v>0</v>
      </c>
      <c r="EIY129" s="70">
        <v>0</v>
      </c>
      <c r="EIZ129" s="70">
        <v>0</v>
      </c>
      <c r="EJA129" s="70">
        <v>0</v>
      </c>
      <c r="EJB129" s="70">
        <v>0</v>
      </c>
      <c r="EJC129" s="70">
        <v>0</v>
      </c>
      <c r="EJD129" s="70">
        <v>0</v>
      </c>
      <c r="EJE129" s="70">
        <v>0</v>
      </c>
      <c r="EJF129" s="70">
        <v>0</v>
      </c>
      <c r="EJG129" s="70">
        <v>0</v>
      </c>
      <c r="EJH129" s="70">
        <v>0</v>
      </c>
      <c r="EJI129" s="70">
        <v>0</v>
      </c>
      <c r="EJJ129" s="70">
        <v>0</v>
      </c>
      <c r="EJK129" s="70">
        <v>0</v>
      </c>
      <c r="EJL129" s="70">
        <v>0</v>
      </c>
      <c r="EJM129" s="70">
        <v>0</v>
      </c>
      <c r="EJN129" s="70">
        <v>0</v>
      </c>
      <c r="EJO129" s="70">
        <v>0</v>
      </c>
      <c r="EJP129" s="70">
        <v>0</v>
      </c>
      <c r="EJQ129" s="70">
        <v>0</v>
      </c>
      <c r="EJR129" s="70">
        <v>0</v>
      </c>
      <c r="EJS129" s="70">
        <v>0</v>
      </c>
      <c r="EJT129" s="70">
        <v>0</v>
      </c>
      <c r="EJU129" s="70">
        <v>0</v>
      </c>
      <c r="EJV129" s="70">
        <v>0</v>
      </c>
      <c r="EJW129" s="70">
        <v>0</v>
      </c>
      <c r="EJX129" s="70">
        <v>0</v>
      </c>
      <c r="EJY129" s="70">
        <v>0</v>
      </c>
      <c r="EJZ129" s="70">
        <v>0</v>
      </c>
      <c r="EKA129" s="70">
        <v>0</v>
      </c>
      <c r="EKB129" s="70">
        <v>0</v>
      </c>
      <c r="EKC129" s="70">
        <v>0</v>
      </c>
      <c r="EKD129" s="70">
        <v>0</v>
      </c>
      <c r="EKE129" s="70">
        <v>0</v>
      </c>
      <c r="EKF129" s="70">
        <v>0</v>
      </c>
      <c r="EKG129" s="70">
        <v>0</v>
      </c>
      <c r="EKH129" s="70">
        <v>0</v>
      </c>
      <c r="EKI129" s="70">
        <v>0</v>
      </c>
      <c r="EKJ129" s="70">
        <v>0</v>
      </c>
      <c r="EKK129" s="70">
        <v>0</v>
      </c>
      <c r="EKL129" s="70">
        <v>0</v>
      </c>
      <c r="EKM129" s="70">
        <v>0</v>
      </c>
      <c r="EKN129" s="70">
        <v>0</v>
      </c>
      <c r="EKO129" s="70">
        <v>0</v>
      </c>
      <c r="EKP129" s="70">
        <v>0</v>
      </c>
      <c r="EKQ129" s="70">
        <v>0</v>
      </c>
      <c r="EKR129" s="70">
        <v>0</v>
      </c>
      <c r="EKS129" s="70">
        <v>0</v>
      </c>
      <c r="EKT129" s="70">
        <v>0</v>
      </c>
      <c r="EKU129" s="70">
        <v>0</v>
      </c>
      <c r="EKV129" s="70">
        <v>0</v>
      </c>
      <c r="EKW129" s="70">
        <v>0</v>
      </c>
      <c r="EKX129" s="70">
        <v>0</v>
      </c>
      <c r="EKY129" s="70">
        <v>0</v>
      </c>
      <c r="EKZ129" s="70">
        <v>0</v>
      </c>
      <c r="ELA129" s="70">
        <v>0</v>
      </c>
      <c r="ELB129" s="70">
        <v>0</v>
      </c>
      <c r="ELC129" s="70">
        <v>0</v>
      </c>
      <c r="ELD129" s="70">
        <v>0</v>
      </c>
      <c r="ELE129" s="70">
        <v>0</v>
      </c>
      <c r="ELF129" s="70">
        <v>0</v>
      </c>
      <c r="ELG129" s="70">
        <v>0</v>
      </c>
      <c r="ELH129" s="70">
        <v>0</v>
      </c>
      <c r="ELI129" s="70">
        <v>0</v>
      </c>
      <c r="ELJ129" s="70">
        <v>0</v>
      </c>
      <c r="ELK129" s="70">
        <v>0</v>
      </c>
      <c r="ELL129" s="70">
        <v>0</v>
      </c>
      <c r="ELM129" s="70">
        <v>0</v>
      </c>
      <c r="ELN129" s="70">
        <v>0</v>
      </c>
      <c r="ELO129" s="70">
        <v>0</v>
      </c>
      <c r="ELP129" s="70">
        <v>0</v>
      </c>
      <c r="ELQ129" s="70">
        <v>0</v>
      </c>
      <c r="ELR129" s="70">
        <v>0</v>
      </c>
      <c r="ELS129" s="70">
        <v>0</v>
      </c>
      <c r="ELT129" s="70">
        <v>0</v>
      </c>
      <c r="ELU129" s="70">
        <v>0</v>
      </c>
      <c r="ELV129" s="70">
        <v>0</v>
      </c>
      <c r="ELW129" s="70">
        <v>0</v>
      </c>
      <c r="ELX129" s="70">
        <v>0</v>
      </c>
      <c r="ELY129" s="70">
        <v>0</v>
      </c>
      <c r="ELZ129" s="70">
        <v>0</v>
      </c>
      <c r="EMA129" s="70">
        <v>0</v>
      </c>
      <c r="EMB129" s="70">
        <v>0</v>
      </c>
      <c r="EMC129" s="70">
        <v>0</v>
      </c>
      <c r="EMD129" s="70">
        <v>0</v>
      </c>
      <c r="EME129" s="70">
        <v>0</v>
      </c>
      <c r="EMF129" s="70">
        <v>0</v>
      </c>
      <c r="EMG129" s="70">
        <v>0</v>
      </c>
      <c r="EMH129" s="70">
        <v>0</v>
      </c>
      <c r="EMI129" s="70">
        <v>0</v>
      </c>
      <c r="EMJ129" s="70">
        <v>0</v>
      </c>
      <c r="EMK129" s="70">
        <v>0</v>
      </c>
      <c r="EML129" s="70">
        <v>0</v>
      </c>
      <c r="EMM129" s="70">
        <v>0</v>
      </c>
      <c r="EMN129" s="70">
        <v>0</v>
      </c>
      <c r="EMO129" s="70">
        <v>0</v>
      </c>
      <c r="EMP129" s="70">
        <v>0</v>
      </c>
      <c r="EMQ129" s="70">
        <v>0</v>
      </c>
      <c r="EMR129" s="70">
        <v>0</v>
      </c>
      <c r="EMS129" s="70">
        <v>0</v>
      </c>
      <c r="EMT129" s="70">
        <v>0</v>
      </c>
      <c r="EMU129" s="70">
        <v>0</v>
      </c>
      <c r="EMV129" s="70">
        <v>0</v>
      </c>
      <c r="EMW129" s="70">
        <v>0</v>
      </c>
      <c r="EMX129" s="70">
        <v>0</v>
      </c>
      <c r="EMY129" s="70">
        <v>0</v>
      </c>
      <c r="EMZ129" s="70">
        <v>0</v>
      </c>
      <c r="ENA129" s="70">
        <v>0</v>
      </c>
      <c r="ENB129" s="70">
        <v>0</v>
      </c>
      <c r="ENC129" s="70">
        <v>0</v>
      </c>
      <c r="END129" s="70">
        <v>0</v>
      </c>
      <c r="ENE129" s="70">
        <v>0</v>
      </c>
      <c r="ENF129" s="70">
        <v>0</v>
      </c>
      <c r="ENG129" s="70">
        <v>0</v>
      </c>
      <c r="ENH129" s="70">
        <v>0</v>
      </c>
      <c r="ENI129" s="70">
        <v>0</v>
      </c>
      <c r="ENJ129" s="70">
        <v>0</v>
      </c>
      <c r="ENK129" s="70">
        <v>0</v>
      </c>
      <c r="ENL129" s="70">
        <v>0</v>
      </c>
      <c r="ENM129" s="70">
        <v>0</v>
      </c>
      <c r="ENN129" s="70">
        <v>0</v>
      </c>
      <c r="ENO129" s="70">
        <v>0</v>
      </c>
      <c r="ENP129" s="70">
        <v>0</v>
      </c>
      <c r="ENQ129" s="70">
        <v>0</v>
      </c>
      <c r="ENR129" s="70">
        <v>0</v>
      </c>
      <c r="ENS129" s="70">
        <v>0</v>
      </c>
      <c r="ENT129" s="70">
        <v>0</v>
      </c>
      <c r="ENU129" s="70">
        <v>0</v>
      </c>
      <c r="ENV129" s="70">
        <v>0</v>
      </c>
      <c r="ENW129" s="70">
        <v>0</v>
      </c>
      <c r="ENX129" s="70">
        <v>0</v>
      </c>
      <c r="ENY129" s="70">
        <v>0</v>
      </c>
      <c r="ENZ129" s="70">
        <v>0</v>
      </c>
      <c r="EOA129" s="70">
        <v>0</v>
      </c>
      <c r="EOB129" s="70">
        <v>0</v>
      </c>
      <c r="EOC129" s="70">
        <v>0</v>
      </c>
      <c r="EOD129" s="70">
        <v>0</v>
      </c>
      <c r="EOE129" s="70">
        <v>0</v>
      </c>
      <c r="EOF129" s="70">
        <v>0</v>
      </c>
      <c r="EOG129" s="70">
        <v>0</v>
      </c>
      <c r="EOH129" s="70">
        <v>0</v>
      </c>
      <c r="EOI129" s="70">
        <v>0</v>
      </c>
      <c r="EOJ129" s="70">
        <v>0</v>
      </c>
      <c r="EOK129" s="70">
        <v>0</v>
      </c>
      <c r="EOL129" s="70">
        <v>0</v>
      </c>
      <c r="EOM129" s="70">
        <v>0</v>
      </c>
      <c r="EON129" s="70">
        <v>0</v>
      </c>
      <c r="EOO129" s="70">
        <v>0</v>
      </c>
      <c r="EOP129" s="70">
        <v>0</v>
      </c>
      <c r="EOQ129" s="70">
        <v>0</v>
      </c>
      <c r="EOR129" s="70">
        <v>0</v>
      </c>
      <c r="EOS129" s="70">
        <v>0</v>
      </c>
      <c r="EOT129" s="70">
        <v>0</v>
      </c>
      <c r="EOU129" s="70">
        <v>0</v>
      </c>
      <c r="EOV129" s="70">
        <v>0</v>
      </c>
      <c r="EOW129" s="70">
        <v>0</v>
      </c>
      <c r="EOX129" s="70">
        <v>0</v>
      </c>
      <c r="EOY129" s="70">
        <v>0</v>
      </c>
      <c r="EOZ129" s="70">
        <v>0</v>
      </c>
      <c r="EPA129" s="70">
        <v>0</v>
      </c>
      <c r="EPB129" s="70">
        <v>0</v>
      </c>
      <c r="EPC129" s="70">
        <v>0</v>
      </c>
      <c r="EPD129" s="70">
        <v>0</v>
      </c>
      <c r="EPE129" s="70">
        <v>0</v>
      </c>
      <c r="EPF129" s="70">
        <v>0</v>
      </c>
      <c r="EPG129" s="70">
        <v>0</v>
      </c>
      <c r="EPH129" s="70">
        <v>0</v>
      </c>
      <c r="EPI129" s="70">
        <v>0</v>
      </c>
      <c r="EPJ129" s="70">
        <v>0</v>
      </c>
      <c r="EPK129" s="70">
        <v>0</v>
      </c>
      <c r="EPL129" s="70">
        <v>0</v>
      </c>
      <c r="EPM129" s="70">
        <v>0</v>
      </c>
      <c r="EPN129" s="70">
        <v>0</v>
      </c>
      <c r="EPO129" s="70">
        <v>0</v>
      </c>
      <c r="EPP129" s="70">
        <v>0</v>
      </c>
      <c r="EPQ129" s="70">
        <v>0</v>
      </c>
      <c r="EPR129" s="70">
        <v>0</v>
      </c>
      <c r="EPS129" s="70">
        <v>0</v>
      </c>
      <c r="EPT129" s="70">
        <v>0</v>
      </c>
      <c r="EPU129" s="70">
        <v>0</v>
      </c>
      <c r="EPV129" s="70">
        <v>0</v>
      </c>
      <c r="EPW129" s="70">
        <v>0</v>
      </c>
      <c r="EPX129" s="70">
        <v>0</v>
      </c>
      <c r="EPY129" s="70">
        <v>0</v>
      </c>
      <c r="EPZ129" s="70">
        <v>0</v>
      </c>
      <c r="EQA129" s="70">
        <v>0</v>
      </c>
      <c r="EQB129" s="70">
        <v>0</v>
      </c>
      <c r="EQC129" s="70">
        <v>0</v>
      </c>
      <c r="EQD129" s="70">
        <v>0</v>
      </c>
      <c r="EQE129" s="70">
        <v>0</v>
      </c>
      <c r="EQF129" s="70">
        <v>0</v>
      </c>
      <c r="EQG129" s="70">
        <v>0</v>
      </c>
      <c r="EQH129" s="70">
        <v>0</v>
      </c>
      <c r="EQI129" s="70">
        <v>0</v>
      </c>
      <c r="EQJ129" s="70">
        <v>0</v>
      </c>
      <c r="EQK129" s="70">
        <v>0</v>
      </c>
      <c r="EQL129" s="70">
        <v>0</v>
      </c>
      <c r="EQM129" s="70">
        <v>0</v>
      </c>
      <c r="EQN129" s="70">
        <v>0</v>
      </c>
      <c r="EQO129" s="70">
        <v>0</v>
      </c>
      <c r="EQP129" s="70">
        <v>0</v>
      </c>
      <c r="EQQ129" s="70">
        <v>0</v>
      </c>
      <c r="EQR129" s="70">
        <v>0</v>
      </c>
      <c r="EQS129" s="70">
        <v>0</v>
      </c>
      <c r="EQT129" s="70">
        <v>0</v>
      </c>
      <c r="EQU129" s="70">
        <v>0</v>
      </c>
      <c r="EQV129" s="70">
        <v>0</v>
      </c>
      <c r="EQW129" s="70">
        <v>0</v>
      </c>
      <c r="EQX129" s="70">
        <v>0</v>
      </c>
      <c r="EQY129" s="70">
        <v>0</v>
      </c>
      <c r="EQZ129" s="70">
        <v>0</v>
      </c>
      <c r="ERA129" s="70">
        <v>0</v>
      </c>
      <c r="ERB129" s="70">
        <v>0</v>
      </c>
      <c r="ERC129" s="70">
        <v>0</v>
      </c>
      <c r="ERD129" s="70">
        <v>0</v>
      </c>
      <c r="ERE129" s="70">
        <v>0</v>
      </c>
      <c r="ERF129" s="70">
        <v>0</v>
      </c>
      <c r="ERG129" s="70">
        <v>0</v>
      </c>
      <c r="ERH129" s="70">
        <v>0</v>
      </c>
      <c r="ERI129" s="70">
        <v>0</v>
      </c>
      <c r="ERJ129" s="70">
        <v>0</v>
      </c>
      <c r="ERK129" s="70">
        <v>0</v>
      </c>
      <c r="ERL129" s="70">
        <v>0</v>
      </c>
      <c r="ERM129" s="70">
        <v>0</v>
      </c>
      <c r="ERN129" s="70">
        <v>0</v>
      </c>
      <c r="ERO129" s="70">
        <v>0</v>
      </c>
      <c r="ERP129" s="70">
        <v>0</v>
      </c>
      <c r="ERQ129" s="70">
        <v>0</v>
      </c>
      <c r="ERR129" s="70">
        <v>0</v>
      </c>
      <c r="ERS129" s="70">
        <v>0</v>
      </c>
      <c r="ERT129" s="70">
        <v>0</v>
      </c>
      <c r="ERU129" s="70">
        <v>0</v>
      </c>
      <c r="ERV129" s="70">
        <v>0</v>
      </c>
      <c r="ERW129" s="70">
        <v>0</v>
      </c>
      <c r="ERX129" s="70">
        <v>0</v>
      </c>
      <c r="ERY129" s="70">
        <v>0</v>
      </c>
      <c r="ERZ129" s="70">
        <v>0</v>
      </c>
      <c r="ESA129" s="70">
        <v>0</v>
      </c>
      <c r="ESB129" s="70">
        <v>0</v>
      </c>
      <c r="ESC129" s="70">
        <v>0</v>
      </c>
      <c r="ESD129" s="70">
        <v>0</v>
      </c>
      <c r="ESE129" s="70">
        <v>0</v>
      </c>
      <c r="ESF129" s="70">
        <v>0</v>
      </c>
      <c r="ESG129" s="70">
        <v>0</v>
      </c>
      <c r="ESH129" s="70">
        <v>0</v>
      </c>
      <c r="ESI129" s="70">
        <v>0</v>
      </c>
      <c r="ESJ129" s="70">
        <v>0</v>
      </c>
      <c r="ESK129" s="70">
        <v>0</v>
      </c>
      <c r="ESL129" s="70">
        <v>0</v>
      </c>
      <c r="ESM129" s="70">
        <v>0</v>
      </c>
      <c r="ESN129" s="70">
        <v>0</v>
      </c>
      <c r="ESO129" s="70">
        <v>0</v>
      </c>
      <c r="ESP129" s="70">
        <v>0</v>
      </c>
      <c r="ESQ129" s="70">
        <v>0</v>
      </c>
      <c r="ESR129" s="70">
        <v>0</v>
      </c>
      <c r="ESS129" s="70">
        <v>0</v>
      </c>
      <c r="EST129" s="70">
        <v>0</v>
      </c>
      <c r="ESU129" s="70">
        <v>0</v>
      </c>
      <c r="ESV129" s="70">
        <v>0</v>
      </c>
      <c r="ESW129" s="70">
        <v>0</v>
      </c>
      <c r="ESX129" s="70">
        <v>0</v>
      </c>
      <c r="ESY129" s="70">
        <v>0</v>
      </c>
      <c r="ESZ129" s="70">
        <v>0</v>
      </c>
      <c r="ETA129" s="70">
        <v>0</v>
      </c>
      <c r="ETB129" s="70">
        <v>0</v>
      </c>
      <c r="ETC129" s="70">
        <v>0</v>
      </c>
      <c r="ETD129" s="70">
        <v>0</v>
      </c>
      <c r="ETE129" s="70">
        <v>0</v>
      </c>
      <c r="ETF129" s="70">
        <v>0</v>
      </c>
      <c r="ETG129" s="70">
        <v>0</v>
      </c>
      <c r="ETH129" s="70">
        <v>0</v>
      </c>
      <c r="ETI129" s="70">
        <v>0</v>
      </c>
      <c r="ETJ129" s="70">
        <v>0</v>
      </c>
      <c r="ETK129" s="70">
        <v>0</v>
      </c>
      <c r="ETL129" s="70">
        <v>0</v>
      </c>
      <c r="ETM129" s="70">
        <v>0</v>
      </c>
      <c r="ETN129" s="70">
        <v>0</v>
      </c>
      <c r="ETO129" s="70">
        <v>0</v>
      </c>
      <c r="ETP129" s="70">
        <v>0</v>
      </c>
      <c r="ETQ129" s="70">
        <v>0</v>
      </c>
      <c r="ETR129" s="70">
        <v>0</v>
      </c>
      <c r="ETS129" s="70">
        <v>0</v>
      </c>
      <c r="ETT129" s="70">
        <v>0</v>
      </c>
      <c r="ETU129" s="70">
        <v>0</v>
      </c>
      <c r="ETV129" s="70">
        <v>0</v>
      </c>
      <c r="ETW129" s="70">
        <v>0</v>
      </c>
      <c r="ETX129" s="70">
        <v>0</v>
      </c>
      <c r="ETY129" s="70">
        <v>0</v>
      </c>
      <c r="ETZ129" s="70">
        <v>0</v>
      </c>
      <c r="EUA129" s="70">
        <v>0</v>
      </c>
      <c r="EUB129" s="70">
        <v>0</v>
      </c>
      <c r="EUC129" s="70">
        <v>0</v>
      </c>
      <c r="EUD129" s="70">
        <v>0</v>
      </c>
      <c r="EUE129" s="70">
        <v>0</v>
      </c>
      <c r="EUF129" s="70">
        <v>0</v>
      </c>
      <c r="EUG129" s="70">
        <v>0</v>
      </c>
      <c r="EUH129" s="70">
        <v>0</v>
      </c>
      <c r="EUI129" s="70">
        <v>0</v>
      </c>
      <c r="EUJ129" s="70">
        <v>0</v>
      </c>
      <c r="EUK129" s="70">
        <v>0</v>
      </c>
      <c r="EUL129" s="70">
        <v>0</v>
      </c>
      <c r="EUM129" s="70">
        <v>0</v>
      </c>
      <c r="EUN129" s="70">
        <v>0</v>
      </c>
      <c r="EUO129" s="70">
        <v>0</v>
      </c>
      <c r="EUP129" s="70">
        <v>0</v>
      </c>
      <c r="EUQ129" s="70">
        <v>0</v>
      </c>
      <c r="EUR129" s="70">
        <v>0</v>
      </c>
      <c r="EUS129" s="70">
        <v>0</v>
      </c>
      <c r="EUT129" s="70">
        <v>0</v>
      </c>
      <c r="EUU129" s="70">
        <v>0</v>
      </c>
      <c r="EUV129" s="70">
        <v>0</v>
      </c>
      <c r="EUW129" s="70">
        <v>0</v>
      </c>
      <c r="EUX129" s="70">
        <v>0</v>
      </c>
      <c r="EUY129" s="70">
        <v>0</v>
      </c>
      <c r="EUZ129" s="70">
        <v>0</v>
      </c>
      <c r="EVA129" s="70">
        <v>0</v>
      </c>
      <c r="EVB129" s="70">
        <v>0</v>
      </c>
      <c r="EVC129" s="70">
        <v>0</v>
      </c>
      <c r="EVD129" s="70">
        <v>0</v>
      </c>
      <c r="EVE129" s="70">
        <v>0</v>
      </c>
      <c r="EVF129" s="70">
        <v>0</v>
      </c>
      <c r="EVG129" s="70">
        <v>0</v>
      </c>
      <c r="EVH129" s="70">
        <v>0</v>
      </c>
      <c r="EVI129" s="70">
        <v>0</v>
      </c>
      <c r="EVJ129" s="70">
        <v>0</v>
      </c>
      <c r="EVK129" s="70">
        <v>0</v>
      </c>
      <c r="EVL129" s="70">
        <v>0</v>
      </c>
      <c r="EVM129" s="70">
        <v>0</v>
      </c>
      <c r="EVN129" s="70">
        <v>0</v>
      </c>
      <c r="EVO129" s="70">
        <v>0</v>
      </c>
      <c r="EVP129" s="70">
        <v>0</v>
      </c>
      <c r="EVQ129" s="70">
        <v>0</v>
      </c>
      <c r="EVR129" s="70">
        <v>0</v>
      </c>
      <c r="EVS129" s="70">
        <v>0</v>
      </c>
      <c r="EVT129" s="70">
        <v>0</v>
      </c>
      <c r="EVU129" s="70">
        <v>0</v>
      </c>
      <c r="EVV129" s="70">
        <v>0</v>
      </c>
      <c r="EVW129" s="70">
        <v>0</v>
      </c>
      <c r="EVX129" s="70">
        <v>0</v>
      </c>
      <c r="EVY129" s="70">
        <v>0</v>
      </c>
      <c r="EVZ129" s="70">
        <v>0</v>
      </c>
      <c r="EWA129" s="70">
        <v>0</v>
      </c>
      <c r="EWB129" s="70">
        <v>0</v>
      </c>
      <c r="EWC129" s="70">
        <v>0</v>
      </c>
      <c r="EWD129" s="70">
        <v>0</v>
      </c>
      <c r="EWE129" s="70">
        <v>0</v>
      </c>
      <c r="EWF129" s="70">
        <v>0</v>
      </c>
      <c r="EWG129" s="70">
        <v>0</v>
      </c>
      <c r="EWH129" s="70">
        <v>0</v>
      </c>
      <c r="EWI129" s="70">
        <v>0</v>
      </c>
      <c r="EWJ129" s="70">
        <v>0</v>
      </c>
      <c r="EWK129" s="70">
        <v>0</v>
      </c>
      <c r="EWL129" s="70">
        <v>0</v>
      </c>
      <c r="EWM129" s="70">
        <v>0</v>
      </c>
      <c r="EWN129" s="70">
        <v>0</v>
      </c>
      <c r="EWO129" s="70">
        <v>0</v>
      </c>
      <c r="EWP129" s="70">
        <v>0</v>
      </c>
      <c r="EWQ129" s="70">
        <v>0</v>
      </c>
      <c r="EWR129" s="70">
        <v>0</v>
      </c>
      <c r="EWS129" s="70">
        <v>0</v>
      </c>
      <c r="EWT129" s="70">
        <v>0</v>
      </c>
      <c r="EWU129" s="70">
        <v>0</v>
      </c>
      <c r="EWV129" s="70">
        <v>0</v>
      </c>
      <c r="EWW129" s="70">
        <v>0</v>
      </c>
      <c r="EWX129" s="70">
        <v>0</v>
      </c>
      <c r="EWY129" s="70">
        <v>0</v>
      </c>
      <c r="EWZ129" s="70">
        <v>0</v>
      </c>
      <c r="EXA129" s="70">
        <v>0</v>
      </c>
      <c r="EXB129" s="70">
        <v>0</v>
      </c>
      <c r="EXC129" s="70">
        <v>0</v>
      </c>
      <c r="EXD129" s="70">
        <v>0</v>
      </c>
      <c r="EXE129" s="70">
        <v>0</v>
      </c>
      <c r="EXF129" s="70">
        <v>0</v>
      </c>
      <c r="EXG129" s="70">
        <v>0</v>
      </c>
      <c r="EXH129" s="70">
        <v>0</v>
      </c>
      <c r="EXI129" s="70">
        <v>0</v>
      </c>
      <c r="EXJ129" s="70">
        <v>0</v>
      </c>
      <c r="EXK129" s="70">
        <v>0</v>
      </c>
      <c r="EXL129" s="70">
        <v>0</v>
      </c>
      <c r="EXM129" s="70">
        <v>0</v>
      </c>
      <c r="EXN129" s="70">
        <v>0</v>
      </c>
      <c r="EXO129" s="70">
        <v>0</v>
      </c>
      <c r="EXP129" s="70">
        <v>0</v>
      </c>
      <c r="EXQ129" s="70">
        <v>0</v>
      </c>
      <c r="EXR129" s="70">
        <v>0</v>
      </c>
      <c r="EXS129" s="70">
        <v>0</v>
      </c>
      <c r="EXT129" s="70">
        <v>0</v>
      </c>
      <c r="EXU129" s="70">
        <v>0</v>
      </c>
      <c r="EXV129" s="70">
        <v>0</v>
      </c>
      <c r="EXW129" s="70">
        <v>0</v>
      </c>
      <c r="EXX129" s="70">
        <v>0</v>
      </c>
      <c r="EXY129" s="70">
        <v>0</v>
      </c>
      <c r="EXZ129" s="70">
        <v>0</v>
      </c>
      <c r="EYA129" s="70">
        <v>0</v>
      </c>
      <c r="EYB129" s="70">
        <v>0</v>
      </c>
      <c r="EYC129" s="70">
        <v>0</v>
      </c>
      <c r="EYD129" s="70">
        <v>0</v>
      </c>
      <c r="EYE129" s="70">
        <v>0</v>
      </c>
      <c r="EYF129" s="70">
        <v>0</v>
      </c>
      <c r="EYG129" s="70">
        <v>0</v>
      </c>
      <c r="EYH129" s="70">
        <v>0</v>
      </c>
      <c r="EYI129" s="70">
        <v>0</v>
      </c>
      <c r="EYJ129" s="70">
        <v>0</v>
      </c>
      <c r="EYK129" s="70">
        <v>0</v>
      </c>
      <c r="EYL129" s="70">
        <v>0</v>
      </c>
      <c r="EYM129" s="70">
        <v>0</v>
      </c>
      <c r="EYN129" s="70">
        <v>0</v>
      </c>
      <c r="EYO129" s="70">
        <v>0</v>
      </c>
      <c r="EYP129" s="70">
        <v>0</v>
      </c>
      <c r="EYQ129" s="70">
        <v>0</v>
      </c>
      <c r="EYR129" s="70">
        <v>0</v>
      </c>
      <c r="EYS129" s="70">
        <v>0</v>
      </c>
      <c r="EYT129" s="70">
        <v>0</v>
      </c>
      <c r="EYU129" s="70">
        <v>0</v>
      </c>
      <c r="EYV129" s="70">
        <v>0</v>
      </c>
      <c r="EYW129" s="70">
        <v>0</v>
      </c>
      <c r="EYX129" s="70">
        <v>0</v>
      </c>
      <c r="EYY129" s="70">
        <v>0</v>
      </c>
      <c r="EYZ129" s="70">
        <v>0</v>
      </c>
      <c r="EZA129" s="70">
        <v>0</v>
      </c>
      <c r="EZB129" s="70">
        <v>0</v>
      </c>
      <c r="EZC129" s="70">
        <v>0</v>
      </c>
      <c r="EZD129" s="70">
        <v>0</v>
      </c>
      <c r="EZE129" s="70">
        <v>0</v>
      </c>
      <c r="EZF129" s="70">
        <v>0</v>
      </c>
      <c r="EZG129" s="70">
        <v>0</v>
      </c>
      <c r="EZH129" s="70">
        <v>0</v>
      </c>
      <c r="EZI129" s="70">
        <v>0</v>
      </c>
      <c r="EZJ129" s="70">
        <v>0</v>
      </c>
      <c r="EZK129" s="70">
        <v>0</v>
      </c>
      <c r="EZL129" s="70">
        <v>0</v>
      </c>
      <c r="EZM129" s="70">
        <v>0</v>
      </c>
      <c r="EZN129" s="70">
        <v>0</v>
      </c>
      <c r="EZO129" s="70">
        <v>0</v>
      </c>
      <c r="EZP129" s="70">
        <v>0</v>
      </c>
      <c r="EZQ129" s="70">
        <v>0</v>
      </c>
      <c r="EZR129" s="70">
        <v>0</v>
      </c>
      <c r="EZS129" s="70">
        <v>0</v>
      </c>
      <c r="EZT129" s="70">
        <v>0</v>
      </c>
      <c r="EZU129" s="70">
        <v>0</v>
      </c>
      <c r="EZV129" s="70">
        <v>0</v>
      </c>
      <c r="EZW129" s="70">
        <v>0</v>
      </c>
      <c r="EZX129" s="70">
        <v>0</v>
      </c>
      <c r="EZY129" s="70">
        <v>0</v>
      </c>
      <c r="EZZ129" s="70">
        <v>0</v>
      </c>
      <c r="FAA129" s="70">
        <v>0</v>
      </c>
      <c r="FAB129" s="70">
        <v>0</v>
      </c>
      <c r="FAC129" s="70">
        <v>0</v>
      </c>
      <c r="FAD129" s="70">
        <v>0</v>
      </c>
      <c r="FAE129" s="70">
        <v>0</v>
      </c>
      <c r="FAF129" s="70">
        <v>0</v>
      </c>
      <c r="FAG129" s="70">
        <v>0</v>
      </c>
      <c r="FAH129" s="70">
        <v>0</v>
      </c>
      <c r="FAI129" s="70">
        <v>0</v>
      </c>
      <c r="FAJ129" s="70">
        <v>0</v>
      </c>
      <c r="FAK129" s="70">
        <v>0</v>
      </c>
      <c r="FAL129" s="70">
        <v>0</v>
      </c>
      <c r="FAM129" s="70">
        <v>0</v>
      </c>
      <c r="FAN129" s="70">
        <v>0</v>
      </c>
      <c r="FAO129" s="70">
        <v>0</v>
      </c>
      <c r="FAP129" s="70">
        <v>0</v>
      </c>
      <c r="FAQ129" s="70">
        <v>0</v>
      </c>
      <c r="FAR129" s="70">
        <v>0</v>
      </c>
      <c r="FAS129" s="70">
        <v>0</v>
      </c>
      <c r="FAT129" s="70">
        <v>0</v>
      </c>
      <c r="FAU129" s="70">
        <v>0</v>
      </c>
      <c r="FAV129" s="70">
        <v>0</v>
      </c>
      <c r="FAW129" s="70">
        <v>0</v>
      </c>
      <c r="FAX129" s="70">
        <v>0</v>
      </c>
      <c r="FAY129" s="70">
        <v>0</v>
      </c>
      <c r="FAZ129" s="70">
        <v>0</v>
      </c>
      <c r="FBA129" s="70">
        <v>0</v>
      </c>
      <c r="FBB129" s="70">
        <v>0</v>
      </c>
      <c r="FBC129" s="70">
        <v>0</v>
      </c>
      <c r="FBD129" s="70">
        <v>0</v>
      </c>
      <c r="FBE129" s="70">
        <v>0</v>
      </c>
      <c r="FBF129" s="70">
        <v>0</v>
      </c>
      <c r="FBG129" s="70">
        <v>0</v>
      </c>
      <c r="FBH129" s="70">
        <v>0</v>
      </c>
      <c r="FBI129" s="70">
        <v>0</v>
      </c>
      <c r="FBJ129" s="70">
        <v>0</v>
      </c>
      <c r="FBK129" s="70">
        <v>0</v>
      </c>
      <c r="FBL129" s="70">
        <v>0</v>
      </c>
      <c r="FBM129" s="70">
        <v>0</v>
      </c>
      <c r="FBN129" s="70">
        <v>0</v>
      </c>
      <c r="FBO129" s="70">
        <v>0</v>
      </c>
      <c r="FBP129" s="70">
        <v>0</v>
      </c>
      <c r="FBQ129" s="70">
        <v>0</v>
      </c>
      <c r="FBR129" s="70">
        <v>0</v>
      </c>
      <c r="FBS129" s="70">
        <v>0</v>
      </c>
      <c r="FBT129" s="70">
        <v>0</v>
      </c>
      <c r="FBU129" s="70">
        <v>0</v>
      </c>
      <c r="FBV129" s="70">
        <v>0</v>
      </c>
      <c r="FBW129" s="70">
        <v>0</v>
      </c>
      <c r="FBX129" s="70">
        <v>0</v>
      </c>
      <c r="FBY129" s="70">
        <v>0</v>
      </c>
      <c r="FBZ129" s="70">
        <v>0</v>
      </c>
      <c r="FCA129" s="70">
        <v>0</v>
      </c>
      <c r="FCB129" s="70">
        <v>0</v>
      </c>
      <c r="FCC129" s="70">
        <v>0</v>
      </c>
      <c r="FCD129" s="70">
        <v>0</v>
      </c>
      <c r="FCE129" s="70">
        <v>0</v>
      </c>
      <c r="FCF129" s="70">
        <v>0</v>
      </c>
      <c r="FCG129" s="70">
        <v>0</v>
      </c>
      <c r="FCH129" s="70">
        <v>0</v>
      </c>
      <c r="FCI129" s="70">
        <v>0</v>
      </c>
      <c r="FCJ129" s="70">
        <v>0</v>
      </c>
      <c r="FCK129" s="70">
        <v>0</v>
      </c>
      <c r="FCL129" s="70">
        <v>0</v>
      </c>
      <c r="FCM129" s="70">
        <v>0</v>
      </c>
      <c r="FCN129" s="70">
        <v>0</v>
      </c>
      <c r="FCO129" s="70">
        <v>0</v>
      </c>
      <c r="FCP129" s="70">
        <v>0</v>
      </c>
      <c r="FCQ129" s="70">
        <v>0</v>
      </c>
      <c r="FCR129" s="70">
        <v>0</v>
      </c>
      <c r="FCS129" s="70">
        <v>0</v>
      </c>
      <c r="FCT129" s="70">
        <v>0</v>
      </c>
      <c r="FCU129" s="70">
        <v>0</v>
      </c>
      <c r="FCV129" s="70">
        <v>0</v>
      </c>
      <c r="FCW129" s="70">
        <v>0</v>
      </c>
      <c r="FCX129" s="70">
        <v>0</v>
      </c>
      <c r="FCY129" s="70">
        <v>0</v>
      </c>
      <c r="FCZ129" s="70">
        <v>0</v>
      </c>
      <c r="FDA129" s="70">
        <v>0</v>
      </c>
      <c r="FDB129" s="70">
        <v>0</v>
      </c>
      <c r="FDC129" s="70">
        <v>0</v>
      </c>
      <c r="FDD129" s="70">
        <v>0</v>
      </c>
      <c r="FDE129" s="70">
        <v>0</v>
      </c>
      <c r="FDF129" s="70">
        <v>0</v>
      </c>
      <c r="FDG129" s="70">
        <v>0</v>
      </c>
      <c r="FDH129" s="70">
        <v>0</v>
      </c>
      <c r="FDI129" s="70">
        <v>0</v>
      </c>
      <c r="FDJ129" s="70">
        <v>0</v>
      </c>
      <c r="FDK129" s="70">
        <v>0</v>
      </c>
      <c r="FDL129" s="70">
        <v>0</v>
      </c>
      <c r="FDM129" s="70">
        <v>0</v>
      </c>
      <c r="FDN129" s="70">
        <v>0</v>
      </c>
      <c r="FDO129" s="70">
        <v>0</v>
      </c>
      <c r="FDP129" s="70">
        <v>0</v>
      </c>
      <c r="FDQ129" s="70">
        <v>0</v>
      </c>
      <c r="FDR129" s="70">
        <v>0</v>
      </c>
      <c r="FDS129" s="70">
        <v>0</v>
      </c>
      <c r="FDT129" s="70">
        <v>0</v>
      </c>
      <c r="FDU129" s="70">
        <v>0</v>
      </c>
      <c r="FDV129" s="70">
        <v>0</v>
      </c>
      <c r="FDW129" s="70">
        <v>0</v>
      </c>
      <c r="FDX129" s="70">
        <v>0</v>
      </c>
      <c r="FDY129" s="70">
        <v>0</v>
      </c>
      <c r="FDZ129" s="70">
        <v>0</v>
      </c>
      <c r="FEA129" s="70">
        <v>0</v>
      </c>
      <c r="FEB129" s="70">
        <v>0</v>
      </c>
      <c r="FEC129" s="70">
        <v>0</v>
      </c>
      <c r="FED129" s="70">
        <v>0</v>
      </c>
      <c r="FEE129" s="70">
        <v>0</v>
      </c>
      <c r="FEF129" s="70">
        <v>0</v>
      </c>
      <c r="FEG129" s="70">
        <v>0</v>
      </c>
      <c r="FEH129" s="70">
        <v>0</v>
      </c>
      <c r="FEI129" s="70">
        <v>0</v>
      </c>
      <c r="FEJ129" s="70">
        <v>0</v>
      </c>
      <c r="FEK129" s="70">
        <v>0</v>
      </c>
      <c r="FEL129" s="70">
        <v>0</v>
      </c>
      <c r="FEM129" s="70">
        <v>0</v>
      </c>
      <c r="FEN129" s="70">
        <v>0</v>
      </c>
      <c r="FEO129" s="70">
        <v>0</v>
      </c>
      <c r="FEP129" s="70">
        <v>0</v>
      </c>
      <c r="FEQ129" s="70">
        <v>0</v>
      </c>
      <c r="FER129" s="70">
        <v>0</v>
      </c>
      <c r="FES129" s="70">
        <v>0</v>
      </c>
      <c r="FET129" s="70">
        <v>0</v>
      </c>
      <c r="FEU129" s="70">
        <v>0</v>
      </c>
      <c r="FEV129" s="70">
        <v>0</v>
      </c>
      <c r="FEW129" s="70">
        <v>0</v>
      </c>
      <c r="FEX129" s="70">
        <v>0</v>
      </c>
      <c r="FEY129" s="70">
        <v>0</v>
      </c>
      <c r="FEZ129" s="70">
        <v>0</v>
      </c>
      <c r="FFA129" s="70">
        <v>0</v>
      </c>
      <c r="FFB129" s="70">
        <v>0</v>
      </c>
      <c r="FFC129" s="70">
        <v>0</v>
      </c>
      <c r="FFD129" s="70">
        <v>0</v>
      </c>
      <c r="FFE129" s="70">
        <v>0</v>
      </c>
      <c r="FFF129" s="70">
        <v>0</v>
      </c>
      <c r="FFG129" s="70">
        <v>0</v>
      </c>
      <c r="FFH129" s="70">
        <v>0</v>
      </c>
      <c r="FFI129" s="70">
        <v>0</v>
      </c>
      <c r="FFJ129" s="70">
        <v>0</v>
      </c>
      <c r="FFK129" s="70">
        <v>0</v>
      </c>
      <c r="FFL129" s="70">
        <v>0</v>
      </c>
      <c r="FFM129" s="70">
        <v>0</v>
      </c>
      <c r="FFN129" s="70">
        <v>0</v>
      </c>
      <c r="FFO129" s="70">
        <v>0</v>
      </c>
      <c r="FFP129" s="70">
        <v>0</v>
      </c>
      <c r="FFQ129" s="70">
        <v>0</v>
      </c>
      <c r="FFR129" s="70">
        <v>0</v>
      </c>
      <c r="FFS129" s="70">
        <v>0</v>
      </c>
      <c r="FFT129" s="70">
        <v>0</v>
      </c>
      <c r="FFU129" s="70">
        <v>0</v>
      </c>
      <c r="FFV129" s="70">
        <v>0</v>
      </c>
      <c r="FFW129" s="70">
        <v>0</v>
      </c>
      <c r="FFX129" s="70">
        <v>0</v>
      </c>
      <c r="FFY129" s="70">
        <v>0</v>
      </c>
      <c r="FFZ129" s="70">
        <v>0</v>
      </c>
      <c r="FGA129" s="70">
        <v>0</v>
      </c>
      <c r="FGB129" s="70">
        <v>0</v>
      </c>
      <c r="FGC129" s="70">
        <v>0</v>
      </c>
      <c r="FGD129" s="70">
        <v>0</v>
      </c>
      <c r="FGE129" s="70">
        <v>0</v>
      </c>
      <c r="FGF129" s="70">
        <v>0</v>
      </c>
      <c r="FGG129" s="70">
        <v>0</v>
      </c>
      <c r="FGH129" s="70">
        <v>0</v>
      </c>
      <c r="FGI129" s="70">
        <v>0</v>
      </c>
      <c r="FGJ129" s="70">
        <v>0</v>
      </c>
      <c r="FGK129" s="70">
        <v>0</v>
      </c>
      <c r="FGL129" s="70">
        <v>0</v>
      </c>
      <c r="FGM129" s="70">
        <v>0</v>
      </c>
      <c r="FGN129" s="70">
        <v>0</v>
      </c>
      <c r="FGO129" s="70">
        <v>0</v>
      </c>
      <c r="FGP129" s="70">
        <v>0</v>
      </c>
      <c r="FGQ129" s="70">
        <v>0</v>
      </c>
      <c r="FGR129" s="70">
        <v>0</v>
      </c>
      <c r="FGS129" s="70">
        <v>0</v>
      </c>
      <c r="FGT129" s="70">
        <v>0</v>
      </c>
      <c r="FGU129" s="70">
        <v>0</v>
      </c>
      <c r="FGV129" s="70">
        <v>0</v>
      </c>
      <c r="FGW129" s="70">
        <v>0</v>
      </c>
      <c r="FGX129" s="70">
        <v>0</v>
      </c>
      <c r="FGY129" s="70">
        <v>0</v>
      </c>
      <c r="FGZ129" s="70">
        <v>0</v>
      </c>
      <c r="FHA129" s="70">
        <v>0</v>
      </c>
      <c r="FHB129" s="70">
        <v>0</v>
      </c>
      <c r="FHC129" s="70">
        <v>0</v>
      </c>
      <c r="FHD129" s="70">
        <v>0</v>
      </c>
      <c r="FHE129" s="70">
        <v>0</v>
      </c>
      <c r="FHF129" s="70">
        <v>0</v>
      </c>
      <c r="FHG129" s="70">
        <v>0</v>
      </c>
      <c r="FHH129" s="70">
        <v>0</v>
      </c>
      <c r="FHI129" s="70">
        <v>0</v>
      </c>
      <c r="FHJ129" s="70">
        <v>0</v>
      </c>
      <c r="FHK129" s="70">
        <v>0</v>
      </c>
      <c r="FHL129" s="70">
        <v>0</v>
      </c>
      <c r="FHM129" s="70">
        <v>0</v>
      </c>
      <c r="FHN129" s="70">
        <v>0</v>
      </c>
      <c r="FHO129" s="70">
        <v>0</v>
      </c>
      <c r="FHP129" s="70">
        <v>0</v>
      </c>
      <c r="FHQ129" s="70">
        <v>0</v>
      </c>
      <c r="FHR129" s="70">
        <v>0</v>
      </c>
      <c r="FHS129" s="70">
        <v>0</v>
      </c>
      <c r="FHT129" s="70">
        <v>0</v>
      </c>
      <c r="FHU129" s="70">
        <v>0</v>
      </c>
      <c r="FHV129" s="70">
        <v>0</v>
      </c>
      <c r="FHW129" s="70">
        <v>0</v>
      </c>
      <c r="FHX129" s="70">
        <v>0</v>
      </c>
      <c r="FHY129" s="70">
        <v>0</v>
      </c>
      <c r="FHZ129" s="70">
        <v>0</v>
      </c>
      <c r="FIA129" s="70">
        <v>0</v>
      </c>
      <c r="FIB129" s="70">
        <v>0</v>
      </c>
      <c r="FIC129" s="70">
        <v>0</v>
      </c>
      <c r="FID129" s="70">
        <v>0</v>
      </c>
      <c r="FIE129" s="70">
        <v>0</v>
      </c>
      <c r="FIF129" s="70">
        <v>0</v>
      </c>
      <c r="FIG129" s="70">
        <v>0</v>
      </c>
      <c r="FIH129" s="70">
        <v>0</v>
      </c>
      <c r="FII129" s="70">
        <v>0</v>
      </c>
      <c r="FIJ129" s="70">
        <v>0</v>
      </c>
      <c r="FIK129" s="70">
        <v>0</v>
      </c>
      <c r="FIL129" s="70">
        <v>0</v>
      </c>
      <c r="FIM129" s="70">
        <v>0</v>
      </c>
      <c r="FIN129" s="70">
        <v>0</v>
      </c>
      <c r="FIO129" s="70">
        <v>0</v>
      </c>
      <c r="FIP129" s="70">
        <v>0</v>
      </c>
      <c r="FIQ129" s="70">
        <v>0</v>
      </c>
      <c r="FIR129" s="70">
        <v>0</v>
      </c>
      <c r="FIS129" s="70">
        <v>0</v>
      </c>
      <c r="FIT129" s="70">
        <v>0</v>
      </c>
      <c r="FIU129" s="70">
        <v>0</v>
      </c>
      <c r="FIV129" s="70">
        <v>0</v>
      </c>
      <c r="FIW129" s="70">
        <v>0</v>
      </c>
      <c r="FIX129" s="70">
        <v>0</v>
      </c>
      <c r="FIY129" s="70">
        <v>0</v>
      </c>
      <c r="FIZ129" s="70">
        <v>0</v>
      </c>
      <c r="FJA129" s="70">
        <v>0</v>
      </c>
      <c r="FJB129" s="70">
        <v>0</v>
      </c>
      <c r="FJC129" s="70">
        <v>0</v>
      </c>
      <c r="FJD129" s="70">
        <v>0</v>
      </c>
      <c r="FJE129" s="70">
        <v>0</v>
      </c>
      <c r="FJF129" s="70">
        <v>0</v>
      </c>
      <c r="FJG129" s="70">
        <v>0</v>
      </c>
      <c r="FJH129" s="70">
        <v>0</v>
      </c>
      <c r="FJI129" s="70">
        <v>0</v>
      </c>
      <c r="FJJ129" s="70">
        <v>0</v>
      </c>
      <c r="FJK129" s="70">
        <v>0</v>
      </c>
      <c r="FJL129" s="70">
        <v>0</v>
      </c>
      <c r="FJM129" s="70">
        <v>0</v>
      </c>
      <c r="FJN129" s="70">
        <v>0</v>
      </c>
      <c r="FJO129" s="70">
        <v>0</v>
      </c>
      <c r="FJP129" s="70">
        <v>0</v>
      </c>
      <c r="FJQ129" s="70">
        <v>0</v>
      </c>
      <c r="FJR129" s="70">
        <v>0</v>
      </c>
      <c r="FJS129" s="70">
        <v>0</v>
      </c>
      <c r="FJT129" s="70">
        <v>0</v>
      </c>
      <c r="FJU129" s="70">
        <v>0</v>
      </c>
      <c r="FJV129" s="70">
        <v>0</v>
      </c>
      <c r="FJW129" s="70">
        <v>0</v>
      </c>
      <c r="FJX129" s="70">
        <v>0</v>
      </c>
      <c r="FJY129" s="70">
        <v>0</v>
      </c>
      <c r="FJZ129" s="70">
        <v>0</v>
      </c>
      <c r="FKA129" s="70">
        <v>0</v>
      </c>
      <c r="FKB129" s="70">
        <v>0</v>
      </c>
      <c r="FKC129" s="70">
        <v>0</v>
      </c>
      <c r="FKD129" s="70">
        <v>0</v>
      </c>
      <c r="FKE129" s="70">
        <v>0</v>
      </c>
      <c r="FKF129" s="70">
        <v>0</v>
      </c>
      <c r="FKG129" s="70">
        <v>0</v>
      </c>
      <c r="FKH129" s="70">
        <v>0</v>
      </c>
      <c r="FKI129" s="70">
        <v>0</v>
      </c>
      <c r="FKJ129" s="70">
        <v>0</v>
      </c>
      <c r="FKK129" s="70">
        <v>0</v>
      </c>
      <c r="FKL129" s="70">
        <v>0</v>
      </c>
      <c r="FKM129" s="70">
        <v>0</v>
      </c>
      <c r="FKN129" s="70">
        <v>0</v>
      </c>
      <c r="FKO129" s="70">
        <v>0</v>
      </c>
      <c r="FKP129" s="70">
        <v>0</v>
      </c>
      <c r="FKQ129" s="70">
        <v>0</v>
      </c>
      <c r="FKR129" s="70">
        <v>0</v>
      </c>
      <c r="FKS129" s="70">
        <v>0</v>
      </c>
      <c r="FKT129" s="70">
        <v>0</v>
      </c>
      <c r="FKU129" s="70">
        <v>0</v>
      </c>
      <c r="FKV129" s="70">
        <v>0</v>
      </c>
      <c r="FKW129" s="70">
        <v>0</v>
      </c>
      <c r="FKX129" s="70">
        <v>0</v>
      </c>
      <c r="FKY129" s="70">
        <v>0</v>
      </c>
      <c r="FKZ129" s="70">
        <v>0</v>
      </c>
      <c r="FLA129" s="70">
        <v>0</v>
      </c>
      <c r="FLB129" s="70">
        <v>0</v>
      </c>
      <c r="FLC129" s="70">
        <v>0</v>
      </c>
      <c r="FLD129" s="70">
        <v>0</v>
      </c>
      <c r="FLE129" s="70">
        <v>0</v>
      </c>
      <c r="FLF129" s="70">
        <v>0</v>
      </c>
      <c r="FLG129" s="70">
        <v>0</v>
      </c>
      <c r="FLH129" s="70">
        <v>0</v>
      </c>
      <c r="FLI129" s="70">
        <v>0</v>
      </c>
      <c r="FLJ129" s="70">
        <v>0</v>
      </c>
      <c r="FLK129" s="70">
        <v>0</v>
      </c>
      <c r="FLL129" s="70">
        <v>0</v>
      </c>
      <c r="FLM129" s="70">
        <v>0</v>
      </c>
      <c r="FLN129" s="70">
        <v>0</v>
      </c>
      <c r="FLO129" s="70">
        <v>0</v>
      </c>
      <c r="FLP129" s="70">
        <v>0</v>
      </c>
      <c r="FLQ129" s="70">
        <v>0</v>
      </c>
      <c r="FLR129" s="70">
        <v>0</v>
      </c>
      <c r="FLS129" s="70">
        <v>0</v>
      </c>
      <c r="FLT129" s="70">
        <v>0</v>
      </c>
      <c r="FLU129" s="70">
        <v>0</v>
      </c>
      <c r="FLV129" s="70">
        <v>0</v>
      </c>
      <c r="FLW129" s="70">
        <v>0</v>
      </c>
      <c r="FLX129" s="70">
        <v>0</v>
      </c>
      <c r="FLY129" s="70">
        <v>0</v>
      </c>
      <c r="FLZ129" s="70">
        <v>0</v>
      </c>
      <c r="FMA129" s="70">
        <v>0</v>
      </c>
      <c r="FMB129" s="70">
        <v>0</v>
      </c>
      <c r="FMC129" s="70">
        <v>0</v>
      </c>
      <c r="FMD129" s="70">
        <v>0</v>
      </c>
      <c r="FME129" s="70">
        <v>0</v>
      </c>
      <c r="FMF129" s="70">
        <v>0</v>
      </c>
      <c r="FMG129" s="70">
        <v>0</v>
      </c>
      <c r="FMH129" s="70">
        <v>0</v>
      </c>
      <c r="FMI129" s="70">
        <v>0</v>
      </c>
      <c r="FMJ129" s="70">
        <v>0</v>
      </c>
      <c r="FMK129" s="70">
        <v>0</v>
      </c>
      <c r="FML129" s="70">
        <v>0</v>
      </c>
      <c r="FMM129" s="70">
        <v>0</v>
      </c>
      <c r="FMN129" s="70">
        <v>0</v>
      </c>
      <c r="FMO129" s="70">
        <v>0</v>
      </c>
      <c r="FMP129" s="70">
        <v>0</v>
      </c>
      <c r="FMQ129" s="70">
        <v>0</v>
      </c>
      <c r="FMR129" s="70">
        <v>0</v>
      </c>
      <c r="FMS129" s="70">
        <v>0</v>
      </c>
      <c r="FMT129" s="70">
        <v>0</v>
      </c>
      <c r="FMU129" s="70">
        <v>0</v>
      </c>
      <c r="FMV129" s="70">
        <v>0</v>
      </c>
      <c r="FMW129" s="70">
        <v>0</v>
      </c>
      <c r="FMX129" s="70">
        <v>0</v>
      </c>
      <c r="FMY129" s="70">
        <v>0</v>
      </c>
      <c r="FMZ129" s="70">
        <v>0</v>
      </c>
      <c r="FNA129" s="70">
        <v>0</v>
      </c>
      <c r="FNB129" s="70">
        <v>0</v>
      </c>
      <c r="FNC129" s="70">
        <v>0</v>
      </c>
      <c r="FND129" s="70">
        <v>0</v>
      </c>
      <c r="FNE129" s="70">
        <v>0</v>
      </c>
      <c r="FNF129" s="70">
        <v>0</v>
      </c>
      <c r="FNG129" s="70">
        <v>0</v>
      </c>
      <c r="FNH129" s="70">
        <v>0</v>
      </c>
      <c r="FNI129" s="70">
        <v>0</v>
      </c>
      <c r="FNJ129" s="70">
        <v>0</v>
      </c>
      <c r="FNK129" s="70">
        <v>0</v>
      </c>
      <c r="FNL129" s="70">
        <v>0</v>
      </c>
      <c r="FNM129" s="70">
        <v>0</v>
      </c>
      <c r="FNN129" s="70">
        <v>0</v>
      </c>
      <c r="FNO129" s="70">
        <v>0</v>
      </c>
      <c r="FNP129" s="70">
        <v>0</v>
      </c>
      <c r="FNQ129" s="70">
        <v>0</v>
      </c>
      <c r="FNR129" s="70">
        <v>0</v>
      </c>
      <c r="FNS129" s="70">
        <v>0</v>
      </c>
      <c r="FNT129" s="70">
        <v>0</v>
      </c>
      <c r="FNU129" s="70">
        <v>0</v>
      </c>
      <c r="FNV129" s="70">
        <v>0</v>
      </c>
      <c r="FNW129" s="70">
        <v>0</v>
      </c>
      <c r="FNX129" s="70">
        <v>0</v>
      </c>
      <c r="FNY129" s="70">
        <v>0</v>
      </c>
      <c r="FNZ129" s="70">
        <v>0</v>
      </c>
      <c r="FOA129" s="70">
        <v>0</v>
      </c>
      <c r="FOB129" s="70">
        <v>0</v>
      </c>
      <c r="FOC129" s="70">
        <v>0</v>
      </c>
      <c r="FOD129" s="70">
        <v>0</v>
      </c>
      <c r="FOE129" s="70">
        <v>0</v>
      </c>
      <c r="FOF129" s="70">
        <v>0</v>
      </c>
      <c r="FOG129" s="70">
        <v>0</v>
      </c>
      <c r="FOH129" s="70">
        <v>0</v>
      </c>
      <c r="FOI129" s="70">
        <v>0</v>
      </c>
      <c r="FOJ129" s="70">
        <v>0</v>
      </c>
      <c r="FOK129" s="70">
        <v>0</v>
      </c>
      <c r="FOL129" s="70">
        <v>0</v>
      </c>
      <c r="FOM129" s="70">
        <v>0</v>
      </c>
      <c r="FON129" s="70">
        <v>0</v>
      </c>
      <c r="FOO129" s="70">
        <v>0</v>
      </c>
      <c r="FOP129" s="70">
        <v>0</v>
      </c>
      <c r="FOQ129" s="70">
        <v>0</v>
      </c>
      <c r="FOR129" s="70">
        <v>0</v>
      </c>
      <c r="FOS129" s="70">
        <v>0</v>
      </c>
      <c r="FOT129" s="70">
        <v>0</v>
      </c>
      <c r="FOU129" s="70">
        <v>0</v>
      </c>
      <c r="FOV129" s="70">
        <v>0</v>
      </c>
      <c r="FOW129" s="70">
        <v>0</v>
      </c>
      <c r="FOX129" s="70">
        <v>0</v>
      </c>
      <c r="FOY129" s="70">
        <v>0</v>
      </c>
      <c r="FOZ129" s="70">
        <v>0</v>
      </c>
      <c r="FPA129" s="70">
        <v>0</v>
      </c>
      <c r="FPB129" s="70">
        <v>0</v>
      </c>
      <c r="FPC129" s="70">
        <v>0</v>
      </c>
      <c r="FPD129" s="70">
        <v>0</v>
      </c>
      <c r="FPE129" s="70">
        <v>0</v>
      </c>
      <c r="FPF129" s="70">
        <v>0</v>
      </c>
      <c r="FPG129" s="70">
        <v>0</v>
      </c>
      <c r="FPH129" s="70">
        <v>0</v>
      </c>
      <c r="FPI129" s="70">
        <v>0</v>
      </c>
      <c r="FPJ129" s="70">
        <v>0</v>
      </c>
      <c r="FPK129" s="70">
        <v>0</v>
      </c>
      <c r="FPL129" s="70">
        <v>0</v>
      </c>
      <c r="FPM129" s="70">
        <v>0</v>
      </c>
      <c r="FPN129" s="70">
        <v>0</v>
      </c>
      <c r="FPO129" s="70">
        <v>0</v>
      </c>
      <c r="FPP129" s="70">
        <v>0</v>
      </c>
      <c r="FPQ129" s="70">
        <v>0</v>
      </c>
      <c r="FPR129" s="70">
        <v>0</v>
      </c>
      <c r="FPS129" s="70">
        <v>0</v>
      </c>
      <c r="FPT129" s="70">
        <v>0</v>
      </c>
      <c r="FPU129" s="70">
        <v>0</v>
      </c>
      <c r="FPV129" s="70">
        <v>0</v>
      </c>
      <c r="FPW129" s="70">
        <v>0</v>
      </c>
      <c r="FPX129" s="70">
        <v>0</v>
      </c>
      <c r="FPY129" s="70">
        <v>0</v>
      </c>
      <c r="FPZ129" s="70">
        <v>0</v>
      </c>
      <c r="FQA129" s="70">
        <v>0</v>
      </c>
      <c r="FQB129" s="70">
        <v>0</v>
      </c>
      <c r="FQC129" s="70">
        <v>0</v>
      </c>
      <c r="FQD129" s="70">
        <v>0</v>
      </c>
      <c r="FQE129" s="70">
        <v>0</v>
      </c>
      <c r="FQF129" s="70">
        <v>0</v>
      </c>
      <c r="FQG129" s="70">
        <v>0</v>
      </c>
      <c r="FQH129" s="70">
        <v>0</v>
      </c>
      <c r="FQI129" s="70">
        <v>0</v>
      </c>
      <c r="FQJ129" s="70">
        <v>0</v>
      </c>
      <c r="FQK129" s="70">
        <v>0</v>
      </c>
      <c r="FQL129" s="70">
        <v>0</v>
      </c>
      <c r="FQM129" s="70">
        <v>0</v>
      </c>
      <c r="FQN129" s="70">
        <v>0</v>
      </c>
      <c r="FQO129" s="70">
        <v>0</v>
      </c>
      <c r="FQP129" s="70">
        <v>0</v>
      </c>
      <c r="FQQ129" s="70">
        <v>0</v>
      </c>
      <c r="FQR129" s="70">
        <v>0</v>
      </c>
      <c r="FQS129" s="70">
        <v>0</v>
      </c>
      <c r="FQT129" s="70">
        <v>0</v>
      </c>
      <c r="FQU129" s="70">
        <v>0</v>
      </c>
      <c r="FQV129" s="70">
        <v>0</v>
      </c>
      <c r="FQW129" s="70">
        <v>0</v>
      </c>
      <c r="FQX129" s="70">
        <v>0</v>
      </c>
      <c r="FQY129" s="70">
        <v>0</v>
      </c>
      <c r="FQZ129" s="70">
        <v>0</v>
      </c>
      <c r="FRA129" s="70">
        <v>0</v>
      </c>
      <c r="FRB129" s="70">
        <v>0</v>
      </c>
      <c r="FRC129" s="70">
        <v>0</v>
      </c>
      <c r="FRD129" s="70">
        <v>0</v>
      </c>
      <c r="FRE129" s="70">
        <v>0</v>
      </c>
      <c r="FRF129" s="70">
        <v>0</v>
      </c>
      <c r="FRG129" s="70">
        <v>0</v>
      </c>
      <c r="FRH129" s="70">
        <v>0</v>
      </c>
      <c r="FRI129" s="70">
        <v>0</v>
      </c>
      <c r="FRJ129" s="70">
        <v>0</v>
      </c>
      <c r="FRK129" s="70">
        <v>0</v>
      </c>
      <c r="FRL129" s="70">
        <v>0</v>
      </c>
      <c r="FRM129" s="70">
        <v>0</v>
      </c>
      <c r="FRN129" s="70">
        <v>0</v>
      </c>
      <c r="FRO129" s="70">
        <v>0</v>
      </c>
      <c r="FRP129" s="70">
        <v>0</v>
      </c>
      <c r="FRQ129" s="70">
        <v>0</v>
      </c>
      <c r="FRR129" s="70">
        <v>0</v>
      </c>
      <c r="FRS129" s="70">
        <v>0</v>
      </c>
      <c r="FRT129" s="70">
        <v>0</v>
      </c>
      <c r="FRU129" s="70">
        <v>0</v>
      </c>
      <c r="FRV129" s="70">
        <v>0</v>
      </c>
      <c r="FRW129" s="70">
        <v>0</v>
      </c>
      <c r="FRX129" s="70">
        <v>0</v>
      </c>
      <c r="FRY129" s="70">
        <v>0</v>
      </c>
      <c r="FRZ129" s="70">
        <v>0</v>
      </c>
      <c r="FSA129" s="70">
        <v>0</v>
      </c>
      <c r="FSB129" s="70">
        <v>0</v>
      </c>
      <c r="FSC129" s="70">
        <v>0</v>
      </c>
      <c r="FSD129" s="70">
        <v>0</v>
      </c>
      <c r="FSE129" s="70">
        <v>0</v>
      </c>
      <c r="FSF129" s="70">
        <v>0</v>
      </c>
      <c r="FSG129" s="70">
        <v>0</v>
      </c>
      <c r="FSH129" s="70">
        <v>0</v>
      </c>
      <c r="FSI129" s="70">
        <v>0</v>
      </c>
      <c r="FSJ129" s="70">
        <v>0</v>
      </c>
      <c r="FSK129" s="70">
        <v>0</v>
      </c>
      <c r="FSL129" s="70">
        <v>0</v>
      </c>
      <c r="FSM129" s="70">
        <v>0</v>
      </c>
      <c r="FSN129" s="70">
        <v>0</v>
      </c>
      <c r="FSO129" s="70">
        <v>0</v>
      </c>
      <c r="FSP129" s="70">
        <v>0</v>
      </c>
      <c r="FSQ129" s="70">
        <v>0</v>
      </c>
      <c r="FSR129" s="70">
        <v>0</v>
      </c>
      <c r="FSS129" s="70">
        <v>0</v>
      </c>
      <c r="FST129" s="70">
        <v>0</v>
      </c>
      <c r="FSU129" s="70">
        <v>0</v>
      </c>
      <c r="FSV129" s="70">
        <v>0</v>
      </c>
      <c r="FSW129" s="70">
        <v>0</v>
      </c>
      <c r="FSX129" s="70">
        <v>0</v>
      </c>
      <c r="FSY129" s="70">
        <v>0</v>
      </c>
      <c r="FSZ129" s="70">
        <v>0</v>
      </c>
      <c r="FTA129" s="70">
        <v>0</v>
      </c>
      <c r="FTB129" s="70">
        <v>0</v>
      </c>
      <c r="FTC129" s="70">
        <v>0</v>
      </c>
      <c r="FTD129" s="70">
        <v>0</v>
      </c>
      <c r="FTE129" s="70">
        <v>0</v>
      </c>
      <c r="FTF129" s="70">
        <v>0</v>
      </c>
      <c r="FTG129" s="70">
        <v>0</v>
      </c>
      <c r="FTH129" s="70">
        <v>0</v>
      </c>
      <c r="FTI129" s="70">
        <v>0</v>
      </c>
      <c r="FTJ129" s="70">
        <v>0</v>
      </c>
      <c r="FTK129" s="70">
        <v>0</v>
      </c>
      <c r="FTL129" s="70">
        <v>0</v>
      </c>
      <c r="FTM129" s="70">
        <v>0</v>
      </c>
      <c r="FTN129" s="70">
        <v>0</v>
      </c>
      <c r="FTO129" s="70">
        <v>0</v>
      </c>
      <c r="FTP129" s="70">
        <v>0</v>
      </c>
      <c r="FTQ129" s="70">
        <v>0</v>
      </c>
      <c r="FTR129" s="70">
        <v>0</v>
      </c>
      <c r="FTS129" s="70">
        <v>0</v>
      </c>
      <c r="FTT129" s="70">
        <v>0</v>
      </c>
      <c r="FTU129" s="70">
        <v>0</v>
      </c>
      <c r="FTV129" s="70">
        <v>0</v>
      </c>
      <c r="FTW129" s="70">
        <v>0</v>
      </c>
      <c r="FTX129" s="70">
        <v>0</v>
      </c>
      <c r="FTY129" s="70">
        <v>0</v>
      </c>
      <c r="FTZ129" s="70">
        <v>0</v>
      </c>
      <c r="FUA129" s="70">
        <v>0</v>
      </c>
      <c r="FUB129" s="70">
        <v>0</v>
      </c>
      <c r="FUC129" s="70">
        <v>0</v>
      </c>
      <c r="FUD129" s="70">
        <v>0</v>
      </c>
      <c r="FUE129" s="70">
        <v>0</v>
      </c>
      <c r="FUF129" s="70">
        <v>0</v>
      </c>
      <c r="FUG129" s="70">
        <v>0</v>
      </c>
      <c r="FUH129" s="70">
        <v>0</v>
      </c>
      <c r="FUI129" s="70">
        <v>0</v>
      </c>
      <c r="FUJ129" s="70">
        <v>0</v>
      </c>
      <c r="FUK129" s="70">
        <v>0</v>
      </c>
      <c r="FUL129" s="70">
        <v>0</v>
      </c>
      <c r="FUM129" s="70">
        <v>0</v>
      </c>
      <c r="FUN129" s="70">
        <v>0</v>
      </c>
      <c r="FUO129" s="70">
        <v>0</v>
      </c>
      <c r="FUP129" s="70">
        <v>0</v>
      </c>
      <c r="FUQ129" s="70">
        <v>0</v>
      </c>
      <c r="FUR129" s="70">
        <v>0</v>
      </c>
      <c r="FUS129" s="70">
        <v>0</v>
      </c>
      <c r="FUT129" s="70">
        <v>0</v>
      </c>
      <c r="FUU129" s="70">
        <v>0</v>
      </c>
      <c r="FUV129" s="70">
        <v>0</v>
      </c>
      <c r="FUW129" s="70">
        <v>0</v>
      </c>
      <c r="FUX129" s="70">
        <v>0</v>
      </c>
      <c r="FUY129" s="70">
        <v>0</v>
      </c>
      <c r="FUZ129" s="70">
        <v>0</v>
      </c>
      <c r="FVA129" s="70">
        <v>0</v>
      </c>
      <c r="FVB129" s="70">
        <v>0</v>
      </c>
      <c r="FVC129" s="70">
        <v>0</v>
      </c>
      <c r="FVD129" s="70">
        <v>0</v>
      </c>
      <c r="FVE129" s="70">
        <v>0</v>
      </c>
      <c r="FVF129" s="70">
        <v>0</v>
      </c>
      <c r="FVG129" s="70">
        <v>0</v>
      </c>
      <c r="FVH129" s="70">
        <v>0</v>
      </c>
      <c r="FVI129" s="70">
        <v>0</v>
      </c>
      <c r="FVJ129" s="70">
        <v>0</v>
      </c>
      <c r="FVK129" s="70">
        <v>0</v>
      </c>
      <c r="FVL129" s="70">
        <v>0</v>
      </c>
      <c r="FVM129" s="70">
        <v>0</v>
      </c>
      <c r="FVN129" s="70">
        <v>0</v>
      </c>
      <c r="FVO129" s="70">
        <v>0</v>
      </c>
      <c r="FVP129" s="70">
        <v>0</v>
      </c>
      <c r="FVQ129" s="70">
        <v>0</v>
      </c>
      <c r="FVR129" s="70">
        <v>0</v>
      </c>
      <c r="FVS129" s="70">
        <v>0</v>
      </c>
      <c r="FVT129" s="70">
        <v>0</v>
      </c>
      <c r="FVU129" s="70">
        <v>0</v>
      </c>
      <c r="FVV129" s="70">
        <v>0</v>
      </c>
      <c r="FVW129" s="70">
        <v>0</v>
      </c>
      <c r="FVX129" s="70">
        <v>0</v>
      </c>
      <c r="FVY129" s="70">
        <v>0</v>
      </c>
      <c r="FVZ129" s="70">
        <v>0</v>
      </c>
      <c r="FWA129" s="70">
        <v>0</v>
      </c>
      <c r="FWB129" s="70">
        <v>0</v>
      </c>
      <c r="FWC129" s="70">
        <v>0</v>
      </c>
      <c r="FWD129" s="70">
        <v>0</v>
      </c>
      <c r="FWE129" s="70">
        <v>0</v>
      </c>
      <c r="FWF129" s="70">
        <v>0</v>
      </c>
      <c r="FWG129" s="70">
        <v>0</v>
      </c>
      <c r="FWH129" s="70">
        <v>0</v>
      </c>
      <c r="FWI129" s="70">
        <v>0</v>
      </c>
      <c r="FWJ129" s="70">
        <v>0</v>
      </c>
      <c r="FWK129" s="70">
        <v>0</v>
      </c>
      <c r="FWL129" s="70">
        <v>0</v>
      </c>
      <c r="FWM129" s="70">
        <v>0</v>
      </c>
      <c r="FWN129" s="70">
        <v>0</v>
      </c>
      <c r="FWO129" s="70">
        <v>0</v>
      </c>
      <c r="FWP129" s="70">
        <v>0</v>
      </c>
      <c r="FWQ129" s="70">
        <v>0</v>
      </c>
      <c r="FWR129" s="70">
        <v>0</v>
      </c>
      <c r="FWS129" s="70">
        <v>0</v>
      </c>
      <c r="FWT129" s="70">
        <v>0</v>
      </c>
      <c r="FWU129" s="70">
        <v>0</v>
      </c>
      <c r="FWV129" s="70">
        <v>0</v>
      </c>
      <c r="FWW129" s="70">
        <v>0</v>
      </c>
      <c r="FWX129" s="70">
        <v>0</v>
      </c>
      <c r="FWY129" s="70">
        <v>0</v>
      </c>
      <c r="FWZ129" s="70">
        <v>0</v>
      </c>
      <c r="FXA129" s="70">
        <v>0</v>
      </c>
      <c r="FXB129" s="70">
        <v>0</v>
      </c>
      <c r="FXC129" s="70">
        <v>0</v>
      </c>
      <c r="FXD129" s="70">
        <v>0</v>
      </c>
      <c r="FXE129" s="70">
        <v>0</v>
      </c>
      <c r="FXF129" s="70">
        <v>0</v>
      </c>
      <c r="FXG129" s="70">
        <v>0</v>
      </c>
      <c r="FXH129" s="70">
        <v>0</v>
      </c>
      <c r="FXI129" s="70">
        <v>0</v>
      </c>
      <c r="FXJ129" s="70">
        <v>0</v>
      </c>
      <c r="FXK129" s="70">
        <v>0</v>
      </c>
      <c r="FXL129" s="70">
        <v>0</v>
      </c>
      <c r="FXM129" s="70">
        <v>0</v>
      </c>
      <c r="FXN129" s="70">
        <v>0</v>
      </c>
      <c r="FXO129" s="70">
        <v>0</v>
      </c>
      <c r="FXP129" s="70">
        <v>0</v>
      </c>
      <c r="FXQ129" s="70">
        <v>0</v>
      </c>
      <c r="FXR129" s="70">
        <v>0</v>
      </c>
      <c r="FXS129" s="70">
        <v>0</v>
      </c>
      <c r="FXT129" s="70">
        <v>0</v>
      </c>
      <c r="FXU129" s="70">
        <v>0</v>
      </c>
      <c r="FXV129" s="70">
        <v>0</v>
      </c>
      <c r="FXW129" s="70">
        <v>0</v>
      </c>
      <c r="FXX129" s="70">
        <v>0</v>
      </c>
      <c r="FXY129" s="70">
        <v>0</v>
      </c>
      <c r="FXZ129" s="70">
        <v>0</v>
      </c>
      <c r="FYA129" s="70">
        <v>0</v>
      </c>
      <c r="FYB129" s="70">
        <v>0</v>
      </c>
      <c r="FYC129" s="70">
        <v>0</v>
      </c>
      <c r="FYD129" s="70">
        <v>0</v>
      </c>
      <c r="FYE129" s="70">
        <v>0</v>
      </c>
      <c r="FYF129" s="70">
        <v>0</v>
      </c>
      <c r="FYG129" s="70">
        <v>0</v>
      </c>
      <c r="FYH129" s="70">
        <v>0</v>
      </c>
      <c r="FYI129" s="70">
        <v>0</v>
      </c>
      <c r="FYJ129" s="70">
        <v>0</v>
      </c>
      <c r="FYK129" s="70">
        <v>0</v>
      </c>
      <c r="FYL129" s="70">
        <v>0</v>
      </c>
      <c r="FYM129" s="70">
        <v>0</v>
      </c>
      <c r="FYN129" s="70">
        <v>0</v>
      </c>
      <c r="FYO129" s="70">
        <v>0</v>
      </c>
      <c r="FYP129" s="70">
        <v>0</v>
      </c>
      <c r="FYQ129" s="70">
        <v>0</v>
      </c>
      <c r="FYR129" s="70">
        <v>0</v>
      </c>
      <c r="FYS129" s="70">
        <v>0</v>
      </c>
      <c r="FYT129" s="70">
        <v>0</v>
      </c>
      <c r="FYU129" s="70">
        <v>0</v>
      </c>
      <c r="FYV129" s="70">
        <v>0</v>
      </c>
      <c r="FYW129" s="70">
        <v>0</v>
      </c>
      <c r="FYX129" s="70">
        <v>0</v>
      </c>
      <c r="FYY129" s="70">
        <v>0</v>
      </c>
      <c r="FYZ129" s="70">
        <v>0</v>
      </c>
      <c r="FZA129" s="70">
        <v>0</v>
      </c>
      <c r="FZB129" s="70">
        <v>0</v>
      </c>
      <c r="FZC129" s="70">
        <v>0</v>
      </c>
      <c r="FZD129" s="70">
        <v>0</v>
      </c>
      <c r="FZE129" s="70">
        <v>0</v>
      </c>
      <c r="FZF129" s="70">
        <v>0</v>
      </c>
      <c r="FZG129" s="70">
        <v>0</v>
      </c>
      <c r="FZH129" s="70">
        <v>0</v>
      </c>
      <c r="FZI129" s="70">
        <v>0</v>
      </c>
      <c r="FZJ129" s="70">
        <v>0</v>
      </c>
      <c r="FZK129" s="70">
        <v>0</v>
      </c>
      <c r="FZL129" s="70">
        <v>0</v>
      </c>
      <c r="FZM129" s="70">
        <v>0</v>
      </c>
      <c r="FZN129" s="70">
        <v>0</v>
      </c>
      <c r="FZO129" s="70">
        <v>0</v>
      </c>
      <c r="FZP129" s="70">
        <v>0</v>
      </c>
      <c r="FZQ129" s="70">
        <v>0</v>
      </c>
      <c r="FZR129" s="70">
        <v>0</v>
      </c>
      <c r="FZS129" s="70">
        <v>0</v>
      </c>
      <c r="FZT129" s="70">
        <v>0</v>
      </c>
      <c r="FZU129" s="70">
        <v>0</v>
      </c>
      <c r="FZV129" s="70">
        <v>0</v>
      </c>
      <c r="FZW129" s="70">
        <v>0</v>
      </c>
      <c r="FZX129" s="70">
        <v>0</v>
      </c>
      <c r="FZY129" s="70">
        <v>0</v>
      </c>
      <c r="FZZ129" s="70">
        <v>0</v>
      </c>
      <c r="GAA129" s="70">
        <v>0</v>
      </c>
      <c r="GAB129" s="70">
        <v>0</v>
      </c>
      <c r="GAC129" s="70">
        <v>0</v>
      </c>
      <c r="GAD129" s="70">
        <v>0</v>
      </c>
      <c r="GAE129" s="70">
        <v>0</v>
      </c>
      <c r="GAF129" s="70">
        <v>0</v>
      </c>
      <c r="GAG129" s="70">
        <v>0</v>
      </c>
      <c r="GAH129" s="70">
        <v>0</v>
      </c>
      <c r="GAI129" s="70">
        <v>0</v>
      </c>
      <c r="GAJ129" s="70">
        <v>0</v>
      </c>
      <c r="GAK129" s="70">
        <v>0</v>
      </c>
      <c r="GAL129" s="70">
        <v>0</v>
      </c>
      <c r="GAM129" s="70">
        <v>0</v>
      </c>
      <c r="GAN129" s="70">
        <v>0</v>
      </c>
      <c r="GAO129" s="70">
        <v>0</v>
      </c>
      <c r="GAP129" s="70">
        <v>0</v>
      </c>
      <c r="GAQ129" s="70">
        <v>0</v>
      </c>
      <c r="GAR129" s="70">
        <v>0</v>
      </c>
      <c r="GAS129" s="70">
        <v>0</v>
      </c>
      <c r="GAT129" s="70">
        <v>0</v>
      </c>
      <c r="GAU129" s="70">
        <v>0</v>
      </c>
      <c r="GAV129" s="70">
        <v>0</v>
      </c>
      <c r="GAW129" s="70">
        <v>0</v>
      </c>
      <c r="GAX129" s="70">
        <v>0</v>
      </c>
      <c r="GAY129" s="70">
        <v>0</v>
      </c>
      <c r="GAZ129" s="70">
        <v>0</v>
      </c>
      <c r="GBA129" s="70">
        <v>0</v>
      </c>
      <c r="GBB129" s="70">
        <v>0</v>
      </c>
      <c r="GBC129" s="70">
        <v>0</v>
      </c>
      <c r="GBD129" s="70">
        <v>0</v>
      </c>
      <c r="GBE129" s="70">
        <v>0</v>
      </c>
      <c r="GBF129" s="70">
        <v>0</v>
      </c>
      <c r="GBG129" s="70">
        <v>0</v>
      </c>
      <c r="GBH129" s="70">
        <v>0</v>
      </c>
      <c r="GBI129" s="70">
        <v>0</v>
      </c>
      <c r="GBJ129" s="70">
        <v>0</v>
      </c>
      <c r="GBK129" s="70">
        <v>0</v>
      </c>
      <c r="GBL129" s="70">
        <v>0</v>
      </c>
      <c r="GBM129" s="70">
        <v>0</v>
      </c>
      <c r="GBN129" s="70">
        <v>0</v>
      </c>
      <c r="GBO129" s="70">
        <v>0</v>
      </c>
      <c r="GBP129" s="70">
        <v>0</v>
      </c>
      <c r="GBQ129" s="70">
        <v>0</v>
      </c>
      <c r="GBR129" s="70">
        <v>0</v>
      </c>
      <c r="GBS129" s="70">
        <v>0</v>
      </c>
      <c r="GBT129" s="70">
        <v>0</v>
      </c>
      <c r="GBU129" s="70">
        <v>0</v>
      </c>
      <c r="GBV129" s="70">
        <v>0</v>
      </c>
      <c r="GBW129" s="70">
        <v>0</v>
      </c>
      <c r="GBX129" s="70">
        <v>0</v>
      </c>
      <c r="GBY129" s="70">
        <v>0</v>
      </c>
      <c r="GBZ129" s="70">
        <v>0</v>
      </c>
      <c r="GCA129" s="70">
        <v>0</v>
      </c>
      <c r="GCB129" s="70">
        <v>0</v>
      </c>
      <c r="GCC129" s="70">
        <v>0</v>
      </c>
      <c r="GCD129" s="70">
        <v>0</v>
      </c>
      <c r="GCE129" s="70">
        <v>0</v>
      </c>
      <c r="GCF129" s="70">
        <v>0</v>
      </c>
      <c r="GCG129" s="70">
        <v>0</v>
      </c>
      <c r="GCH129" s="70">
        <v>0</v>
      </c>
      <c r="GCI129" s="70">
        <v>0</v>
      </c>
      <c r="GCJ129" s="70">
        <v>0</v>
      </c>
      <c r="GCK129" s="70">
        <v>0</v>
      </c>
      <c r="GCL129" s="70">
        <v>0</v>
      </c>
      <c r="GCM129" s="70">
        <v>0</v>
      </c>
      <c r="GCN129" s="70">
        <v>0</v>
      </c>
      <c r="GCO129" s="70">
        <v>0</v>
      </c>
      <c r="GCP129" s="70">
        <v>0</v>
      </c>
      <c r="GCQ129" s="70">
        <v>0</v>
      </c>
      <c r="GCR129" s="70">
        <v>0</v>
      </c>
      <c r="GCS129" s="70">
        <v>0</v>
      </c>
      <c r="GCT129" s="70">
        <v>0</v>
      </c>
      <c r="GCU129" s="70">
        <v>0</v>
      </c>
      <c r="GCV129" s="70">
        <v>0</v>
      </c>
      <c r="GCW129" s="70">
        <v>0</v>
      </c>
      <c r="GCX129" s="70">
        <v>0</v>
      </c>
      <c r="GCY129" s="70">
        <v>0</v>
      </c>
      <c r="GCZ129" s="70">
        <v>0</v>
      </c>
      <c r="GDA129" s="70">
        <v>0</v>
      </c>
      <c r="GDB129" s="70">
        <v>0</v>
      </c>
      <c r="GDC129" s="70">
        <v>0</v>
      </c>
      <c r="GDD129" s="70">
        <v>0</v>
      </c>
      <c r="GDE129" s="70">
        <v>0</v>
      </c>
      <c r="GDF129" s="70">
        <v>0</v>
      </c>
      <c r="GDG129" s="70">
        <v>0</v>
      </c>
      <c r="GDH129" s="70">
        <v>0</v>
      </c>
      <c r="GDI129" s="70">
        <v>0</v>
      </c>
      <c r="GDJ129" s="70">
        <v>0</v>
      </c>
      <c r="GDK129" s="70">
        <v>0</v>
      </c>
      <c r="GDL129" s="70">
        <v>0</v>
      </c>
      <c r="GDM129" s="70">
        <v>0</v>
      </c>
      <c r="GDN129" s="70">
        <v>0</v>
      </c>
      <c r="GDO129" s="70">
        <v>0</v>
      </c>
      <c r="GDP129" s="70">
        <v>0</v>
      </c>
      <c r="GDQ129" s="70">
        <v>0</v>
      </c>
      <c r="GDR129" s="70">
        <v>0</v>
      </c>
      <c r="GDS129" s="70">
        <v>0</v>
      </c>
      <c r="GDT129" s="70">
        <v>0</v>
      </c>
      <c r="GDU129" s="70">
        <v>0</v>
      </c>
      <c r="GDV129" s="70">
        <v>0</v>
      </c>
      <c r="GDW129" s="70">
        <v>0</v>
      </c>
      <c r="GDX129" s="70">
        <v>0</v>
      </c>
      <c r="GDY129" s="70">
        <v>0</v>
      </c>
      <c r="GDZ129" s="70">
        <v>0</v>
      </c>
      <c r="GEA129" s="70">
        <v>0</v>
      </c>
      <c r="GEB129" s="70">
        <v>0</v>
      </c>
      <c r="GEC129" s="70">
        <v>0</v>
      </c>
      <c r="GED129" s="70">
        <v>0</v>
      </c>
      <c r="GEE129" s="70">
        <v>0</v>
      </c>
      <c r="GEF129" s="70">
        <v>0</v>
      </c>
      <c r="GEG129" s="70">
        <v>0</v>
      </c>
      <c r="GEH129" s="70">
        <v>0</v>
      </c>
      <c r="GEI129" s="70">
        <v>0</v>
      </c>
      <c r="GEJ129" s="70">
        <v>0</v>
      </c>
      <c r="GEK129" s="70">
        <v>0</v>
      </c>
      <c r="GEL129" s="70">
        <v>0</v>
      </c>
      <c r="GEM129" s="70">
        <v>0</v>
      </c>
      <c r="GEN129" s="70">
        <v>0</v>
      </c>
      <c r="GEO129" s="70">
        <v>0</v>
      </c>
      <c r="GEP129" s="70">
        <v>0</v>
      </c>
      <c r="GEQ129" s="70">
        <v>0</v>
      </c>
      <c r="GER129" s="70">
        <v>0</v>
      </c>
      <c r="GES129" s="70">
        <v>0</v>
      </c>
      <c r="GET129" s="70">
        <v>0</v>
      </c>
      <c r="GEU129" s="70">
        <v>0</v>
      </c>
      <c r="GEV129" s="70">
        <v>0</v>
      </c>
      <c r="GEW129" s="70">
        <v>0</v>
      </c>
      <c r="GEX129" s="70">
        <v>0</v>
      </c>
      <c r="GEY129" s="70">
        <v>0</v>
      </c>
      <c r="GEZ129" s="70">
        <v>0</v>
      </c>
      <c r="GFA129" s="70">
        <v>0</v>
      </c>
      <c r="GFB129" s="70">
        <v>0</v>
      </c>
      <c r="GFC129" s="70">
        <v>0</v>
      </c>
      <c r="GFD129" s="70">
        <v>0</v>
      </c>
      <c r="GFE129" s="70">
        <v>0</v>
      </c>
      <c r="GFF129" s="70">
        <v>0</v>
      </c>
      <c r="GFG129" s="70">
        <v>0</v>
      </c>
      <c r="GFH129" s="70">
        <v>0</v>
      </c>
      <c r="GFI129" s="70">
        <v>0</v>
      </c>
      <c r="GFJ129" s="70">
        <v>0</v>
      </c>
      <c r="GFK129" s="70">
        <v>0</v>
      </c>
      <c r="GFL129" s="70">
        <v>0</v>
      </c>
      <c r="GFM129" s="70">
        <v>0</v>
      </c>
      <c r="GFN129" s="70">
        <v>0</v>
      </c>
      <c r="GFO129" s="70">
        <v>0</v>
      </c>
      <c r="GFP129" s="70">
        <v>0</v>
      </c>
      <c r="GFQ129" s="70">
        <v>0</v>
      </c>
      <c r="GFR129" s="70">
        <v>0</v>
      </c>
      <c r="GFS129" s="70">
        <v>0</v>
      </c>
      <c r="GFT129" s="70">
        <v>0</v>
      </c>
      <c r="GFU129" s="70">
        <v>0</v>
      </c>
      <c r="GFV129" s="70">
        <v>0</v>
      </c>
      <c r="GFW129" s="70">
        <v>0</v>
      </c>
      <c r="GFX129" s="70">
        <v>0</v>
      </c>
      <c r="GFY129" s="70">
        <v>0</v>
      </c>
      <c r="GFZ129" s="70">
        <v>0</v>
      </c>
      <c r="GGA129" s="70">
        <v>0</v>
      </c>
      <c r="GGB129" s="70">
        <v>0</v>
      </c>
      <c r="GGC129" s="70">
        <v>0</v>
      </c>
      <c r="GGD129" s="70">
        <v>0</v>
      </c>
      <c r="GGE129" s="70">
        <v>0</v>
      </c>
      <c r="GGF129" s="70">
        <v>0</v>
      </c>
      <c r="GGG129" s="70">
        <v>0</v>
      </c>
      <c r="GGH129" s="70">
        <v>0</v>
      </c>
      <c r="GGI129" s="70">
        <v>0</v>
      </c>
      <c r="GGJ129" s="70">
        <v>0</v>
      </c>
      <c r="GGK129" s="70">
        <v>0</v>
      </c>
      <c r="GGL129" s="70">
        <v>0</v>
      </c>
      <c r="GGM129" s="70">
        <v>0</v>
      </c>
      <c r="GGN129" s="70">
        <v>0</v>
      </c>
      <c r="GGO129" s="70">
        <v>0</v>
      </c>
      <c r="GGP129" s="70">
        <v>0</v>
      </c>
      <c r="GGQ129" s="70">
        <v>0</v>
      </c>
      <c r="GGR129" s="70">
        <v>0</v>
      </c>
      <c r="GGS129" s="70">
        <v>0</v>
      </c>
      <c r="GGT129" s="70">
        <v>0</v>
      </c>
      <c r="GGU129" s="70">
        <v>0</v>
      </c>
      <c r="GGV129" s="70">
        <v>0</v>
      </c>
      <c r="GGW129" s="70">
        <v>0</v>
      </c>
      <c r="GGX129" s="70">
        <v>0</v>
      </c>
      <c r="GGY129" s="70">
        <v>0</v>
      </c>
      <c r="GGZ129" s="70">
        <v>0</v>
      </c>
      <c r="GHA129" s="70">
        <v>0</v>
      </c>
      <c r="GHB129" s="70">
        <v>0</v>
      </c>
      <c r="GHC129" s="70">
        <v>0</v>
      </c>
      <c r="GHD129" s="70">
        <v>0</v>
      </c>
      <c r="GHE129" s="70">
        <v>0</v>
      </c>
      <c r="GHF129" s="70">
        <v>0</v>
      </c>
      <c r="GHG129" s="70">
        <v>0</v>
      </c>
      <c r="GHH129" s="70">
        <v>0</v>
      </c>
      <c r="GHI129" s="70">
        <v>0</v>
      </c>
      <c r="GHJ129" s="70">
        <v>0</v>
      </c>
      <c r="GHK129" s="70">
        <v>0</v>
      </c>
      <c r="GHL129" s="70">
        <v>0</v>
      </c>
      <c r="GHM129" s="70">
        <v>0</v>
      </c>
      <c r="GHN129" s="70">
        <v>0</v>
      </c>
      <c r="GHO129" s="70">
        <v>0</v>
      </c>
      <c r="GHP129" s="70">
        <v>0</v>
      </c>
      <c r="GHQ129" s="70">
        <v>0</v>
      </c>
      <c r="GHR129" s="70">
        <v>0</v>
      </c>
      <c r="GHS129" s="70">
        <v>0</v>
      </c>
      <c r="GHT129" s="70">
        <v>0</v>
      </c>
      <c r="GHU129" s="70">
        <v>0</v>
      </c>
      <c r="GHV129" s="70">
        <v>0</v>
      </c>
      <c r="GHW129" s="70">
        <v>0</v>
      </c>
      <c r="GHX129" s="70">
        <v>0</v>
      </c>
      <c r="GHY129" s="70">
        <v>0</v>
      </c>
      <c r="GHZ129" s="70">
        <v>0</v>
      </c>
      <c r="GIA129" s="70">
        <v>0</v>
      </c>
      <c r="GIB129" s="70">
        <v>0</v>
      </c>
      <c r="GIC129" s="70">
        <v>0</v>
      </c>
      <c r="GID129" s="70">
        <v>0</v>
      </c>
      <c r="GIE129" s="70">
        <v>0</v>
      </c>
      <c r="GIF129" s="70">
        <v>0</v>
      </c>
      <c r="GIG129" s="70">
        <v>0</v>
      </c>
      <c r="GIH129" s="70">
        <v>0</v>
      </c>
      <c r="GII129" s="70">
        <v>0</v>
      </c>
      <c r="GIJ129" s="70">
        <v>0</v>
      </c>
      <c r="GIK129" s="70">
        <v>0</v>
      </c>
      <c r="GIL129" s="70">
        <v>0</v>
      </c>
      <c r="GIM129" s="70">
        <v>0</v>
      </c>
      <c r="GIN129" s="70">
        <v>0</v>
      </c>
      <c r="GIO129" s="70">
        <v>0</v>
      </c>
      <c r="GIP129" s="70">
        <v>0</v>
      </c>
      <c r="GIQ129" s="70">
        <v>0</v>
      </c>
      <c r="GIR129" s="70">
        <v>0</v>
      </c>
      <c r="GIS129" s="70">
        <v>0</v>
      </c>
      <c r="GIT129" s="70">
        <v>0</v>
      </c>
      <c r="GIU129" s="70">
        <v>0</v>
      </c>
      <c r="GIV129" s="70">
        <v>0</v>
      </c>
      <c r="GIW129" s="70">
        <v>0</v>
      </c>
      <c r="GIX129" s="70">
        <v>0</v>
      </c>
      <c r="GIY129" s="70">
        <v>0</v>
      </c>
      <c r="GIZ129" s="70">
        <v>0</v>
      </c>
      <c r="GJA129" s="70">
        <v>0</v>
      </c>
      <c r="GJB129" s="70">
        <v>0</v>
      </c>
      <c r="GJC129" s="70">
        <v>0</v>
      </c>
      <c r="GJD129" s="70">
        <v>0</v>
      </c>
      <c r="GJE129" s="70">
        <v>0</v>
      </c>
      <c r="GJF129" s="70">
        <v>0</v>
      </c>
      <c r="GJG129" s="70">
        <v>0</v>
      </c>
      <c r="GJH129" s="70">
        <v>0</v>
      </c>
      <c r="GJI129" s="70">
        <v>0</v>
      </c>
      <c r="GJJ129" s="70">
        <v>0</v>
      </c>
      <c r="GJK129" s="70">
        <v>0</v>
      </c>
      <c r="GJL129" s="70">
        <v>0</v>
      </c>
      <c r="GJM129" s="70">
        <v>0</v>
      </c>
      <c r="GJN129" s="70">
        <v>0</v>
      </c>
      <c r="GJO129" s="70">
        <v>0</v>
      </c>
      <c r="GJP129" s="70">
        <v>0</v>
      </c>
      <c r="GJQ129" s="70">
        <v>0</v>
      </c>
      <c r="GJR129" s="70">
        <v>0</v>
      </c>
      <c r="GJS129" s="70">
        <v>0</v>
      </c>
      <c r="GJT129" s="70">
        <v>0</v>
      </c>
      <c r="GJU129" s="70">
        <v>0</v>
      </c>
      <c r="GJV129" s="70">
        <v>0</v>
      </c>
      <c r="GJW129" s="70">
        <v>0</v>
      </c>
      <c r="GJX129" s="70">
        <v>0</v>
      </c>
      <c r="GJY129" s="70">
        <v>0</v>
      </c>
      <c r="GJZ129" s="70">
        <v>0</v>
      </c>
      <c r="GKA129" s="70">
        <v>0</v>
      </c>
      <c r="GKB129" s="70">
        <v>0</v>
      </c>
      <c r="GKC129" s="70">
        <v>0</v>
      </c>
      <c r="GKD129" s="70">
        <v>0</v>
      </c>
      <c r="GKE129" s="70">
        <v>0</v>
      </c>
      <c r="GKF129" s="70">
        <v>0</v>
      </c>
      <c r="GKG129" s="70">
        <v>0</v>
      </c>
      <c r="GKH129" s="70">
        <v>0</v>
      </c>
      <c r="GKI129" s="70">
        <v>0</v>
      </c>
      <c r="GKJ129" s="70">
        <v>0</v>
      </c>
      <c r="GKK129" s="70">
        <v>0</v>
      </c>
      <c r="GKL129" s="70">
        <v>0</v>
      </c>
      <c r="GKM129" s="70">
        <v>0</v>
      </c>
      <c r="GKN129" s="70">
        <v>0</v>
      </c>
      <c r="GKO129" s="70">
        <v>0</v>
      </c>
      <c r="GKP129" s="70">
        <v>0</v>
      </c>
      <c r="GKQ129" s="70">
        <v>0</v>
      </c>
      <c r="GKR129" s="70">
        <v>0</v>
      </c>
      <c r="GKS129" s="70">
        <v>0</v>
      </c>
      <c r="GKT129" s="70">
        <v>0</v>
      </c>
      <c r="GKU129" s="70">
        <v>0</v>
      </c>
      <c r="GKV129" s="70">
        <v>0</v>
      </c>
      <c r="GKW129" s="70">
        <v>0</v>
      </c>
      <c r="GKX129" s="70">
        <v>0</v>
      </c>
      <c r="GKY129" s="70">
        <v>0</v>
      </c>
      <c r="GKZ129" s="70">
        <v>0</v>
      </c>
      <c r="GLA129" s="70">
        <v>0</v>
      </c>
      <c r="GLB129" s="70">
        <v>0</v>
      </c>
      <c r="GLC129" s="70">
        <v>0</v>
      </c>
      <c r="GLD129" s="70">
        <v>0</v>
      </c>
      <c r="GLE129" s="70">
        <v>0</v>
      </c>
      <c r="GLF129" s="70">
        <v>0</v>
      </c>
      <c r="GLG129" s="70">
        <v>0</v>
      </c>
      <c r="GLH129" s="70">
        <v>0</v>
      </c>
      <c r="GLI129" s="70">
        <v>0</v>
      </c>
      <c r="GLJ129" s="70">
        <v>0</v>
      </c>
      <c r="GLK129" s="70">
        <v>0</v>
      </c>
      <c r="GLL129" s="70">
        <v>0</v>
      </c>
      <c r="GLM129" s="70">
        <v>0</v>
      </c>
      <c r="GLN129" s="70">
        <v>0</v>
      </c>
      <c r="GLO129" s="70">
        <v>0</v>
      </c>
      <c r="GLP129" s="70">
        <v>0</v>
      </c>
      <c r="GLQ129" s="70">
        <v>0</v>
      </c>
      <c r="GLR129" s="70">
        <v>0</v>
      </c>
      <c r="GLS129" s="70">
        <v>0</v>
      </c>
      <c r="GLT129" s="70">
        <v>0</v>
      </c>
      <c r="GLU129" s="70">
        <v>0</v>
      </c>
      <c r="GLV129" s="70">
        <v>0</v>
      </c>
      <c r="GLW129" s="70">
        <v>0</v>
      </c>
      <c r="GLX129" s="70">
        <v>0</v>
      </c>
      <c r="GLY129" s="70">
        <v>0</v>
      </c>
      <c r="GLZ129" s="70">
        <v>0</v>
      </c>
      <c r="GMA129" s="70">
        <v>0</v>
      </c>
      <c r="GMB129" s="70">
        <v>0</v>
      </c>
      <c r="GMC129" s="70">
        <v>0</v>
      </c>
      <c r="GMD129" s="70">
        <v>0</v>
      </c>
      <c r="GME129" s="70">
        <v>0</v>
      </c>
      <c r="GMF129" s="70">
        <v>0</v>
      </c>
      <c r="GMG129" s="70">
        <v>0</v>
      </c>
      <c r="GMH129" s="70">
        <v>0</v>
      </c>
      <c r="GMI129" s="70">
        <v>0</v>
      </c>
      <c r="GMJ129" s="70">
        <v>0</v>
      </c>
      <c r="GMK129" s="70">
        <v>0</v>
      </c>
      <c r="GML129" s="70">
        <v>0</v>
      </c>
      <c r="GMM129" s="70">
        <v>0</v>
      </c>
      <c r="GMN129" s="70">
        <v>0</v>
      </c>
      <c r="GMO129" s="70">
        <v>0</v>
      </c>
      <c r="GMP129" s="70">
        <v>0</v>
      </c>
      <c r="GMQ129" s="70">
        <v>0</v>
      </c>
      <c r="GMR129" s="70">
        <v>0</v>
      </c>
      <c r="GMS129" s="70">
        <v>0</v>
      </c>
      <c r="GMT129" s="70">
        <v>0</v>
      </c>
      <c r="GMU129" s="70">
        <v>0</v>
      </c>
      <c r="GMV129" s="70">
        <v>0</v>
      </c>
      <c r="GMW129" s="70">
        <v>0</v>
      </c>
      <c r="GMX129" s="70">
        <v>0</v>
      </c>
      <c r="GMY129" s="70">
        <v>0</v>
      </c>
      <c r="GMZ129" s="70">
        <v>0</v>
      </c>
      <c r="GNA129" s="70">
        <v>0</v>
      </c>
      <c r="GNB129" s="70">
        <v>0</v>
      </c>
      <c r="GNC129" s="70">
        <v>0</v>
      </c>
      <c r="GND129" s="70">
        <v>0</v>
      </c>
      <c r="GNE129" s="70">
        <v>0</v>
      </c>
      <c r="GNF129" s="70">
        <v>0</v>
      </c>
      <c r="GNG129" s="70">
        <v>0</v>
      </c>
      <c r="GNH129" s="70">
        <v>0</v>
      </c>
      <c r="GNI129" s="70">
        <v>0</v>
      </c>
      <c r="GNJ129" s="70">
        <v>0</v>
      </c>
      <c r="GNK129" s="70">
        <v>0</v>
      </c>
      <c r="GNL129" s="70">
        <v>0</v>
      </c>
      <c r="GNM129" s="70">
        <v>0</v>
      </c>
      <c r="GNN129" s="70">
        <v>0</v>
      </c>
      <c r="GNO129" s="70">
        <v>0</v>
      </c>
      <c r="GNP129" s="70">
        <v>0</v>
      </c>
      <c r="GNQ129" s="70">
        <v>0</v>
      </c>
      <c r="GNR129" s="70">
        <v>0</v>
      </c>
      <c r="GNS129" s="70">
        <v>0</v>
      </c>
      <c r="GNT129" s="70">
        <v>0</v>
      </c>
      <c r="GNU129" s="70">
        <v>0</v>
      </c>
      <c r="GNV129" s="70">
        <v>0</v>
      </c>
      <c r="GNW129" s="70">
        <v>0</v>
      </c>
      <c r="GNX129" s="70">
        <v>0</v>
      </c>
      <c r="GNY129" s="70">
        <v>0</v>
      </c>
      <c r="GNZ129" s="70">
        <v>0</v>
      </c>
      <c r="GOA129" s="70">
        <v>0</v>
      </c>
      <c r="GOB129" s="70">
        <v>0</v>
      </c>
      <c r="GOC129" s="70">
        <v>0</v>
      </c>
      <c r="GOD129" s="70">
        <v>0</v>
      </c>
      <c r="GOE129" s="70">
        <v>0</v>
      </c>
      <c r="GOF129" s="70">
        <v>0</v>
      </c>
      <c r="GOG129" s="70">
        <v>0</v>
      </c>
      <c r="GOH129" s="70">
        <v>0</v>
      </c>
      <c r="GOI129" s="70">
        <v>0</v>
      </c>
      <c r="GOJ129" s="70">
        <v>0</v>
      </c>
      <c r="GOK129" s="70">
        <v>0</v>
      </c>
      <c r="GOL129" s="70">
        <v>0</v>
      </c>
      <c r="GOM129" s="70">
        <v>0</v>
      </c>
      <c r="GON129" s="70">
        <v>0</v>
      </c>
      <c r="GOO129" s="70">
        <v>0</v>
      </c>
      <c r="GOP129" s="70">
        <v>0</v>
      </c>
      <c r="GOQ129" s="70">
        <v>0</v>
      </c>
      <c r="GOR129" s="70">
        <v>0</v>
      </c>
      <c r="GOS129" s="70">
        <v>0</v>
      </c>
      <c r="GOT129" s="70">
        <v>0</v>
      </c>
      <c r="GOU129" s="70">
        <v>0</v>
      </c>
      <c r="GOV129" s="70">
        <v>0</v>
      </c>
      <c r="GOW129" s="70">
        <v>0</v>
      </c>
      <c r="GOX129" s="70">
        <v>0</v>
      </c>
      <c r="GOY129" s="70">
        <v>0</v>
      </c>
      <c r="GOZ129" s="70">
        <v>0</v>
      </c>
      <c r="GPA129" s="70">
        <v>0</v>
      </c>
      <c r="GPB129" s="70">
        <v>0</v>
      </c>
      <c r="GPC129" s="70">
        <v>0</v>
      </c>
      <c r="GPD129" s="70">
        <v>0</v>
      </c>
      <c r="GPE129" s="70">
        <v>0</v>
      </c>
      <c r="GPF129" s="70">
        <v>0</v>
      </c>
      <c r="GPG129" s="70">
        <v>0</v>
      </c>
      <c r="GPH129" s="70">
        <v>0</v>
      </c>
      <c r="GPI129" s="70">
        <v>0</v>
      </c>
      <c r="GPJ129" s="70">
        <v>0</v>
      </c>
      <c r="GPK129" s="70">
        <v>0</v>
      </c>
      <c r="GPL129" s="70">
        <v>0</v>
      </c>
      <c r="GPM129" s="70">
        <v>0</v>
      </c>
      <c r="GPN129" s="70">
        <v>0</v>
      </c>
      <c r="GPO129" s="70">
        <v>0</v>
      </c>
      <c r="GPP129" s="70">
        <v>0</v>
      </c>
      <c r="GPQ129" s="70">
        <v>0</v>
      </c>
      <c r="GPR129" s="70">
        <v>0</v>
      </c>
      <c r="GPS129" s="70">
        <v>0</v>
      </c>
      <c r="GPT129" s="70">
        <v>0</v>
      </c>
      <c r="GPU129" s="70">
        <v>0</v>
      </c>
      <c r="GPV129" s="70">
        <v>0</v>
      </c>
      <c r="GPW129" s="70">
        <v>0</v>
      </c>
      <c r="GPX129" s="70">
        <v>0</v>
      </c>
      <c r="GPY129" s="70">
        <v>0</v>
      </c>
      <c r="GPZ129" s="70">
        <v>0</v>
      </c>
      <c r="GQA129" s="70">
        <v>0</v>
      </c>
      <c r="GQB129" s="70">
        <v>0</v>
      </c>
      <c r="GQC129" s="70">
        <v>0</v>
      </c>
      <c r="GQD129" s="70">
        <v>0</v>
      </c>
      <c r="GQE129" s="70">
        <v>0</v>
      </c>
      <c r="GQF129" s="70">
        <v>0</v>
      </c>
      <c r="GQG129" s="70">
        <v>0</v>
      </c>
      <c r="GQH129" s="70">
        <v>0</v>
      </c>
      <c r="GQI129" s="70">
        <v>0</v>
      </c>
      <c r="GQJ129" s="70">
        <v>0</v>
      </c>
      <c r="GQK129" s="70">
        <v>0</v>
      </c>
      <c r="GQL129" s="70">
        <v>0</v>
      </c>
      <c r="GQM129" s="70">
        <v>0</v>
      </c>
      <c r="GQN129" s="70">
        <v>0</v>
      </c>
      <c r="GQO129" s="70">
        <v>0</v>
      </c>
      <c r="GQP129" s="70">
        <v>0</v>
      </c>
      <c r="GQQ129" s="70">
        <v>0</v>
      </c>
      <c r="GQR129" s="70">
        <v>0</v>
      </c>
      <c r="GQS129" s="70">
        <v>0</v>
      </c>
      <c r="GQT129" s="70">
        <v>0</v>
      </c>
      <c r="GQU129" s="70">
        <v>0</v>
      </c>
      <c r="GQV129" s="70">
        <v>0</v>
      </c>
      <c r="GQW129" s="70">
        <v>0</v>
      </c>
      <c r="GQX129" s="70">
        <v>0</v>
      </c>
      <c r="GQY129" s="70">
        <v>0</v>
      </c>
      <c r="GQZ129" s="70">
        <v>0</v>
      </c>
      <c r="GRA129" s="70">
        <v>0</v>
      </c>
      <c r="GRB129" s="70">
        <v>0</v>
      </c>
      <c r="GRC129" s="70">
        <v>0</v>
      </c>
      <c r="GRD129" s="70">
        <v>0</v>
      </c>
      <c r="GRE129" s="70">
        <v>0</v>
      </c>
      <c r="GRF129" s="70">
        <v>0</v>
      </c>
      <c r="GRG129" s="70">
        <v>0</v>
      </c>
      <c r="GRH129" s="70">
        <v>0</v>
      </c>
      <c r="GRI129" s="70">
        <v>0</v>
      </c>
      <c r="GRJ129" s="70">
        <v>0</v>
      </c>
      <c r="GRK129" s="70">
        <v>0</v>
      </c>
      <c r="GRL129" s="70">
        <v>0</v>
      </c>
      <c r="GRM129" s="70">
        <v>0</v>
      </c>
      <c r="GRN129" s="70">
        <v>0</v>
      </c>
      <c r="GRO129" s="70">
        <v>0</v>
      </c>
      <c r="GRP129" s="70">
        <v>0</v>
      </c>
      <c r="GRQ129" s="70">
        <v>0</v>
      </c>
      <c r="GRR129" s="70">
        <v>0</v>
      </c>
      <c r="GRS129" s="70">
        <v>0</v>
      </c>
      <c r="GRT129" s="70">
        <v>0</v>
      </c>
      <c r="GRU129" s="70">
        <v>0</v>
      </c>
      <c r="GRV129" s="70">
        <v>0</v>
      </c>
      <c r="GRW129" s="70">
        <v>0</v>
      </c>
      <c r="GRX129" s="70">
        <v>0</v>
      </c>
      <c r="GRY129" s="70">
        <v>0</v>
      </c>
      <c r="GRZ129" s="70">
        <v>0</v>
      </c>
      <c r="GSA129" s="70">
        <v>0</v>
      </c>
      <c r="GSB129" s="70">
        <v>0</v>
      </c>
      <c r="GSC129" s="70">
        <v>0</v>
      </c>
      <c r="GSD129" s="70">
        <v>0</v>
      </c>
      <c r="GSE129" s="70">
        <v>0</v>
      </c>
      <c r="GSF129" s="70">
        <v>0</v>
      </c>
      <c r="GSG129" s="70">
        <v>0</v>
      </c>
      <c r="GSH129" s="70">
        <v>0</v>
      </c>
      <c r="GSI129" s="70">
        <v>0</v>
      </c>
      <c r="GSJ129" s="70">
        <v>0</v>
      </c>
      <c r="GSK129" s="70">
        <v>0</v>
      </c>
      <c r="GSL129" s="70">
        <v>0</v>
      </c>
      <c r="GSM129" s="70">
        <v>0</v>
      </c>
      <c r="GSN129" s="70">
        <v>0</v>
      </c>
      <c r="GSO129" s="70">
        <v>0</v>
      </c>
      <c r="GSP129" s="70">
        <v>0</v>
      </c>
      <c r="GSQ129" s="70">
        <v>0</v>
      </c>
      <c r="GSR129" s="70">
        <v>0</v>
      </c>
      <c r="GSS129" s="70">
        <v>0</v>
      </c>
      <c r="GST129" s="70">
        <v>0</v>
      </c>
      <c r="GSU129" s="70">
        <v>0</v>
      </c>
      <c r="GSV129" s="70">
        <v>0</v>
      </c>
      <c r="GSW129" s="70">
        <v>0</v>
      </c>
      <c r="GSX129" s="70">
        <v>0</v>
      </c>
      <c r="GSY129" s="70">
        <v>0</v>
      </c>
      <c r="GSZ129" s="70">
        <v>0</v>
      </c>
      <c r="GTA129" s="70">
        <v>0</v>
      </c>
      <c r="GTB129" s="70">
        <v>0</v>
      </c>
      <c r="GTC129" s="70">
        <v>0</v>
      </c>
      <c r="GTD129" s="70">
        <v>0</v>
      </c>
      <c r="GTE129" s="70">
        <v>0</v>
      </c>
      <c r="GTF129" s="70">
        <v>0</v>
      </c>
      <c r="GTG129" s="70">
        <v>0</v>
      </c>
      <c r="GTH129" s="70">
        <v>0</v>
      </c>
      <c r="GTI129" s="70">
        <v>0</v>
      </c>
      <c r="GTJ129" s="70">
        <v>0</v>
      </c>
      <c r="GTK129" s="70">
        <v>0</v>
      </c>
      <c r="GTL129" s="70">
        <v>0</v>
      </c>
      <c r="GTM129" s="70">
        <v>0</v>
      </c>
      <c r="GTN129" s="70">
        <v>0</v>
      </c>
      <c r="GTO129" s="70">
        <v>0</v>
      </c>
      <c r="GTP129" s="70">
        <v>0</v>
      </c>
      <c r="GTQ129" s="70">
        <v>0</v>
      </c>
      <c r="GTR129" s="70">
        <v>0</v>
      </c>
      <c r="GTS129" s="70">
        <v>0</v>
      </c>
      <c r="GTT129" s="70">
        <v>0</v>
      </c>
      <c r="GTU129" s="70">
        <v>0</v>
      </c>
      <c r="GTV129" s="70">
        <v>0</v>
      </c>
      <c r="GTW129" s="70">
        <v>0</v>
      </c>
      <c r="GTX129" s="70">
        <v>0</v>
      </c>
      <c r="GTY129" s="70">
        <v>0</v>
      </c>
      <c r="GTZ129" s="70">
        <v>0</v>
      </c>
      <c r="GUA129" s="70">
        <v>0</v>
      </c>
      <c r="GUB129" s="70">
        <v>0</v>
      </c>
      <c r="GUC129" s="70">
        <v>0</v>
      </c>
      <c r="GUD129" s="70">
        <v>0</v>
      </c>
      <c r="GUE129" s="70">
        <v>0</v>
      </c>
      <c r="GUF129" s="70">
        <v>0</v>
      </c>
      <c r="GUG129" s="70">
        <v>0</v>
      </c>
      <c r="GUH129" s="70">
        <v>0</v>
      </c>
      <c r="GUI129" s="70">
        <v>0</v>
      </c>
      <c r="GUJ129" s="70">
        <v>0</v>
      </c>
      <c r="GUK129" s="70">
        <v>0</v>
      </c>
      <c r="GUL129" s="70">
        <v>0</v>
      </c>
      <c r="GUM129" s="70">
        <v>0</v>
      </c>
      <c r="GUN129" s="70">
        <v>0</v>
      </c>
      <c r="GUO129" s="70">
        <v>0</v>
      </c>
      <c r="GUP129" s="70">
        <v>0</v>
      </c>
      <c r="GUQ129" s="70">
        <v>0</v>
      </c>
      <c r="GUR129" s="70">
        <v>0</v>
      </c>
      <c r="GUS129" s="70">
        <v>0</v>
      </c>
      <c r="GUT129" s="70">
        <v>0</v>
      </c>
      <c r="GUU129" s="70">
        <v>0</v>
      </c>
      <c r="GUV129" s="70">
        <v>0</v>
      </c>
      <c r="GUW129" s="70">
        <v>0</v>
      </c>
      <c r="GUX129" s="70">
        <v>0</v>
      </c>
      <c r="GUY129" s="70">
        <v>0</v>
      </c>
      <c r="GUZ129" s="70">
        <v>0</v>
      </c>
      <c r="GVA129" s="70">
        <v>0</v>
      </c>
      <c r="GVB129" s="70">
        <v>0</v>
      </c>
      <c r="GVC129" s="70">
        <v>0</v>
      </c>
      <c r="GVD129" s="70">
        <v>0</v>
      </c>
      <c r="GVE129" s="70">
        <v>0</v>
      </c>
      <c r="GVF129" s="70">
        <v>0</v>
      </c>
      <c r="GVG129" s="70">
        <v>0</v>
      </c>
      <c r="GVH129" s="70">
        <v>0</v>
      </c>
      <c r="GVI129" s="70">
        <v>0</v>
      </c>
      <c r="GVJ129" s="70">
        <v>0</v>
      </c>
      <c r="GVK129" s="70">
        <v>0</v>
      </c>
      <c r="GVL129" s="70">
        <v>0</v>
      </c>
      <c r="GVM129" s="70">
        <v>0</v>
      </c>
      <c r="GVN129" s="70">
        <v>0</v>
      </c>
      <c r="GVO129" s="70">
        <v>0</v>
      </c>
      <c r="GVP129" s="70">
        <v>0</v>
      </c>
      <c r="GVQ129" s="70">
        <v>0</v>
      </c>
      <c r="GVR129" s="70">
        <v>0</v>
      </c>
      <c r="GVS129" s="70">
        <v>0</v>
      </c>
      <c r="GVT129" s="70">
        <v>0</v>
      </c>
      <c r="GVU129" s="70">
        <v>0</v>
      </c>
      <c r="GVV129" s="70">
        <v>0</v>
      </c>
      <c r="GVW129" s="70">
        <v>0</v>
      </c>
      <c r="GVX129" s="70">
        <v>0</v>
      </c>
      <c r="GVY129" s="70">
        <v>0</v>
      </c>
      <c r="GVZ129" s="70">
        <v>0</v>
      </c>
      <c r="GWA129" s="70">
        <v>0</v>
      </c>
      <c r="GWB129" s="70">
        <v>0</v>
      </c>
      <c r="GWC129" s="70">
        <v>0</v>
      </c>
      <c r="GWD129" s="70">
        <v>0</v>
      </c>
      <c r="GWE129" s="70">
        <v>0</v>
      </c>
      <c r="GWF129" s="70">
        <v>0</v>
      </c>
      <c r="GWG129" s="70">
        <v>0</v>
      </c>
      <c r="GWH129" s="70">
        <v>0</v>
      </c>
      <c r="GWI129" s="70">
        <v>0</v>
      </c>
      <c r="GWJ129" s="70">
        <v>0</v>
      </c>
      <c r="GWK129" s="70">
        <v>0</v>
      </c>
      <c r="GWL129" s="70">
        <v>0</v>
      </c>
      <c r="GWM129" s="70">
        <v>0</v>
      </c>
      <c r="GWN129" s="70">
        <v>0</v>
      </c>
      <c r="GWO129" s="70">
        <v>0</v>
      </c>
      <c r="GWP129" s="70">
        <v>0</v>
      </c>
      <c r="GWQ129" s="70">
        <v>0</v>
      </c>
      <c r="GWR129" s="70">
        <v>0</v>
      </c>
      <c r="GWS129" s="70">
        <v>0</v>
      </c>
      <c r="GWT129" s="70">
        <v>0</v>
      </c>
      <c r="GWU129" s="70">
        <v>0</v>
      </c>
      <c r="GWV129" s="70">
        <v>0</v>
      </c>
      <c r="GWW129" s="70">
        <v>0</v>
      </c>
      <c r="GWX129" s="70">
        <v>0</v>
      </c>
      <c r="GWY129" s="70">
        <v>0</v>
      </c>
      <c r="GWZ129" s="70">
        <v>0</v>
      </c>
      <c r="GXA129" s="70">
        <v>0</v>
      </c>
      <c r="GXB129" s="70">
        <v>0</v>
      </c>
      <c r="GXC129" s="70">
        <v>0</v>
      </c>
      <c r="GXD129" s="70">
        <v>0</v>
      </c>
      <c r="GXE129" s="70">
        <v>0</v>
      </c>
      <c r="GXF129" s="70">
        <v>0</v>
      </c>
      <c r="GXG129" s="70">
        <v>0</v>
      </c>
      <c r="GXH129" s="70">
        <v>0</v>
      </c>
      <c r="GXI129" s="70">
        <v>0</v>
      </c>
      <c r="GXJ129" s="70">
        <v>0</v>
      </c>
      <c r="GXK129" s="70">
        <v>0</v>
      </c>
      <c r="GXL129" s="70">
        <v>0</v>
      </c>
      <c r="GXM129" s="70">
        <v>0</v>
      </c>
      <c r="GXN129" s="70">
        <v>0</v>
      </c>
      <c r="GXO129" s="70">
        <v>0</v>
      </c>
      <c r="GXP129" s="70">
        <v>0</v>
      </c>
      <c r="GXQ129" s="70">
        <v>0</v>
      </c>
      <c r="GXR129" s="70">
        <v>0</v>
      </c>
      <c r="GXS129" s="70">
        <v>0</v>
      </c>
      <c r="GXT129" s="70">
        <v>0</v>
      </c>
      <c r="GXU129" s="70">
        <v>0</v>
      </c>
      <c r="GXV129" s="70">
        <v>0</v>
      </c>
      <c r="GXW129" s="70">
        <v>0</v>
      </c>
      <c r="GXX129" s="70">
        <v>0</v>
      </c>
      <c r="GXY129" s="70">
        <v>0</v>
      </c>
      <c r="GXZ129" s="70">
        <v>0</v>
      </c>
      <c r="GYA129" s="70">
        <v>0</v>
      </c>
      <c r="GYB129" s="70">
        <v>0</v>
      </c>
      <c r="GYC129" s="70">
        <v>0</v>
      </c>
      <c r="GYD129" s="70">
        <v>0</v>
      </c>
      <c r="GYE129" s="70">
        <v>0</v>
      </c>
      <c r="GYF129" s="70">
        <v>0</v>
      </c>
      <c r="GYG129" s="70">
        <v>0</v>
      </c>
      <c r="GYH129" s="70">
        <v>0</v>
      </c>
      <c r="GYI129" s="70">
        <v>0</v>
      </c>
      <c r="GYJ129" s="70">
        <v>0</v>
      </c>
      <c r="GYK129" s="70">
        <v>0</v>
      </c>
      <c r="GYL129" s="70">
        <v>0</v>
      </c>
      <c r="GYM129" s="70">
        <v>0</v>
      </c>
      <c r="GYN129" s="70">
        <v>0</v>
      </c>
      <c r="GYO129" s="70">
        <v>0</v>
      </c>
      <c r="GYP129" s="70">
        <v>0</v>
      </c>
      <c r="GYQ129" s="70">
        <v>0</v>
      </c>
      <c r="GYR129" s="70">
        <v>0</v>
      </c>
      <c r="GYS129" s="70">
        <v>0</v>
      </c>
      <c r="GYT129" s="70">
        <v>0</v>
      </c>
      <c r="GYU129" s="70">
        <v>0</v>
      </c>
      <c r="GYV129" s="70">
        <v>0</v>
      </c>
      <c r="GYW129" s="70">
        <v>0</v>
      </c>
      <c r="GYX129" s="70">
        <v>0</v>
      </c>
      <c r="GYY129" s="70">
        <v>0</v>
      </c>
      <c r="GYZ129" s="70">
        <v>0</v>
      </c>
      <c r="GZA129" s="70">
        <v>0</v>
      </c>
      <c r="GZB129" s="70">
        <v>0</v>
      </c>
      <c r="GZC129" s="70">
        <v>0</v>
      </c>
      <c r="GZD129" s="70">
        <v>0</v>
      </c>
      <c r="GZE129" s="70">
        <v>0</v>
      </c>
      <c r="GZF129" s="70">
        <v>0</v>
      </c>
      <c r="GZG129" s="70">
        <v>0</v>
      </c>
      <c r="GZH129" s="70">
        <v>0</v>
      </c>
      <c r="GZI129" s="70">
        <v>0</v>
      </c>
      <c r="GZJ129" s="70">
        <v>0</v>
      </c>
      <c r="GZK129" s="70">
        <v>0</v>
      </c>
      <c r="GZL129" s="70">
        <v>0</v>
      </c>
      <c r="GZM129" s="70">
        <v>0</v>
      </c>
      <c r="GZN129" s="70">
        <v>0</v>
      </c>
      <c r="GZO129" s="70">
        <v>0</v>
      </c>
      <c r="GZP129" s="70">
        <v>0</v>
      </c>
      <c r="GZQ129" s="70">
        <v>0</v>
      </c>
      <c r="GZR129" s="70">
        <v>0</v>
      </c>
      <c r="GZS129" s="70">
        <v>0</v>
      </c>
      <c r="GZT129" s="70">
        <v>0</v>
      </c>
      <c r="GZU129" s="70">
        <v>0</v>
      </c>
      <c r="GZV129" s="70">
        <v>0</v>
      </c>
      <c r="GZW129" s="70">
        <v>0</v>
      </c>
      <c r="GZX129" s="70">
        <v>0</v>
      </c>
      <c r="GZY129" s="70">
        <v>0</v>
      </c>
      <c r="GZZ129" s="70">
        <v>0</v>
      </c>
      <c r="HAA129" s="70">
        <v>0</v>
      </c>
      <c r="HAB129" s="70">
        <v>0</v>
      </c>
      <c r="HAC129" s="70">
        <v>0</v>
      </c>
      <c r="HAD129" s="70">
        <v>0</v>
      </c>
      <c r="HAE129" s="70">
        <v>0</v>
      </c>
      <c r="HAF129" s="70">
        <v>0</v>
      </c>
      <c r="HAG129" s="70">
        <v>0</v>
      </c>
      <c r="HAH129" s="70">
        <v>0</v>
      </c>
      <c r="HAI129" s="70">
        <v>0</v>
      </c>
      <c r="HAJ129" s="70">
        <v>0</v>
      </c>
      <c r="HAK129" s="70">
        <v>0</v>
      </c>
      <c r="HAL129" s="70">
        <v>0</v>
      </c>
      <c r="HAM129" s="70">
        <v>0</v>
      </c>
      <c r="HAN129" s="70">
        <v>0</v>
      </c>
      <c r="HAO129" s="70">
        <v>0</v>
      </c>
      <c r="HAP129" s="70">
        <v>0</v>
      </c>
      <c r="HAQ129" s="70">
        <v>0</v>
      </c>
      <c r="HAR129" s="70">
        <v>0</v>
      </c>
      <c r="HAS129" s="70">
        <v>0</v>
      </c>
      <c r="HAT129" s="70">
        <v>0</v>
      </c>
      <c r="HAU129" s="70">
        <v>0</v>
      </c>
      <c r="HAV129" s="70">
        <v>0</v>
      </c>
      <c r="HAW129" s="70">
        <v>0</v>
      </c>
      <c r="HAX129" s="70">
        <v>0</v>
      </c>
      <c r="HAY129" s="70">
        <v>0</v>
      </c>
      <c r="HAZ129" s="70">
        <v>0</v>
      </c>
      <c r="HBA129" s="70">
        <v>0</v>
      </c>
      <c r="HBB129" s="70">
        <v>0</v>
      </c>
      <c r="HBC129" s="70">
        <v>0</v>
      </c>
      <c r="HBD129" s="70">
        <v>0</v>
      </c>
      <c r="HBE129" s="70">
        <v>0</v>
      </c>
      <c r="HBF129" s="70">
        <v>0</v>
      </c>
      <c r="HBG129" s="70">
        <v>0</v>
      </c>
      <c r="HBH129" s="70">
        <v>0</v>
      </c>
      <c r="HBI129" s="70">
        <v>0</v>
      </c>
      <c r="HBJ129" s="70">
        <v>0</v>
      </c>
      <c r="HBK129" s="70">
        <v>0</v>
      </c>
      <c r="HBL129" s="70">
        <v>0</v>
      </c>
      <c r="HBM129" s="70">
        <v>0</v>
      </c>
      <c r="HBN129" s="70">
        <v>0</v>
      </c>
      <c r="HBO129" s="70">
        <v>0</v>
      </c>
      <c r="HBP129" s="70">
        <v>0</v>
      </c>
      <c r="HBQ129" s="70">
        <v>0</v>
      </c>
      <c r="HBR129" s="70">
        <v>0</v>
      </c>
      <c r="HBS129" s="70">
        <v>0</v>
      </c>
      <c r="HBT129" s="70">
        <v>0</v>
      </c>
      <c r="HBU129" s="70">
        <v>0</v>
      </c>
      <c r="HBV129" s="70">
        <v>0</v>
      </c>
      <c r="HBW129" s="70">
        <v>0</v>
      </c>
      <c r="HBX129" s="70">
        <v>0</v>
      </c>
      <c r="HBY129" s="70">
        <v>0</v>
      </c>
      <c r="HBZ129" s="70">
        <v>0</v>
      </c>
      <c r="HCA129" s="70">
        <v>0</v>
      </c>
      <c r="HCB129" s="70">
        <v>0</v>
      </c>
      <c r="HCC129" s="70">
        <v>0</v>
      </c>
      <c r="HCD129" s="70">
        <v>0</v>
      </c>
      <c r="HCE129" s="70">
        <v>0</v>
      </c>
      <c r="HCF129" s="70">
        <v>0</v>
      </c>
      <c r="HCG129" s="70">
        <v>0</v>
      </c>
      <c r="HCH129" s="70">
        <v>0</v>
      </c>
      <c r="HCI129" s="70">
        <v>0</v>
      </c>
      <c r="HCJ129" s="70">
        <v>0</v>
      </c>
      <c r="HCK129" s="70">
        <v>0</v>
      </c>
      <c r="HCL129" s="70">
        <v>0</v>
      </c>
      <c r="HCM129" s="70">
        <v>0</v>
      </c>
      <c r="HCN129" s="70">
        <v>0</v>
      </c>
      <c r="HCO129" s="70">
        <v>0</v>
      </c>
      <c r="HCP129" s="70">
        <v>0</v>
      </c>
      <c r="HCQ129" s="70">
        <v>0</v>
      </c>
      <c r="HCR129" s="70">
        <v>0</v>
      </c>
      <c r="HCS129" s="70">
        <v>0</v>
      </c>
      <c r="HCT129" s="70">
        <v>0</v>
      </c>
      <c r="HCU129" s="70">
        <v>0</v>
      </c>
      <c r="HCV129" s="70">
        <v>0</v>
      </c>
      <c r="HCW129" s="70">
        <v>0</v>
      </c>
      <c r="HCX129" s="70">
        <v>0</v>
      </c>
      <c r="HCY129" s="70">
        <v>0</v>
      </c>
      <c r="HCZ129" s="70">
        <v>0</v>
      </c>
      <c r="HDA129" s="70">
        <v>0</v>
      </c>
      <c r="HDB129" s="70">
        <v>0</v>
      </c>
      <c r="HDC129" s="70">
        <v>0</v>
      </c>
      <c r="HDD129" s="70">
        <v>0</v>
      </c>
      <c r="HDE129" s="70">
        <v>0</v>
      </c>
      <c r="HDF129" s="70">
        <v>0</v>
      </c>
      <c r="HDG129" s="70">
        <v>0</v>
      </c>
      <c r="HDH129" s="70">
        <v>0</v>
      </c>
      <c r="HDI129" s="70">
        <v>0</v>
      </c>
      <c r="HDJ129" s="70">
        <v>0</v>
      </c>
      <c r="HDK129" s="70">
        <v>0</v>
      </c>
      <c r="HDL129" s="70">
        <v>0</v>
      </c>
      <c r="HDM129" s="70">
        <v>0</v>
      </c>
      <c r="HDN129" s="70">
        <v>0</v>
      </c>
      <c r="HDO129" s="70">
        <v>0</v>
      </c>
      <c r="HDP129" s="70">
        <v>0</v>
      </c>
      <c r="HDQ129" s="70">
        <v>0</v>
      </c>
      <c r="HDR129" s="70">
        <v>0</v>
      </c>
      <c r="HDS129" s="70">
        <v>0</v>
      </c>
      <c r="HDT129" s="70">
        <v>0</v>
      </c>
      <c r="HDU129" s="70">
        <v>0</v>
      </c>
      <c r="HDV129" s="70">
        <v>0</v>
      </c>
      <c r="HDW129" s="70">
        <v>0</v>
      </c>
      <c r="HDX129" s="70">
        <v>0</v>
      </c>
      <c r="HDY129" s="70">
        <v>0</v>
      </c>
      <c r="HDZ129" s="70">
        <v>0</v>
      </c>
      <c r="HEA129" s="70">
        <v>0</v>
      </c>
      <c r="HEB129" s="70">
        <v>0</v>
      </c>
      <c r="HEC129" s="70">
        <v>0</v>
      </c>
      <c r="HED129" s="70">
        <v>0</v>
      </c>
      <c r="HEE129" s="70">
        <v>0</v>
      </c>
      <c r="HEF129" s="70">
        <v>0</v>
      </c>
      <c r="HEG129" s="70">
        <v>0</v>
      </c>
      <c r="HEH129" s="70">
        <v>0</v>
      </c>
      <c r="HEI129" s="70">
        <v>0</v>
      </c>
      <c r="HEJ129" s="70">
        <v>0</v>
      </c>
      <c r="HEK129" s="70">
        <v>0</v>
      </c>
      <c r="HEL129" s="70">
        <v>0</v>
      </c>
      <c r="HEM129" s="70">
        <v>0</v>
      </c>
      <c r="HEN129" s="70">
        <v>0</v>
      </c>
      <c r="HEO129" s="70">
        <v>0</v>
      </c>
      <c r="HEP129" s="70">
        <v>0</v>
      </c>
      <c r="HEQ129" s="70">
        <v>0</v>
      </c>
      <c r="HER129" s="70">
        <v>0</v>
      </c>
      <c r="HES129" s="70">
        <v>0</v>
      </c>
      <c r="HET129" s="70">
        <v>0</v>
      </c>
      <c r="HEU129" s="70">
        <v>0</v>
      </c>
      <c r="HEV129" s="70">
        <v>0</v>
      </c>
      <c r="HEW129" s="70">
        <v>0</v>
      </c>
      <c r="HEX129" s="70">
        <v>0</v>
      </c>
      <c r="HEY129" s="70">
        <v>0</v>
      </c>
      <c r="HEZ129" s="70">
        <v>0</v>
      </c>
      <c r="HFA129" s="70">
        <v>0</v>
      </c>
      <c r="HFB129" s="70">
        <v>0</v>
      </c>
      <c r="HFC129" s="70">
        <v>0</v>
      </c>
      <c r="HFD129" s="70">
        <v>0</v>
      </c>
      <c r="HFE129" s="70">
        <v>0</v>
      </c>
      <c r="HFF129" s="70">
        <v>0</v>
      </c>
      <c r="HFG129" s="70">
        <v>0</v>
      </c>
      <c r="HFH129" s="70">
        <v>0</v>
      </c>
      <c r="HFI129" s="70">
        <v>0</v>
      </c>
      <c r="HFJ129" s="70">
        <v>0</v>
      </c>
      <c r="HFK129" s="70">
        <v>0</v>
      </c>
      <c r="HFL129" s="70">
        <v>0</v>
      </c>
      <c r="HFM129" s="70">
        <v>0</v>
      </c>
      <c r="HFN129" s="70">
        <v>0</v>
      </c>
      <c r="HFO129" s="70">
        <v>0</v>
      </c>
      <c r="HFP129" s="70">
        <v>0</v>
      </c>
      <c r="HFQ129" s="70">
        <v>0</v>
      </c>
      <c r="HFR129" s="70">
        <v>0</v>
      </c>
      <c r="HFS129" s="70">
        <v>0</v>
      </c>
      <c r="HFT129" s="70">
        <v>0</v>
      </c>
      <c r="HFU129" s="70">
        <v>0</v>
      </c>
      <c r="HFV129" s="70">
        <v>0</v>
      </c>
      <c r="HFW129" s="70">
        <v>0</v>
      </c>
      <c r="HFX129" s="70">
        <v>0</v>
      </c>
      <c r="HFY129" s="70">
        <v>0</v>
      </c>
      <c r="HFZ129" s="70">
        <v>0</v>
      </c>
      <c r="HGA129" s="70">
        <v>0</v>
      </c>
      <c r="HGB129" s="70">
        <v>0</v>
      </c>
      <c r="HGC129" s="70">
        <v>0</v>
      </c>
      <c r="HGD129" s="70">
        <v>0</v>
      </c>
      <c r="HGE129" s="70">
        <v>0</v>
      </c>
      <c r="HGF129" s="70">
        <v>0</v>
      </c>
      <c r="HGG129" s="70">
        <v>0</v>
      </c>
      <c r="HGH129" s="70">
        <v>0</v>
      </c>
      <c r="HGI129" s="70">
        <v>0</v>
      </c>
      <c r="HGJ129" s="70">
        <v>0</v>
      </c>
      <c r="HGK129" s="70">
        <v>0</v>
      </c>
      <c r="HGL129" s="70">
        <v>0</v>
      </c>
      <c r="HGM129" s="70">
        <v>0</v>
      </c>
      <c r="HGN129" s="70">
        <v>0</v>
      </c>
      <c r="HGO129" s="70">
        <v>0</v>
      </c>
      <c r="HGP129" s="70">
        <v>0</v>
      </c>
      <c r="HGQ129" s="70">
        <v>0</v>
      </c>
      <c r="HGR129" s="70">
        <v>0</v>
      </c>
      <c r="HGS129" s="70">
        <v>0</v>
      </c>
      <c r="HGT129" s="70">
        <v>0</v>
      </c>
      <c r="HGU129" s="70">
        <v>0</v>
      </c>
      <c r="HGV129" s="70">
        <v>0</v>
      </c>
      <c r="HGW129" s="70">
        <v>0</v>
      </c>
      <c r="HGX129" s="70">
        <v>0</v>
      </c>
      <c r="HGY129" s="70">
        <v>0</v>
      </c>
      <c r="HGZ129" s="70">
        <v>0</v>
      </c>
      <c r="HHA129" s="70">
        <v>0</v>
      </c>
      <c r="HHB129" s="70">
        <v>0</v>
      </c>
      <c r="HHC129" s="70">
        <v>0</v>
      </c>
      <c r="HHD129" s="70">
        <v>0</v>
      </c>
      <c r="HHE129" s="70">
        <v>0</v>
      </c>
      <c r="HHF129" s="70">
        <v>0</v>
      </c>
      <c r="HHG129" s="70">
        <v>0</v>
      </c>
      <c r="HHH129" s="70">
        <v>0</v>
      </c>
      <c r="HHI129" s="70">
        <v>0</v>
      </c>
      <c r="HHJ129" s="70">
        <v>0</v>
      </c>
      <c r="HHK129" s="70">
        <v>0</v>
      </c>
      <c r="HHL129" s="70">
        <v>0</v>
      </c>
      <c r="HHM129" s="70">
        <v>0</v>
      </c>
      <c r="HHN129" s="70">
        <v>0</v>
      </c>
      <c r="HHO129" s="70">
        <v>0</v>
      </c>
      <c r="HHP129" s="70">
        <v>0</v>
      </c>
      <c r="HHQ129" s="70">
        <v>0</v>
      </c>
      <c r="HHR129" s="70">
        <v>0</v>
      </c>
      <c r="HHS129" s="70">
        <v>0</v>
      </c>
      <c r="HHT129" s="70">
        <v>0</v>
      </c>
      <c r="HHU129" s="70">
        <v>0</v>
      </c>
      <c r="HHV129" s="70">
        <v>0</v>
      </c>
      <c r="HHW129" s="70">
        <v>0</v>
      </c>
      <c r="HHX129" s="70">
        <v>0</v>
      </c>
      <c r="HHY129" s="70">
        <v>0</v>
      </c>
      <c r="HHZ129" s="70">
        <v>0</v>
      </c>
      <c r="HIA129" s="70">
        <v>0</v>
      </c>
      <c r="HIB129" s="70">
        <v>0</v>
      </c>
      <c r="HIC129" s="70">
        <v>0</v>
      </c>
      <c r="HID129" s="70">
        <v>0</v>
      </c>
      <c r="HIE129" s="70">
        <v>0</v>
      </c>
      <c r="HIF129" s="70">
        <v>0</v>
      </c>
      <c r="HIG129" s="70">
        <v>0</v>
      </c>
      <c r="HIH129" s="70">
        <v>0</v>
      </c>
      <c r="HII129" s="70">
        <v>0</v>
      </c>
      <c r="HIJ129" s="70">
        <v>0</v>
      </c>
      <c r="HIK129" s="70">
        <v>0</v>
      </c>
      <c r="HIL129" s="70">
        <v>0</v>
      </c>
      <c r="HIM129" s="70">
        <v>0</v>
      </c>
      <c r="HIN129" s="70">
        <v>0</v>
      </c>
      <c r="HIO129" s="70">
        <v>0</v>
      </c>
      <c r="HIP129" s="70">
        <v>0</v>
      </c>
      <c r="HIQ129" s="70">
        <v>0</v>
      </c>
      <c r="HIR129" s="70">
        <v>0</v>
      </c>
      <c r="HIS129" s="70">
        <v>0</v>
      </c>
      <c r="HIT129" s="70">
        <v>0</v>
      </c>
      <c r="HIU129" s="70">
        <v>0</v>
      </c>
      <c r="HIV129" s="70">
        <v>0</v>
      </c>
      <c r="HIW129" s="70">
        <v>0</v>
      </c>
      <c r="HIX129" s="70">
        <v>0</v>
      </c>
      <c r="HIY129" s="70">
        <v>0</v>
      </c>
      <c r="HIZ129" s="70">
        <v>0</v>
      </c>
      <c r="HJA129" s="70">
        <v>0</v>
      </c>
      <c r="HJB129" s="70">
        <v>0</v>
      </c>
      <c r="HJC129" s="70">
        <v>0</v>
      </c>
      <c r="HJD129" s="70">
        <v>0</v>
      </c>
      <c r="HJE129" s="70">
        <v>0</v>
      </c>
      <c r="HJF129" s="70">
        <v>0</v>
      </c>
      <c r="HJG129" s="70">
        <v>0</v>
      </c>
      <c r="HJH129" s="70">
        <v>0</v>
      </c>
      <c r="HJI129" s="70">
        <v>0</v>
      </c>
      <c r="HJJ129" s="70">
        <v>0</v>
      </c>
      <c r="HJK129" s="70">
        <v>0</v>
      </c>
      <c r="HJL129" s="70">
        <v>0</v>
      </c>
      <c r="HJM129" s="70">
        <v>0</v>
      </c>
      <c r="HJN129" s="70">
        <v>0</v>
      </c>
      <c r="HJO129" s="70">
        <v>0</v>
      </c>
      <c r="HJP129" s="70">
        <v>0</v>
      </c>
      <c r="HJQ129" s="70">
        <v>0</v>
      </c>
      <c r="HJR129" s="70">
        <v>0</v>
      </c>
      <c r="HJS129" s="70">
        <v>0</v>
      </c>
      <c r="HJT129" s="70">
        <v>0</v>
      </c>
      <c r="HJU129" s="70">
        <v>0</v>
      </c>
      <c r="HJV129" s="70">
        <v>0</v>
      </c>
      <c r="HJW129" s="70">
        <v>0</v>
      </c>
      <c r="HJX129" s="70">
        <v>0</v>
      </c>
      <c r="HJY129" s="70">
        <v>0</v>
      </c>
      <c r="HJZ129" s="70">
        <v>0</v>
      </c>
      <c r="HKA129" s="70">
        <v>0</v>
      </c>
      <c r="HKB129" s="70">
        <v>0</v>
      </c>
      <c r="HKC129" s="70">
        <v>0</v>
      </c>
      <c r="HKD129" s="70">
        <v>0</v>
      </c>
      <c r="HKE129" s="70">
        <v>0</v>
      </c>
      <c r="HKF129" s="70">
        <v>0</v>
      </c>
      <c r="HKG129" s="70">
        <v>0</v>
      </c>
      <c r="HKH129" s="70">
        <v>0</v>
      </c>
      <c r="HKI129" s="70">
        <v>0</v>
      </c>
      <c r="HKJ129" s="70">
        <v>0</v>
      </c>
      <c r="HKK129" s="70">
        <v>0</v>
      </c>
      <c r="HKL129" s="70">
        <v>0</v>
      </c>
      <c r="HKM129" s="70">
        <v>0</v>
      </c>
      <c r="HKN129" s="70">
        <v>0</v>
      </c>
      <c r="HKO129" s="70">
        <v>0</v>
      </c>
      <c r="HKP129" s="70">
        <v>0</v>
      </c>
      <c r="HKQ129" s="70">
        <v>0</v>
      </c>
      <c r="HKR129" s="70">
        <v>0</v>
      </c>
      <c r="HKS129" s="70">
        <v>0</v>
      </c>
      <c r="HKT129" s="70">
        <v>0</v>
      </c>
      <c r="HKU129" s="70">
        <v>0</v>
      </c>
      <c r="HKV129" s="70">
        <v>0</v>
      </c>
      <c r="HKW129" s="70">
        <v>0</v>
      </c>
      <c r="HKX129" s="70">
        <v>0</v>
      </c>
      <c r="HKY129" s="70">
        <v>0</v>
      </c>
      <c r="HKZ129" s="70">
        <v>0</v>
      </c>
      <c r="HLA129" s="70">
        <v>0</v>
      </c>
      <c r="HLB129" s="70">
        <v>0</v>
      </c>
      <c r="HLC129" s="70">
        <v>0</v>
      </c>
      <c r="HLD129" s="70">
        <v>0</v>
      </c>
      <c r="HLE129" s="70">
        <v>0</v>
      </c>
      <c r="HLF129" s="70">
        <v>0</v>
      </c>
      <c r="HLG129" s="70">
        <v>0</v>
      </c>
      <c r="HLH129" s="70">
        <v>0</v>
      </c>
      <c r="HLI129" s="70">
        <v>0</v>
      </c>
      <c r="HLJ129" s="70">
        <v>0</v>
      </c>
      <c r="HLK129" s="70">
        <v>0</v>
      </c>
      <c r="HLL129" s="70">
        <v>0</v>
      </c>
      <c r="HLM129" s="70">
        <v>0</v>
      </c>
      <c r="HLN129" s="70">
        <v>0</v>
      </c>
      <c r="HLO129" s="70">
        <v>0</v>
      </c>
      <c r="HLP129" s="70">
        <v>0</v>
      </c>
      <c r="HLQ129" s="70">
        <v>0</v>
      </c>
      <c r="HLR129" s="70">
        <v>0</v>
      </c>
      <c r="HLS129" s="70">
        <v>0</v>
      </c>
      <c r="HLT129" s="70">
        <v>0</v>
      </c>
      <c r="HLU129" s="70">
        <v>0</v>
      </c>
      <c r="HLV129" s="70">
        <v>0</v>
      </c>
      <c r="HLW129" s="70">
        <v>0</v>
      </c>
      <c r="HLX129" s="70">
        <v>0</v>
      </c>
      <c r="HLY129" s="70">
        <v>0</v>
      </c>
      <c r="HLZ129" s="70">
        <v>0</v>
      </c>
      <c r="HMA129" s="70">
        <v>0</v>
      </c>
      <c r="HMB129" s="70">
        <v>0</v>
      </c>
      <c r="HMC129" s="70">
        <v>0</v>
      </c>
      <c r="HMD129" s="70">
        <v>0</v>
      </c>
      <c r="HME129" s="70">
        <v>0</v>
      </c>
      <c r="HMF129" s="70">
        <v>0</v>
      </c>
      <c r="HMG129" s="70">
        <v>0</v>
      </c>
      <c r="HMH129" s="70">
        <v>0</v>
      </c>
      <c r="HMI129" s="70">
        <v>0</v>
      </c>
      <c r="HMJ129" s="70">
        <v>0</v>
      </c>
      <c r="HMK129" s="70">
        <v>0</v>
      </c>
      <c r="HML129" s="70">
        <v>0</v>
      </c>
      <c r="HMM129" s="70">
        <v>0</v>
      </c>
      <c r="HMN129" s="70">
        <v>0</v>
      </c>
      <c r="HMO129" s="70">
        <v>0</v>
      </c>
      <c r="HMP129" s="70">
        <v>0</v>
      </c>
      <c r="HMQ129" s="70">
        <v>0</v>
      </c>
      <c r="HMR129" s="70">
        <v>0</v>
      </c>
      <c r="HMS129" s="70">
        <v>0</v>
      </c>
      <c r="HMT129" s="70">
        <v>0</v>
      </c>
      <c r="HMU129" s="70">
        <v>0</v>
      </c>
      <c r="HMV129" s="70">
        <v>0</v>
      </c>
      <c r="HMW129" s="70">
        <v>0</v>
      </c>
      <c r="HMX129" s="70">
        <v>0</v>
      </c>
      <c r="HMY129" s="70">
        <v>0</v>
      </c>
      <c r="HMZ129" s="70">
        <v>0</v>
      </c>
      <c r="HNA129" s="70">
        <v>0</v>
      </c>
      <c r="HNB129" s="70">
        <v>0</v>
      </c>
      <c r="HNC129" s="70">
        <v>0</v>
      </c>
      <c r="HND129" s="70">
        <v>0</v>
      </c>
      <c r="HNE129" s="70">
        <v>0</v>
      </c>
      <c r="HNF129" s="70">
        <v>0</v>
      </c>
      <c r="HNG129" s="70">
        <v>0</v>
      </c>
      <c r="HNH129" s="70">
        <v>0</v>
      </c>
      <c r="HNI129" s="70">
        <v>0</v>
      </c>
      <c r="HNJ129" s="70">
        <v>0</v>
      </c>
      <c r="HNK129" s="70">
        <v>0</v>
      </c>
      <c r="HNL129" s="70">
        <v>0</v>
      </c>
      <c r="HNM129" s="70">
        <v>0</v>
      </c>
      <c r="HNN129" s="70">
        <v>0</v>
      </c>
      <c r="HNO129" s="70">
        <v>0</v>
      </c>
      <c r="HNP129" s="70">
        <v>0</v>
      </c>
      <c r="HNQ129" s="70">
        <v>0</v>
      </c>
      <c r="HNR129" s="70">
        <v>0</v>
      </c>
      <c r="HNS129" s="70">
        <v>0</v>
      </c>
      <c r="HNT129" s="70">
        <v>0</v>
      </c>
      <c r="HNU129" s="70">
        <v>0</v>
      </c>
      <c r="HNV129" s="70">
        <v>0</v>
      </c>
      <c r="HNW129" s="70">
        <v>0</v>
      </c>
      <c r="HNX129" s="70">
        <v>0</v>
      </c>
      <c r="HNY129" s="70">
        <v>0</v>
      </c>
      <c r="HNZ129" s="70">
        <v>0</v>
      </c>
      <c r="HOA129" s="70">
        <v>0</v>
      </c>
      <c r="HOB129" s="70">
        <v>0</v>
      </c>
      <c r="HOC129" s="70">
        <v>0</v>
      </c>
      <c r="HOD129" s="70">
        <v>0</v>
      </c>
      <c r="HOE129" s="70">
        <v>0</v>
      </c>
      <c r="HOF129" s="70">
        <v>0</v>
      </c>
      <c r="HOG129" s="70">
        <v>0</v>
      </c>
      <c r="HOH129" s="70">
        <v>0</v>
      </c>
      <c r="HOI129" s="70">
        <v>0</v>
      </c>
      <c r="HOJ129" s="70">
        <v>0</v>
      </c>
      <c r="HOK129" s="70">
        <v>0</v>
      </c>
      <c r="HOL129" s="70">
        <v>0</v>
      </c>
      <c r="HOM129" s="70">
        <v>0</v>
      </c>
      <c r="HON129" s="70">
        <v>0</v>
      </c>
      <c r="HOO129" s="70">
        <v>0</v>
      </c>
      <c r="HOP129" s="70">
        <v>0</v>
      </c>
      <c r="HOQ129" s="70">
        <v>0</v>
      </c>
      <c r="HOR129" s="70">
        <v>0</v>
      </c>
      <c r="HOS129" s="70">
        <v>0</v>
      </c>
      <c r="HOT129" s="70">
        <v>0</v>
      </c>
      <c r="HOU129" s="70">
        <v>0</v>
      </c>
      <c r="HOV129" s="70">
        <v>0</v>
      </c>
      <c r="HOW129" s="70">
        <v>0</v>
      </c>
      <c r="HOX129" s="70">
        <v>0</v>
      </c>
      <c r="HOY129" s="70">
        <v>0</v>
      </c>
      <c r="HOZ129" s="70">
        <v>0</v>
      </c>
      <c r="HPA129" s="70">
        <v>0</v>
      </c>
      <c r="HPB129" s="70">
        <v>0</v>
      </c>
      <c r="HPC129" s="70">
        <v>0</v>
      </c>
      <c r="HPD129" s="70">
        <v>0</v>
      </c>
      <c r="HPE129" s="70">
        <v>0</v>
      </c>
      <c r="HPF129" s="70">
        <v>0</v>
      </c>
      <c r="HPG129" s="70">
        <v>0</v>
      </c>
      <c r="HPH129" s="70">
        <v>0</v>
      </c>
      <c r="HPI129" s="70">
        <v>0</v>
      </c>
      <c r="HPJ129" s="70">
        <v>0</v>
      </c>
      <c r="HPK129" s="70">
        <v>0</v>
      </c>
      <c r="HPL129" s="70">
        <v>0</v>
      </c>
      <c r="HPM129" s="70">
        <v>0</v>
      </c>
      <c r="HPN129" s="70">
        <v>0</v>
      </c>
      <c r="HPO129" s="70">
        <v>0</v>
      </c>
      <c r="HPP129" s="70">
        <v>0</v>
      </c>
      <c r="HPQ129" s="70">
        <v>0</v>
      </c>
      <c r="HPR129" s="70">
        <v>0</v>
      </c>
      <c r="HPS129" s="70">
        <v>0</v>
      </c>
      <c r="HPT129" s="70">
        <v>0</v>
      </c>
      <c r="HPU129" s="70">
        <v>0</v>
      </c>
      <c r="HPV129" s="70">
        <v>0</v>
      </c>
      <c r="HPW129" s="70">
        <v>0</v>
      </c>
      <c r="HPX129" s="70">
        <v>0</v>
      </c>
      <c r="HPY129" s="70">
        <v>0</v>
      </c>
      <c r="HPZ129" s="70">
        <v>0</v>
      </c>
      <c r="HQA129" s="70">
        <v>0</v>
      </c>
      <c r="HQB129" s="70">
        <v>0</v>
      </c>
      <c r="HQC129" s="70">
        <v>0</v>
      </c>
      <c r="HQD129" s="70">
        <v>0</v>
      </c>
      <c r="HQE129" s="70">
        <v>0</v>
      </c>
      <c r="HQF129" s="70">
        <v>0</v>
      </c>
      <c r="HQG129" s="70">
        <v>0</v>
      </c>
      <c r="HQH129" s="70">
        <v>0</v>
      </c>
      <c r="HQI129" s="70">
        <v>0</v>
      </c>
      <c r="HQJ129" s="70">
        <v>0</v>
      </c>
      <c r="HQK129" s="70">
        <v>0</v>
      </c>
      <c r="HQL129" s="70">
        <v>0</v>
      </c>
      <c r="HQM129" s="70">
        <v>0</v>
      </c>
      <c r="HQN129" s="70">
        <v>0</v>
      </c>
      <c r="HQO129" s="70">
        <v>0</v>
      </c>
      <c r="HQP129" s="70">
        <v>0</v>
      </c>
      <c r="HQQ129" s="70">
        <v>0</v>
      </c>
      <c r="HQR129" s="70">
        <v>0</v>
      </c>
      <c r="HQS129" s="70">
        <v>0</v>
      </c>
      <c r="HQT129" s="70">
        <v>0</v>
      </c>
      <c r="HQU129" s="70">
        <v>0</v>
      </c>
      <c r="HQV129" s="70">
        <v>0</v>
      </c>
      <c r="HQW129" s="70">
        <v>0</v>
      </c>
      <c r="HQX129" s="70">
        <v>0</v>
      </c>
      <c r="HQY129" s="70">
        <v>0</v>
      </c>
      <c r="HQZ129" s="70">
        <v>0</v>
      </c>
      <c r="HRA129" s="70">
        <v>0</v>
      </c>
      <c r="HRB129" s="70">
        <v>0</v>
      </c>
      <c r="HRC129" s="70">
        <v>0</v>
      </c>
      <c r="HRD129" s="70">
        <v>0</v>
      </c>
      <c r="HRE129" s="70">
        <v>0</v>
      </c>
      <c r="HRF129" s="70">
        <v>0</v>
      </c>
      <c r="HRG129" s="70">
        <v>0</v>
      </c>
      <c r="HRH129" s="70">
        <v>0</v>
      </c>
      <c r="HRI129" s="70">
        <v>0</v>
      </c>
      <c r="HRJ129" s="70">
        <v>0</v>
      </c>
      <c r="HRK129" s="70">
        <v>0</v>
      </c>
      <c r="HRL129" s="70">
        <v>0</v>
      </c>
      <c r="HRM129" s="70">
        <v>0</v>
      </c>
      <c r="HRN129" s="70">
        <v>0</v>
      </c>
      <c r="HRO129" s="70">
        <v>0</v>
      </c>
      <c r="HRP129" s="70">
        <v>0</v>
      </c>
      <c r="HRQ129" s="70">
        <v>0</v>
      </c>
      <c r="HRR129" s="70">
        <v>0</v>
      </c>
      <c r="HRS129" s="70">
        <v>0</v>
      </c>
      <c r="HRT129" s="70">
        <v>0</v>
      </c>
      <c r="HRU129" s="70">
        <v>0</v>
      </c>
      <c r="HRV129" s="70">
        <v>0</v>
      </c>
      <c r="HRW129" s="70">
        <v>0</v>
      </c>
      <c r="HRX129" s="70">
        <v>0</v>
      </c>
      <c r="HRY129" s="70">
        <v>0</v>
      </c>
      <c r="HRZ129" s="70">
        <v>0</v>
      </c>
      <c r="HSA129" s="70">
        <v>0</v>
      </c>
      <c r="HSB129" s="70">
        <v>0</v>
      </c>
      <c r="HSC129" s="70">
        <v>0</v>
      </c>
      <c r="HSD129" s="70">
        <v>0</v>
      </c>
      <c r="HSE129" s="70">
        <v>0</v>
      </c>
      <c r="HSF129" s="70">
        <v>0</v>
      </c>
      <c r="HSG129" s="70">
        <v>0</v>
      </c>
      <c r="HSH129" s="70">
        <v>0</v>
      </c>
      <c r="HSI129" s="70">
        <v>0</v>
      </c>
      <c r="HSJ129" s="70">
        <v>0</v>
      </c>
      <c r="HSK129" s="70">
        <v>0</v>
      </c>
      <c r="HSL129" s="70">
        <v>0</v>
      </c>
      <c r="HSM129" s="70">
        <v>0</v>
      </c>
      <c r="HSN129" s="70">
        <v>0</v>
      </c>
      <c r="HSO129" s="70">
        <v>0</v>
      </c>
      <c r="HSP129" s="70">
        <v>0</v>
      </c>
      <c r="HSQ129" s="70">
        <v>0</v>
      </c>
      <c r="HSR129" s="70">
        <v>0</v>
      </c>
      <c r="HSS129" s="70">
        <v>0</v>
      </c>
      <c r="HST129" s="70">
        <v>0</v>
      </c>
      <c r="HSU129" s="70">
        <v>0</v>
      </c>
      <c r="HSV129" s="70">
        <v>0</v>
      </c>
      <c r="HSW129" s="70">
        <v>0</v>
      </c>
      <c r="HSX129" s="70">
        <v>0</v>
      </c>
      <c r="HSY129" s="70">
        <v>0</v>
      </c>
      <c r="HSZ129" s="70">
        <v>0</v>
      </c>
      <c r="HTA129" s="70">
        <v>0</v>
      </c>
      <c r="HTB129" s="70">
        <v>0</v>
      </c>
      <c r="HTC129" s="70">
        <v>0</v>
      </c>
      <c r="HTD129" s="70">
        <v>0</v>
      </c>
      <c r="HTE129" s="70">
        <v>0</v>
      </c>
      <c r="HTF129" s="70">
        <v>0</v>
      </c>
      <c r="HTG129" s="70">
        <v>0</v>
      </c>
      <c r="HTH129" s="70">
        <v>0</v>
      </c>
      <c r="HTI129" s="70">
        <v>0</v>
      </c>
      <c r="HTJ129" s="70">
        <v>0</v>
      </c>
      <c r="HTK129" s="70">
        <v>0</v>
      </c>
      <c r="HTL129" s="70">
        <v>0</v>
      </c>
      <c r="HTM129" s="70">
        <v>0</v>
      </c>
      <c r="HTN129" s="70">
        <v>0</v>
      </c>
      <c r="HTO129" s="70">
        <v>0</v>
      </c>
      <c r="HTP129" s="70">
        <v>0</v>
      </c>
      <c r="HTQ129" s="70">
        <v>0</v>
      </c>
      <c r="HTR129" s="70">
        <v>0</v>
      </c>
      <c r="HTS129" s="70">
        <v>0</v>
      </c>
      <c r="HTT129" s="70">
        <v>0</v>
      </c>
      <c r="HTU129" s="70">
        <v>0</v>
      </c>
      <c r="HTV129" s="70">
        <v>0</v>
      </c>
      <c r="HTW129" s="70">
        <v>0</v>
      </c>
      <c r="HTX129" s="70">
        <v>0</v>
      </c>
      <c r="HTY129" s="70">
        <v>0</v>
      </c>
      <c r="HTZ129" s="70">
        <v>0</v>
      </c>
      <c r="HUA129" s="70">
        <v>0</v>
      </c>
      <c r="HUB129" s="70">
        <v>0</v>
      </c>
      <c r="HUC129" s="70">
        <v>0</v>
      </c>
      <c r="HUD129" s="70">
        <v>0</v>
      </c>
      <c r="HUE129" s="70">
        <v>0</v>
      </c>
      <c r="HUF129" s="70">
        <v>0</v>
      </c>
      <c r="HUG129" s="70">
        <v>0</v>
      </c>
      <c r="HUH129" s="70">
        <v>0</v>
      </c>
      <c r="HUI129" s="70">
        <v>0</v>
      </c>
      <c r="HUJ129" s="70">
        <v>0</v>
      </c>
      <c r="HUK129" s="70">
        <v>0</v>
      </c>
      <c r="HUL129" s="70">
        <v>0</v>
      </c>
      <c r="HUM129" s="70">
        <v>0</v>
      </c>
      <c r="HUN129" s="70">
        <v>0</v>
      </c>
      <c r="HUO129" s="70">
        <v>0</v>
      </c>
      <c r="HUP129" s="70">
        <v>0</v>
      </c>
      <c r="HUQ129" s="70">
        <v>0</v>
      </c>
      <c r="HUR129" s="70">
        <v>0</v>
      </c>
      <c r="HUS129" s="70">
        <v>0</v>
      </c>
      <c r="HUT129" s="70">
        <v>0</v>
      </c>
      <c r="HUU129" s="70">
        <v>0</v>
      </c>
      <c r="HUV129" s="70">
        <v>0</v>
      </c>
      <c r="HUW129" s="70">
        <v>0</v>
      </c>
      <c r="HUX129" s="70">
        <v>0</v>
      </c>
      <c r="HUY129" s="70">
        <v>0</v>
      </c>
      <c r="HUZ129" s="70">
        <v>0</v>
      </c>
      <c r="HVA129" s="70">
        <v>0</v>
      </c>
      <c r="HVB129" s="70">
        <v>0</v>
      </c>
      <c r="HVC129" s="70">
        <v>0</v>
      </c>
      <c r="HVD129" s="70">
        <v>0</v>
      </c>
      <c r="HVE129" s="70">
        <v>0</v>
      </c>
      <c r="HVF129" s="70">
        <v>0</v>
      </c>
      <c r="HVG129" s="70">
        <v>0</v>
      </c>
      <c r="HVH129" s="70">
        <v>0</v>
      </c>
      <c r="HVI129" s="70">
        <v>0</v>
      </c>
      <c r="HVJ129" s="70">
        <v>0</v>
      </c>
      <c r="HVK129" s="70">
        <v>0</v>
      </c>
      <c r="HVL129" s="70">
        <v>0</v>
      </c>
      <c r="HVM129" s="70">
        <v>0</v>
      </c>
      <c r="HVN129" s="70">
        <v>0</v>
      </c>
      <c r="HVO129" s="70">
        <v>0</v>
      </c>
      <c r="HVP129" s="70">
        <v>0</v>
      </c>
      <c r="HVQ129" s="70">
        <v>0</v>
      </c>
      <c r="HVR129" s="70">
        <v>0</v>
      </c>
      <c r="HVS129" s="70">
        <v>0</v>
      </c>
      <c r="HVT129" s="70">
        <v>0</v>
      </c>
      <c r="HVU129" s="70">
        <v>0</v>
      </c>
      <c r="HVV129" s="70">
        <v>0</v>
      </c>
      <c r="HVW129" s="70">
        <v>0</v>
      </c>
      <c r="HVX129" s="70">
        <v>0</v>
      </c>
      <c r="HVY129" s="70">
        <v>0</v>
      </c>
      <c r="HVZ129" s="70">
        <v>0</v>
      </c>
      <c r="HWA129" s="70">
        <v>0</v>
      </c>
      <c r="HWB129" s="70">
        <v>0</v>
      </c>
      <c r="HWC129" s="70">
        <v>0</v>
      </c>
      <c r="HWD129" s="70">
        <v>0</v>
      </c>
      <c r="HWE129" s="70">
        <v>0</v>
      </c>
      <c r="HWF129" s="70">
        <v>0</v>
      </c>
      <c r="HWG129" s="70">
        <v>0</v>
      </c>
      <c r="HWH129" s="70">
        <v>0</v>
      </c>
      <c r="HWI129" s="70">
        <v>0</v>
      </c>
      <c r="HWJ129" s="70">
        <v>0</v>
      </c>
      <c r="HWK129" s="70">
        <v>0</v>
      </c>
      <c r="HWL129" s="70">
        <v>0</v>
      </c>
      <c r="HWM129" s="70">
        <v>0</v>
      </c>
      <c r="HWN129" s="70">
        <v>0</v>
      </c>
      <c r="HWO129" s="70">
        <v>0</v>
      </c>
      <c r="HWP129" s="70">
        <v>0</v>
      </c>
      <c r="HWQ129" s="70">
        <v>0</v>
      </c>
      <c r="HWR129" s="70">
        <v>0</v>
      </c>
      <c r="HWS129" s="70">
        <v>0</v>
      </c>
      <c r="HWT129" s="70">
        <v>0</v>
      </c>
      <c r="HWU129" s="70">
        <v>0</v>
      </c>
      <c r="HWV129" s="70">
        <v>0</v>
      </c>
      <c r="HWW129" s="70">
        <v>0</v>
      </c>
      <c r="HWX129" s="70">
        <v>0</v>
      </c>
      <c r="HWY129" s="70">
        <v>0</v>
      </c>
      <c r="HWZ129" s="70">
        <v>0</v>
      </c>
      <c r="HXA129" s="70">
        <v>0</v>
      </c>
      <c r="HXB129" s="70">
        <v>0</v>
      </c>
      <c r="HXC129" s="70">
        <v>0</v>
      </c>
      <c r="HXD129" s="70">
        <v>0</v>
      </c>
      <c r="HXE129" s="70">
        <v>0</v>
      </c>
      <c r="HXF129" s="70">
        <v>0</v>
      </c>
      <c r="HXG129" s="70">
        <v>0</v>
      </c>
      <c r="HXH129" s="70">
        <v>0</v>
      </c>
      <c r="HXI129" s="70">
        <v>0</v>
      </c>
      <c r="HXJ129" s="70">
        <v>0</v>
      </c>
      <c r="HXK129" s="70">
        <v>0</v>
      </c>
      <c r="HXL129" s="70">
        <v>0</v>
      </c>
      <c r="HXM129" s="70">
        <v>0</v>
      </c>
      <c r="HXN129" s="70">
        <v>0</v>
      </c>
      <c r="HXO129" s="70">
        <v>0</v>
      </c>
      <c r="HXP129" s="70">
        <v>0</v>
      </c>
      <c r="HXQ129" s="70">
        <v>0</v>
      </c>
      <c r="HXR129" s="70">
        <v>0</v>
      </c>
      <c r="HXS129" s="70">
        <v>0</v>
      </c>
      <c r="HXT129" s="70">
        <v>0</v>
      </c>
      <c r="HXU129" s="70">
        <v>0</v>
      </c>
      <c r="HXV129" s="70">
        <v>0</v>
      </c>
      <c r="HXW129" s="70">
        <v>0</v>
      </c>
      <c r="HXX129" s="70">
        <v>0</v>
      </c>
      <c r="HXY129" s="70">
        <v>0</v>
      </c>
      <c r="HXZ129" s="70">
        <v>0</v>
      </c>
      <c r="HYA129" s="70">
        <v>0</v>
      </c>
      <c r="HYB129" s="70">
        <v>0</v>
      </c>
      <c r="HYC129" s="70">
        <v>0</v>
      </c>
      <c r="HYD129" s="70">
        <v>0</v>
      </c>
      <c r="HYE129" s="70">
        <v>0</v>
      </c>
      <c r="HYF129" s="70">
        <v>0</v>
      </c>
      <c r="HYG129" s="70">
        <v>0</v>
      </c>
      <c r="HYH129" s="70">
        <v>0</v>
      </c>
      <c r="HYI129" s="70">
        <v>0</v>
      </c>
      <c r="HYJ129" s="70">
        <v>0</v>
      </c>
      <c r="HYK129" s="70">
        <v>0</v>
      </c>
      <c r="HYL129" s="70">
        <v>0</v>
      </c>
      <c r="HYM129" s="70">
        <v>0</v>
      </c>
      <c r="HYN129" s="70">
        <v>0</v>
      </c>
      <c r="HYO129" s="70">
        <v>0</v>
      </c>
      <c r="HYP129" s="70">
        <v>0</v>
      </c>
      <c r="HYQ129" s="70">
        <v>0</v>
      </c>
      <c r="HYR129" s="70">
        <v>0</v>
      </c>
      <c r="HYS129" s="70">
        <v>0</v>
      </c>
      <c r="HYT129" s="70">
        <v>0</v>
      </c>
      <c r="HYU129" s="70">
        <v>0</v>
      </c>
      <c r="HYV129" s="70">
        <v>0</v>
      </c>
      <c r="HYW129" s="70">
        <v>0</v>
      </c>
      <c r="HYX129" s="70">
        <v>0</v>
      </c>
      <c r="HYY129" s="70">
        <v>0</v>
      </c>
      <c r="HYZ129" s="70">
        <v>0</v>
      </c>
      <c r="HZA129" s="70">
        <v>0</v>
      </c>
      <c r="HZB129" s="70">
        <v>0</v>
      </c>
      <c r="HZC129" s="70">
        <v>0</v>
      </c>
      <c r="HZD129" s="70">
        <v>0</v>
      </c>
      <c r="HZE129" s="70">
        <v>0</v>
      </c>
      <c r="HZF129" s="70">
        <v>0</v>
      </c>
      <c r="HZG129" s="70">
        <v>0</v>
      </c>
      <c r="HZH129" s="70">
        <v>0</v>
      </c>
      <c r="HZI129" s="70">
        <v>0</v>
      </c>
      <c r="HZJ129" s="70">
        <v>0</v>
      </c>
      <c r="HZK129" s="70">
        <v>0</v>
      </c>
      <c r="HZL129" s="70">
        <v>0</v>
      </c>
      <c r="HZM129" s="70">
        <v>0</v>
      </c>
      <c r="HZN129" s="70">
        <v>0</v>
      </c>
      <c r="HZO129" s="70">
        <v>0</v>
      </c>
      <c r="HZP129" s="70">
        <v>0</v>
      </c>
      <c r="HZQ129" s="70">
        <v>0</v>
      </c>
      <c r="HZR129" s="70">
        <v>0</v>
      </c>
      <c r="HZS129" s="70">
        <v>0</v>
      </c>
      <c r="HZT129" s="70">
        <v>0</v>
      </c>
      <c r="HZU129" s="70">
        <v>0</v>
      </c>
      <c r="HZV129" s="70">
        <v>0</v>
      </c>
      <c r="HZW129" s="70">
        <v>0</v>
      </c>
      <c r="HZX129" s="70">
        <v>0</v>
      </c>
      <c r="HZY129" s="70">
        <v>0</v>
      </c>
      <c r="HZZ129" s="70">
        <v>0</v>
      </c>
      <c r="IAA129" s="70">
        <v>0</v>
      </c>
      <c r="IAB129" s="70">
        <v>0</v>
      </c>
      <c r="IAC129" s="70">
        <v>0</v>
      </c>
      <c r="IAD129" s="70">
        <v>0</v>
      </c>
      <c r="IAE129" s="70">
        <v>0</v>
      </c>
      <c r="IAF129" s="70">
        <v>0</v>
      </c>
      <c r="IAG129" s="70">
        <v>0</v>
      </c>
      <c r="IAH129" s="70">
        <v>0</v>
      </c>
      <c r="IAI129" s="70">
        <v>0</v>
      </c>
      <c r="IAJ129" s="70">
        <v>0</v>
      </c>
      <c r="IAK129" s="70">
        <v>0</v>
      </c>
      <c r="IAL129" s="70">
        <v>0</v>
      </c>
      <c r="IAM129" s="70">
        <v>0</v>
      </c>
      <c r="IAN129" s="70">
        <v>0</v>
      </c>
      <c r="IAO129" s="70">
        <v>0</v>
      </c>
      <c r="IAP129" s="70">
        <v>0</v>
      </c>
      <c r="IAQ129" s="70">
        <v>0</v>
      </c>
      <c r="IAR129" s="70">
        <v>0</v>
      </c>
      <c r="IAS129" s="70">
        <v>0</v>
      </c>
      <c r="IAT129" s="70">
        <v>0</v>
      </c>
      <c r="IAU129" s="70">
        <v>0</v>
      </c>
      <c r="IAV129" s="70">
        <v>0</v>
      </c>
      <c r="IAW129" s="70">
        <v>0</v>
      </c>
      <c r="IAX129" s="70">
        <v>0</v>
      </c>
      <c r="IAY129" s="70">
        <v>0</v>
      </c>
      <c r="IAZ129" s="70">
        <v>0</v>
      </c>
      <c r="IBA129" s="70">
        <v>0</v>
      </c>
      <c r="IBB129" s="70">
        <v>0</v>
      </c>
      <c r="IBC129" s="70">
        <v>0</v>
      </c>
      <c r="IBD129" s="70">
        <v>0</v>
      </c>
      <c r="IBE129" s="70">
        <v>0</v>
      </c>
      <c r="IBF129" s="70">
        <v>0</v>
      </c>
      <c r="IBG129" s="70">
        <v>0</v>
      </c>
      <c r="IBH129" s="70">
        <v>0</v>
      </c>
      <c r="IBI129" s="70">
        <v>0</v>
      </c>
      <c r="IBJ129" s="70">
        <v>0</v>
      </c>
      <c r="IBK129" s="70">
        <v>0</v>
      </c>
      <c r="IBL129" s="70">
        <v>0</v>
      </c>
      <c r="IBM129" s="70">
        <v>0</v>
      </c>
      <c r="IBN129" s="70">
        <v>0</v>
      </c>
      <c r="IBO129" s="70">
        <v>0</v>
      </c>
      <c r="IBP129" s="70">
        <v>0</v>
      </c>
      <c r="IBQ129" s="70">
        <v>0</v>
      </c>
      <c r="IBR129" s="70">
        <v>0</v>
      </c>
      <c r="IBS129" s="70">
        <v>0</v>
      </c>
      <c r="IBT129" s="70">
        <v>0</v>
      </c>
      <c r="IBU129" s="70">
        <v>0</v>
      </c>
      <c r="IBV129" s="70">
        <v>0</v>
      </c>
      <c r="IBW129" s="70">
        <v>0</v>
      </c>
      <c r="IBX129" s="70">
        <v>0</v>
      </c>
      <c r="IBY129" s="70">
        <v>0</v>
      </c>
      <c r="IBZ129" s="70">
        <v>0</v>
      </c>
      <c r="ICA129" s="70">
        <v>0</v>
      </c>
      <c r="ICB129" s="70">
        <v>0</v>
      </c>
      <c r="ICC129" s="70">
        <v>0</v>
      </c>
      <c r="ICD129" s="70">
        <v>0</v>
      </c>
      <c r="ICE129" s="70">
        <v>0</v>
      </c>
      <c r="ICF129" s="70">
        <v>0</v>
      </c>
      <c r="ICG129" s="70">
        <v>0</v>
      </c>
      <c r="ICH129" s="70">
        <v>0</v>
      </c>
      <c r="ICI129" s="70">
        <v>0</v>
      </c>
      <c r="ICJ129" s="70">
        <v>0</v>
      </c>
      <c r="ICK129" s="70">
        <v>0</v>
      </c>
      <c r="ICL129" s="70">
        <v>0</v>
      </c>
      <c r="ICM129" s="70">
        <v>0</v>
      </c>
      <c r="ICN129" s="70">
        <v>0</v>
      </c>
      <c r="ICO129" s="70">
        <v>0</v>
      </c>
      <c r="ICP129" s="70">
        <v>0</v>
      </c>
      <c r="ICQ129" s="70">
        <v>0</v>
      </c>
      <c r="ICR129" s="70">
        <v>0</v>
      </c>
      <c r="ICS129" s="70">
        <v>0</v>
      </c>
      <c r="ICT129" s="70">
        <v>0</v>
      </c>
      <c r="ICU129" s="70">
        <v>0</v>
      </c>
      <c r="ICV129" s="70">
        <v>0</v>
      </c>
      <c r="ICW129" s="70">
        <v>0</v>
      </c>
      <c r="ICX129" s="70">
        <v>0</v>
      </c>
      <c r="ICY129" s="70">
        <v>0</v>
      </c>
      <c r="ICZ129" s="70">
        <v>0</v>
      </c>
      <c r="IDA129" s="70">
        <v>0</v>
      </c>
      <c r="IDB129" s="70">
        <v>0</v>
      </c>
      <c r="IDC129" s="70">
        <v>0</v>
      </c>
      <c r="IDD129" s="70">
        <v>0</v>
      </c>
      <c r="IDE129" s="70">
        <v>0</v>
      </c>
      <c r="IDF129" s="70">
        <v>0</v>
      </c>
      <c r="IDG129" s="70">
        <v>0</v>
      </c>
      <c r="IDH129" s="70">
        <v>0</v>
      </c>
      <c r="IDI129" s="70">
        <v>0</v>
      </c>
      <c r="IDJ129" s="70">
        <v>0</v>
      </c>
      <c r="IDK129" s="70">
        <v>0</v>
      </c>
      <c r="IDL129" s="70">
        <v>0</v>
      </c>
      <c r="IDM129" s="70">
        <v>0</v>
      </c>
      <c r="IDN129" s="70">
        <v>0</v>
      </c>
      <c r="IDO129" s="70">
        <v>0</v>
      </c>
      <c r="IDP129" s="70">
        <v>0</v>
      </c>
      <c r="IDQ129" s="70">
        <v>0</v>
      </c>
      <c r="IDR129" s="70">
        <v>0</v>
      </c>
      <c r="IDS129" s="70">
        <v>0</v>
      </c>
      <c r="IDT129" s="70">
        <v>0</v>
      </c>
      <c r="IDU129" s="70">
        <v>0</v>
      </c>
      <c r="IDV129" s="70">
        <v>0</v>
      </c>
      <c r="IDW129" s="70">
        <v>0</v>
      </c>
      <c r="IDX129" s="70">
        <v>0</v>
      </c>
      <c r="IDY129" s="70">
        <v>0</v>
      </c>
      <c r="IDZ129" s="70">
        <v>0</v>
      </c>
      <c r="IEA129" s="70">
        <v>0</v>
      </c>
      <c r="IEB129" s="70">
        <v>0</v>
      </c>
      <c r="IEC129" s="70">
        <v>0</v>
      </c>
      <c r="IED129" s="70">
        <v>0</v>
      </c>
      <c r="IEE129" s="70">
        <v>0</v>
      </c>
      <c r="IEF129" s="70">
        <v>0</v>
      </c>
      <c r="IEG129" s="70">
        <v>0</v>
      </c>
      <c r="IEH129" s="70">
        <v>0</v>
      </c>
      <c r="IEI129" s="70">
        <v>0</v>
      </c>
      <c r="IEJ129" s="70">
        <v>0</v>
      </c>
      <c r="IEK129" s="70">
        <v>0</v>
      </c>
      <c r="IEL129" s="70">
        <v>0</v>
      </c>
      <c r="IEM129" s="70">
        <v>0</v>
      </c>
      <c r="IEN129" s="70">
        <v>0</v>
      </c>
      <c r="IEO129" s="70">
        <v>0</v>
      </c>
      <c r="IEP129" s="70">
        <v>0</v>
      </c>
      <c r="IEQ129" s="70">
        <v>0</v>
      </c>
      <c r="IER129" s="70">
        <v>0</v>
      </c>
      <c r="IES129" s="70">
        <v>0</v>
      </c>
      <c r="IET129" s="70">
        <v>0</v>
      </c>
      <c r="IEU129" s="70">
        <v>0</v>
      </c>
      <c r="IEV129" s="70">
        <v>0</v>
      </c>
      <c r="IEW129" s="70">
        <v>0</v>
      </c>
      <c r="IEX129" s="70">
        <v>0</v>
      </c>
      <c r="IEY129" s="70">
        <v>0</v>
      </c>
      <c r="IEZ129" s="70">
        <v>0</v>
      </c>
      <c r="IFA129" s="70">
        <v>0</v>
      </c>
      <c r="IFB129" s="70">
        <v>0</v>
      </c>
      <c r="IFC129" s="70">
        <v>0</v>
      </c>
      <c r="IFD129" s="70">
        <v>0</v>
      </c>
      <c r="IFE129" s="70">
        <v>0</v>
      </c>
      <c r="IFF129" s="70">
        <v>0</v>
      </c>
      <c r="IFG129" s="70">
        <v>0</v>
      </c>
      <c r="IFH129" s="70">
        <v>0</v>
      </c>
      <c r="IFI129" s="70">
        <v>0</v>
      </c>
      <c r="IFJ129" s="70">
        <v>0</v>
      </c>
      <c r="IFK129" s="70">
        <v>0</v>
      </c>
      <c r="IFL129" s="70">
        <v>0</v>
      </c>
      <c r="IFM129" s="70">
        <v>0</v>
      </c>
      <c r="IFN129" s="70">
        <v>0</v>
      </c>
      <c r="IFO129" s="70">
        <v>0</v>
      </c>
      <c r="IFP129" s="70">
        <v>0</v>
      </c>
      <c r="IFQ129" s="70">
        <v>0</v>
      </c>
      <c r="IFR129" s="70">
        <v>0</v>
      </c>
      <c r="IFS129" s="70">
        <v>0</v>
      </c>
      <c r="IFT129" s="70">
        <v>0</v>
      </c>
      <c r="IFU129" s="70">
        <v>0</v>
      </c>
      <c r="IFV129" s="70">
        <v>0</v>
      </c>
      <c r="IFW129" s="70">
        <v>0</v>
      </c>
      <c r="IFX129" s="70">
        <v>0</v>
      </c>
      <c r="IFY129" s="70">
        <v>0</v>
      </c>
      <c r="IFZ129" s="70">
        <v>0</v>
      </c>
      <c r="IGA129" s="70">
        <v>0</v>
      </c>
      <c r="IGB129" s="70">
        <v>0</v>
      </c>
      <c r="IGC129" s="70">
        <v>0</v>
      </c>
      <c r="IGD129" s="70">
        <v>0</v>
      </c>
      <c r="IGE129" s="70">
        <v>0</v>
      </c>
      <c r="IGF129" s="70">
        <v>0</v>
      </c>
      <c r="IGG129" s="70">
        <v>0</v>
      </c>
      <c r="IGH129" s="70">
        <v>0</v>
      </c>
      <c r="IGI129" s="70">
        <v>0</v>
      </c>
      <c r="IGJ129" s="70">
        <v>0</v>
      </c>
      <c r="IGK129" s="70">
        <v>0</v>
      </c>
      <c r="IGL129" s="70">
        <v>0</v>
      </c>
      <c r="IGM129" s="70">
        <v>0</v>
      </c>
      <c r="IGN129" s="70">
        <v>0</v>
      </c>
      <c r="IGO129" s="70">
        <v>0</v>
      </c>
      <c r="IGP129" s="70">
        <v>0</v>
      </c>
      <c r="IGQ129" s="70">
        <v>0</v>
      </c>
      <c r="IGR129" s="70">
        <v>0</v>
      </c>
      <c r="IGS129" s="70">
        <v>0</v>
      </c>
      <c r="IGT129" s="70">
        <v>0</v>
      </c>
      <c r="IGU129" s="70">
        <v>0</v>
      </c>
      <c r="IGV129" s="70">
        <v>0</v>
      </c>
      <c r="IGW129" s="70">
        <v>0</v>
      </c>
      <c r="IGX129" s="70">
        <v>0</v>
      </c>
      <c r="IGY129" s="70">
        <v>0</v>
      </c>
      <c r="IGZ129" s="70">
        <v>0</v>
      </c>
      <c r="IHA129" s="70">
        <v>0</v>
      </c>
      <c r="IHB129" s="70">
        <v>0</v>
      </c>
      <c r="IHC129" s="70">
        <v>0</v>
      </c>
      <c r="IHD129" s="70">
        <v>0</v>
      </c>
      <c r="IHE129" s="70">
        <v>0</v>
      </c>
      <c r="IHF129" s="70">
        <v>0</v>
      </c>
      <c r="IHG129" s="70">
        <v>0</v>
      </c>
      <c r="IHH129" s="70">
        <v>0</v>
      </c>
      <c r="IHI129" s="70">
        <v>0</v>
      </c>
      <c r="IHJ129" s="70">
        <v>0</v>
      </c>
      <c r="IHK129" s="70">
        <v>0</v>
      </c>
      <c r="IHL129" s="70">
        <v>0</v>
      </c>
      <c r="IHM129" s="70">
        <v>0</v>
      </c>
      <c r="IHN129" s="70">
        <v>0</v>
      </c>
      <c r="IHO129" s="70">
        <v>0</v>
      </c>
      <c r="IHP129" s="70">
        <v>0</v>
      </c>
      <c r="IHQ129" s="70">
        <v>0</v>
      </c>
      <c r="IHR129" s="70">
        <v>0</v>
      </c>
      <c r="IHS129" s="70">
        <v>0</v>
      </c>
      <c r="IHT129" s="70">
        <v>0</v>
      </c>
      <c r="IHU129" s="70">
        <v>0</v>
      </c>
      <c r="IHV129" s="70">
        <v>0</v>
      </c>
      <c r="IHW129" s="70">
        <v>0</v>
      </c>
      <c r="IHX129" s="70">
        <v>0</v>
      </c>
      <c r="IHY129" s="70">
        <v>0</v>
      </c>
      <c r="IHZ129" s="70">
        <v>0</v>
      </c>
      <c r="IIA129" s="70">
        <v>0</v>
      </c>
      <c r="IIB129" s="70">
        <v>0</v>
      </c>
      <c r="IIC129" s="70">
        <v>0</v>
      </c>
      <c r="IID129" s="70">
        <v>0</v>
      </c>
      <c r="IIE129" s="70">
        <v>0</v>
      </c>
      <c r="IIF129" s="70">
        <v>0</v>
      </c>
      <c r="IIG129" s="70">
        <v>0</v>
      </c>
      <c r="IIH129" s="70">
        <v>0</v>
      </c>
      <c r="III129" s="70">
        <v>0</v>
      </c>
      <c r="IIJ129" s="70">
        <v>0</v>
      </c>
      <c r="IIK129" s="70">
        <v>0</v>
      </c>
      <c r="IIL129" s="70">
        <v>0</v>
      </c>
      <c r="IIM129" s="70">
        <v>0</v>
      </c>
      <c r="IIN129" s="70">
        <v>0</v>
      </c>
      <c r="IIO129" s="70">
        <v>0</v>
      </c>
      <c r="IIP129" s="70">
        <v>0</v>
      </c>
      <c r="IIQ129" s="70">
        <v>0</v>
      </c>
      <c r="IIR129" s="70">
        <v>0</v>
      </c>
      <c r="IIS129" s="70">
        <v>0</v>
      </c>
      <c r="IIT129" s="70">
        <v>0</v>
      </c>
      <c r="IIU129" s="70">
        <v>0</v>
      </c>
      <c r="IIV129" s="70">
        <v>0</v>
      </c>
      <c r="IIW129" s="70">
        <v>0</v>
      </c>
      <c r="IIX129" s="70">
        <v>0</v>
      </c>
      <c r="IIY129" s="70">
        <v>0</v>
      </c>
      <c r="IIZ129" s="70">
        <v>0</v>
      </c>
      <c r="IJA129" s="70">
        <v>0</v>
      </c>
      <c r="IJB129" s="70">
        <v>0</v>
      </c>
      <c r="IJC129" s="70">
        <v>0</v>
      </c>
      <c r="IJD129" s="70">
        <v>0</v>
      </c>
      <c r="IJE129" s="70">
        <v>0</v>
      </c>
      <c r="IJF129" s="70">
        <v>0</v>
      </c>
      <c r="IJG129" s="70">
        <v>0</v>
      </c>
      <c r="IJH129" s="70">
        <v>0</v>
      </c>
      <c r="IJI129" s="70">
        <v>0</v>
      </c>
      <c r="IJJ129" s="70">
        <v>0</v>
      </c>
      <c r="IJK129" s="70">
        <v>0</v>
      </c>
      <c r="IJL129" s="70">
        <v>0</v>
      </c>
      <c r="IJM129" s="70">
        <v>0</v>
      </c>
      <c r="IJN129" s="70">
        <v>0</v>
      </c>
      <c r="IJO129" s="70">
        <v>0</v>
      </c>
      <c r="IJP129" s="70">
        <v>0</v>
      </c>
      <c r="IJQ129" s="70">
        <v>0</v>
      </c>
      <c r="IJR129" s="70">
        <v>0</v>
      </c>
      <c r="IJS129" s="70">
        <v>0</v>
      </c>
      <c r="IJT129" s="70">
        <v>0</v>
      </c>
      <c r="IJU129" s="70">
        <v>0</v>
      </c>
      <c r="IJV129" s="70">
        <v>0</v>
      </c>
      <c r="IJW129" s="70">
        <v>0</v>
      </c>
      <c r="IJX129" s="70">
        <v>0</v>
      </c>
      <c r="IJY129" s="70">
        <v>0</v>
      </c>
      <c r="IJZ129" s="70">
        <v>0</v>
      </c>
      <c r="IKA129" s="70">
        <v>0</v>
      </c>
      <c r="IKB129" s="70">
        <v>0</v>
      </c>
      <c r="IKC129" s="70">
        <v>0</v>
      </c>
      <c r="IKD129" s="70">
        <v>0</v>
      </c>
      <c r="IKE129" s="70">
        <v>0</v>
      </c>
      <c r="IKF129" s="70">
        <v>0</v>
      </c>
      <c r="IKG129" s="70">
        <v>0</v>
      </c>
      <c r="IKH129" s="70">
        <v>0</v>
      </c>
      <c r="IKI129" s="70">
        <v>0</v>
      </c>
      <c r="IKJ129" s="70">
        <v>0</v>
      </c>
      <c r="IKK129" s="70">
        <v>0</v>
      </c>
      <c r="IKL129" s="70">
        <v>0</v>
      </c>
      <c r="IKM129" s="70">
        <v>0</v>
      </c>
      <c r="IKN129" s="70">
        <v>0</v>
      </c>
      <c r="IKO129" s="70">
        <v>0</v>
      </c>
      <c r="IKP129" s="70">
        <v>0</v>
      </c>
      <c r="IKQ129" s="70">
        <v>0</v>
      </c>
      <c r="IKR129" s="70">
        <v>0</v>
      </c>
      <c r="IKS129" s="70">
        <v>0</v>
      </c>
      <c r="IKT129" s="70">
        <v>0</v>
      </c>
      <c r="IKU129" s="70">
        <v>0</v>
      </c>
      <c r="IKV129" s="70">
        <v>0</v>
      </c>
      <c r="IKW129" s="70">
        <v>0</v>
      </c>
      <c r="IKX129" s="70">
        <v>0</v>
      </c>
      <c r="IKY129" s="70">
        <v>0</v>
      </c>
      <c r="IKZ129" s="70">
        <v>0</v>
      </c>
      <c r="ILA129" s="70">
        <v>0</v>
      </c>
      <c r="ILB129" s="70">
        <v>0</v>
      </c>
      <c r="ILC129" s="70">
        <v>0</v>
      </c>
      <c r="ILD129" s="70">
        <v>0</v>
      </c>
      <c r="ILE129" s="70">
        <v>0</v>
      </c>
      <c r="ILF129" s="70">
        <v>0</v>
      </c>
      <c r="ILG129" s="70">
        <v>0</v>
      </c>
      <c r="ILH129" s="70">
        <v>0</v>
      </c>
      <c r="ILI129" s="70">
        <v>0</v>
      </c>
      <c r="ILJ129" s="70">
        <v>0</v>
      </c>
      <c r="ILK129" s="70">
        <v>0</v>
      </c>
      <c r="ILL129" s="70">
        <v>0</v>
      </c>
      <c r="ILM129" s="70">
        <v>0</v>
      </c>
      <c r="ILN129" s="70">
        <v>0</v>
      </c>
      <c r="ILO129" s="70">
        <v>0</v>
      </c>
      <c r="ILP129" s="70">
        <v>0</v>
      </c>
      <c r="ILQ129" s="70">
        <v>0</v>
      </c>
      <c r="ILR129" s="70">
        <v>0</v>
      </c>
      <c r="ILS129" s="70">
        <v>0</v>
      </c>
      <c r="ILT129" s="70">
        <v>0</v>
      </c>
      <c r="ILU129" s="70">
        <v>0</v>
      </c>
      <c r="ILV129" s="70">
        <v>0</v>
      </c>
      <c r="ILW129" s="70">
        <v>0</v>
      </c>
      <c r="ILX129" s="70">
        <v>0</v>
      </c>
      <c r="ILY129" s="70">
        <v>0</v>
      </c>
      <c r="ILZ129" s="70">
        <v>0</v>
      </c>
      <c r="IMA129" s="70">
        <v>0</v>
      </c>
      <c r="IMB129" s="70">
        <v>0</v>
      </c>
      <c r="IMC129" s="70">
        <v>0</v>
      </c>
      <c r="IMD129" s="70">
        <v>0</v>
      </c>
      <c r="IME129" s="70">
        <v>0</v>
      </c>
      <c r="IMF129" s="70">
        <v>0</v>
      </c>
      <c r="IMG129" s="70">
        <v>0</v>
      </c>
      <c r="IMH129" s="70">
        <v>0</v>
      </c>
      <c r="IMI129" s="70">
        <v>0</v>
      </c>
      <c r="IMJ129" s="70">
        <v>0</v>
      </c>
      <c r="IMK129" s="70">
        <v>0</v>
      </c>
      <c r="IML129" s="70">
        <v>0</v>
      </c>
      <c r="IMM129" s="70">
        <v>0</v>
      </c>
      <c r="IMN129" s="70">
        <v>0</v>
      </c>
      <c r="IMO129" s="70">
        <v>0</v>
      </c>
      <c r="IMP129" s="70">
        <v>0</v>
      </c>
      <c r="IMQ129" s="70">
        <v>0</v>
      </c>
      <c r="IMR129" s="70">
        <v>0</v>
      </c>
      <c r="IMS129" s="70">
        <v>0</v>
      </c>
      <c r="IMT129" s="70">
        <v>0</v>
      </c>
      <c r="IMU129" s="70">
        <v>0</v>
      </c>
      <c r="IMV129" s="70">
        <v>0</v>
      </c>
      <c r="IMW129" s="70">
        <v>0</v>
      </c>
      <c r="IMX129" s="70">
        <v>0</v>
      </c>
      <c r="IMY129" s="70">
        <v>0</v>
      </c>
      <c r="IMZ129" s="70">
        <v>0</v>
      </c>
      <c r="INA129" s="70">
        <v>0</v>
      </c>
      <c r="INB129" s="70">
        <v>0</v>
      </c>
      <c r="INC129" s="70">
        <v>0</v>
      </c>
      <c r="IND129" s="70">
        <v>0</v>
      </c>
      <c r="INE129" s="70">
        <v>0</v>
      </c>
      <c r="INF129" s="70">
        <v>0</v>
      </c>
      <c r="ING129" s="70">
        <v>0</v>
      </c>
      <c r="INH129" s="70">
        <v>0</v>
      </c>
      <c r="INI129" s="70">
        <v>0</v>
      </c>
      <c r="INJ129" s="70">
        <v>0</v>
      </c>
      <c r="INK129" s="70">
        <v>0</v>
      </c>
      <c r="INL129" s="70">
        <v>0</v>
      </c>
      <c r="INM129" s="70">
        <v>0</v>
      </c>
      <c r="INN129" s="70">
        <v>0</v>
      </c>
      <c r="INO129" s="70">
        <v>0</v>
      </c>
      <c r="INP129" s="70">
        <v>0</v>
      </c>
      <c r="INQ129" s="70">
        <v>0</v>
      </c>
      <c r="INR129" s="70">
        <v>0</v>
      </c>
      <c r="INS129" s="70">
        <v>0</v>
      </c>
      <c r="INT129" s="70">
        <v>0</v>
      </c>
      <c r="INU129" s="70">
        <v>0</v>
      </c>
      <c r="INV129" s="70">
        <v>0</v>
      </c>
      <c r="INW129" s="70">
        <v>0</v>
      </c>
      <c r="INX129" s="70">
        <v>0</v>
      </c>
      <c r="INY129" s="70">
        <v>0</v>
      </c>
      <c r="INZ129" s="70">
        <v>0</v>
      </c>
      <c r="IOA129" s="70">
        <v>0</v>
      </c>
      <c r="IOB129" s="70">
        <v>0</v>
      </c>
      <c r="IOC129" s="70">
        <v>0</v>
      </c>
      <c r="IOD129" s="70">
        <v>0</v>
      </c>
      <c r="IOE129" s="70">
        <v>0</v>
      </c>
      <c r="IOF129" s="70">
        <v>0</v>
      </c>
      <c r="IOG129" s="70">
        <v>0</v>
      </c>
      <c r="IOH129" s="70">
        <v>0</v>
      </c>
      <c r="IOI129" s="70">
        <v>0</v>
      </c>
      <c r="IOJ129" s="70">
        <v>0</v>
      </c>
      <c r="IOK129" s="70">
        <v>0</v>
      </c>
      <c r="IOL129" s="70">
        <v>0</v>
      </c>
      <c r="IOM129" s="70">
        <v>0</v>
      </c>
      <c r="ION129" s="70">
        <v>0</v>
      </c>
      <c r="IOO129" s="70">
        <v>0</v>
      </c>
      <c r="IOP129" s="70">
        <v>0</v>
      </c>
      <c r="IOQ129" s="70">
        <v>0</v>
      </c>
      <c r="IOR129" s="70">
        <v>0</v>
      </c>
      <c r="IOS129" s="70">
        <v>0</v>
      </c>
      <c r="IOT129" s="70">
        <v>0</v>
      </c>
      <c r="IOU129" s="70">
        <v>0</v>
      </c>
      <c r="IOV129" s="70">
        <v>0</v>
      </c>
      <c r="IOW129" s="70">
        <v>0</v>
      </c>
      <c r="IOX129" s="70">
        <v>0</v>
      </c>
      <c r="IOY129" s="70">
        <v>0</v>
      </c>
      <c r="IOZ129" s="70">
        <v>0</v>
      </c>
      <c r="IPA129" s="70">
        <v>0</v>
      </c>
      <c r="IPB129" s="70">
        <v>0</v>
      </c>
      <c r="IPC129" s="70">
        <v>0</v>
      </c>
      <c r="IPD129" s="70">
        <v>0</v>
      </c>
      <c r="IPE129" s="70">
        <v>0</v>
      </c>
      <c r="IPF129" s="70">
        <v>0</v>
      </c>
      <c r="IPG129" s="70">
        <v>0</v>
      </c>
      <c r="IPH129" s="70">
        <v>0</v>
      </c>
      <c r="IPI129" s="70">
        <v>0</v>
      </c>
      <c r="IPJ129" s="70">
        <v>0</v>
      </c>
      <c r="IPK129" s="70">
        <v>0</v>
      </c>
      <c r="IPL129" s="70">
        <v>0</v>
      </c>
      <c r="IPM129" s="70">
        <v>0</v>
      </c>
      <c r="IPN129" s="70">
        <v>0</v>
      </c>
      <c r="IPO129" s="70">
        <v>0</v>
      </c>
      <c r="IPP129" s="70">
        <v>0</v>
      </c>
      <c r="IPQ129" s="70">
        <v>0</v>
      </c>
      <c r="IPR129" s="70">
        <v>0</v>
      </c>
      <c r="IPS129" s="70">
        <v>0</v>
      </c>
      <c r="IPT129" s="70">
        <v>0</v>
      </c>
      <c r="IPU129" s="70">
        <v>0</v>
      </c>
      <c r="IPV129" s="70">
        <v>0</v>
      </c>
      <c r="IPW129" s="70">
        <v>0</v>
      </c>
      <c r="IPX129" s="70">
        <v>0</v>
      </c>
      <c r="IPY129" s="70">
        <v>0</v>
      </c>
      <c r="IPZ129" s="70">
        <v>0</v>
      </c>
      <c r="IQA129" s="70">
        <v>0</v>
      </c>
      <c r="IQB129" s="70">
        <v>0</v>
      </c>
      <c r="IQC129" s="70">
        <v>0</v>
      </c>
      <c r="IQD129" s="70">
        <v>0</v>
      </c>
      <c r="IQE129" s="70">
        <v>0</v>
      </c>
      <c r="IQF129" s="70">
        <v>0</v>
      </c>
      <c r="IQG129" s="70">
        <v>0</v>
      </c>
      <c r="IQH129" s="70">
        <v>0</v>
      </c>
      <c r="IQI129" s="70">
        <v>0</v>
      </c>
      <c r="IQJ129" s="70">
        <v>0</v>
      </c>
      <c r="IQK129" s="70">
        <v>0</v>
      </c>
      <c r="IQL129" s="70">
        <v>0</v>
      </c>
      <c r="IQM129" s="70">
        <v>0</v>
      </c>
      <c r="IQN129" s="70">
        <v>0</v>
      </c>
      <c r="IQO129" s="70">
        <v>0</v>
      </c>
      <c r="IQP129" s="70">
        <v>0</v>
      </c>
      <c r="IQQ129" s="70">
        <v>0</v>
      </c>
      <c r="IQR129" s="70">
        <v>0</v>
      </c>
      <c r="IQS129" s="70">
        <v>0</v>
      </c>
      <c r="IQT129" s="70">
        <v>0</v>
      </c>
      <c r="IQU129" s="70">
        <v>0</v>
      </c>
      <c r="IQV129" s="70">
        <v>0</v>
      </c>
      <c r="IQW129" s="70">
        <v>0</v>
      </c>
      <c r="IQX129" s="70">
        <v>0</v>
      </c>
      <c r="IQY129" s="70">
        <v>0</v>
      </c>
      <c r="IQZ129" s="70">
        <v>0</v>
      </c>
      <c r="IRA129" s="70">
        <v>0</v>
      </c>
      <c r="IRB129" s="70">
        <v>0</v>
      </c>
      <c r="IRC129" s="70">
        <v>0</v>
      </c>
      <c r="IRD129" s="70">
        <v>0</v>
      </c>
      <c r="IRE129" s="70">
        <v>0</v>
      </c>
      <c r="IRF129" s="70">
        <v>0</v>
      </c>
      <c r="IRG129" s="70">
        <v>0</v>
      </c>
      <c r="IRH129" s="70">
        <v>0</v>
      </c>
      <c r="IRI129" s="70">
        <v>0</v>
      </c>
      <c r="IRJ129" s="70">
        <v>0</v>
      </c>
      <c r="IRK129" s="70">
        <v>0</v>
      </c>
      <c r="IRL129" s="70">
        <v>0</v>
      </c>
      <c r="IRM129" s="70">
        <v>0</v>
      </c>
      <c r="IRN129" s="70">
        <v>0</v>
      </c>
      <c r="IRO129" s="70">
        <v>0</v>
      </c>
      <c r="IRP129" s="70">
        <v>0</v>
      </c>
      <c r="IRQ129" s="70">
        <v>0</v>
      </c>
      <c r="IRR129" s="70">
        <v>0</v>
      </c>
      <c r="IRS129" s="70">
        <v>0</v>
      </c>
      <c r="IRT129" s="70">
        <v>0</v>
      </c>
      <c r="IRU129" s="70">
        <v>0</v>
      </c>
      <c r="IRV129" s="70">
        <v>0</v>
      </c>
      <c r="IRW129" s="70">
        <v>0</v>
      </c>
      <c r="IRX129" s="70">
        <v>0</v>
      </c>
      <c r="IRY129" s="70">
        <v>0</v>
      </c>
      <c r="IRZ129" s="70">
        <v>0</v>
      </c>
      <c r="ISA129" s="70">
        <v>0</v>
      </c>
      <c r="ISB129" s="70">
        <v>0</v>
      </c>
      <c r="ISC129" s="70">
        <v>0</v>
      </c>
      <c r="ISD129" s="70">
        <v>0</v>
      </c>
      <c r="ISE129" s="70">
        <v>0</v>
      </c>
      <c r="ISF129" s="70">
        <v>0</v>
      </c>
      <c r="ISG129" s="70">
        <v>0</v>
      </c>
      <c r="ISH129" s="70">
        <v>0</v>
      </c>
      <c r="ISI129" s="70">
        <v>0</v>
      </c>
      <c r="ISJ129" s="70">
        <v>0</v>
      </c>
      <c r="ISK129" s="70">
        <v>0</v>
      </c>
      <c r="ISL129" s="70">
        <v>0</v>
      </c>
      <c r="ISM129" s="70">
        <v>0</v>
      </c>
      <c r="ISN129" s="70">
        <v>0</v>
      </c>
      <c r="ISO129" s="70">
        <v>0</v>
      </c>
      <c r="ISP129" s="70">
        <v>0</v>
      </c>
      <c r="ISQ129" s="70">
        <v>0</v>
      </c>
      <c r="ISR129" s="70">
        <v>0</v>
      </c>
      <c r="ISS129" s="70">
        <v>0</v>
      </c>
      <c r="IST129" s="70">
        <v>0</v>
      </c>
      <c r="ISU129" s="70">
        <v>0</v>
      </c>
      <c r="ISV129" s="70">
        <v>0</v>
      </c>
      <c r="ISW129" s="70">
        <v>0</v>
      </c>
      <c r="ISX129" s="70">
        <v>0</v>
      </c>
      <c r="ISY129" s="70">
        <v>0</v>
      </c>
      <c r="ISZ129" s="70">
        <v>0</v>
      </c>
      <c r="ITA129" s="70">
        <v>0</v>
      </c>
      <c r="ITB129" s="70">
        <v>0</v>
      </c>
      <c r="ITC129" s="70">
        <v>0</v>
      </c>
      <c r="ITD129" s="70">
        <v>0</v>
      </c>
      <c r="ITE129" s="70">
        <v>0</v>
      </c>
      <c r="ITF129" s="70">
        <v>0</v>
      </c>
      <c r="ITG129" s="70">
        <v>0</v>
      </c>
      <c r="ITH129" s="70">
        <v>0</v>
      </c>
      <c r="ITI129" s="70">
        <v>0</v>
      </c>
      <c r="ITJ129" s="70">
        <v>0</v>
      </c>
      <c r="ITK129" s="70">
        <v>0</v>
      </c>
      <c r="ITL129" s="70">
        <v>0</v>
      </c>
      <c r="ITM129" s="70">
        <v>0</v>
      </c>
      <c r="ITN129" s="70">
        <v>0</v>
      </c>
      <c r="ITO129" s="70">
        <v>0</v>
      </c>
      <c r="ITP129" s="70">
        <v>0</v>
      </c>
      <c r="ITQ129" s="70">
        <v>0</v>
      </c>
      <c r="ITR129" s="70">
        <v>0</v>
      </c>
      <c r="ITS129" s="70">
        <v>0</v>
      </c>
      <c r="ITT129" s="70">
        <v>0</v>
      </c>
      <c r="ITU129" s="70">
        <v>0</v>
      </c>
      <c r="ITV129" s="70">
        <v>0</v>
      </c>
      <c r="ITW129" s="70">
        <v>0</v>
      </c>
      <c r="ITX129" s="70">
        <v>0</v>
      </c>
      <c r="ITY129" s="70">
        <v>0</v>
      </c>
      <c r="ITZ129" s="70">
        <v>0</v>
      </c>
      <c r="IUA129" s="70">
        <v>0</v>
      </c>
      <c r="IUB129" s="70">
        <v>0</v>
      </c>
      <c r="IUC129" s="70">
        <v>0</v>
      </c>
      <c r="IUD129" s="70">
        <v>0</v>
      </c>
      <c r="IUE129" s="70">
        <v>0</v>
      </c>
      <c r="IUF129" s="70">
        <v>0</v>
      </c>
      <c r="IUG129" s="70">
        <v>0</v>
      </c>
      <c r="IUH129" s="70">
        <v>0</v>
      </c>
      <c r="IUI129" s="70">
        <v>0</v>
      </c>
      <c r="IUJ129" s="70">
        <v>0</v>
      </c>
      <c r="IUK129" s="70">
        <v>0</v>
      </c>
      <c r="IUL129" s="70">
        <v>0</v>
      </c>
      <c r="IUM129" s="70">
        <v>0</v>
      </c>
      <c r="IUN129" s="70">
        <v>0</v>
      </c>
      <c r="IUO129" s="70">
        <v>0</v>
      </c>
      <c r="IUP129" s="70">
        <v>0</v>
      </c>
      <c r="IUQ129" s="70">
        <v>0</v>
      </c>
      <c r="IUR129" s="70">
        <v>0</v>
      </c>
      <c r="IUS129" s="70">
        <v>0</v>
      </c>
      <c r="IUT129" s="70">
        <v>0</v>
      </c>
      <c r="IUU129" s="70">
        <v>0</v>
      </c>
      <c r="IUV129" s="70">
        <v>0</v>
      </c>
      <c r="IUW129" s="70">
        <v>0</v>
      </c>
      <c r="IUX129" s="70">
        <v>0</v>
      </c>
      <c r="IUY129" s="70">
        <v>0</v>
      </c>
      <c r="IUZ129" s="70">
        <v>0</v>
      </c>
      <c r="IVA129" s="70">
        <v>0</v>
      </c>
      <c r="IVB129" s="70">
        <v>0</v>
      </c>
      <c r="IVC129" s="70">
        <v>0</v>
      </c>
      <c r="IVD129" s="70">
        <v>0</v>
      </c>
      <c r="IVE129" s="70">
        <v>0</v>
      </c>
      <c r="IVF129" s="70">
        <v>0</v>
      </c>
      <c r="IVG129" s="70">
        <v>0</v>
      </c>
      <c r="IVH129" s="70">
        <v>0</v>
      </c>
      <c r="IVI129" s="70">
        <v>0</v>
      </c>
      <c r="IVJ129" s="70">
        <v>0</v>
      </c>
      <c r="IVK129" s="70">
        <v>0</v>
      </c>
      <c r="IVL129" s="70">
        <v>0</v>
      </c>
      <c r="IVM129" s="70">
        <v>0</v>
      </c>
      <c r="IVN129" s="70">
        <v>0</v>
      </c>
      <c r="IVO129" s="70">
        <v>0</v>
      </c>
      <c r="IVP129" s="70">
        <v>0</v>
      </c>
      <c r="IVQ129" s="70">
        <v>0</v>
      </c>
      <c r="IVR129" s="70">
        <v>0</v>
      </c>
      <c r="IVS129" s="70">
        <v>0</v>
      </c>
      <c r="IVT129" s="70">
        <v>0</v>
      </c>
      <c r="IVU129" s="70">
        <v>0</v>
      </c>
      <c r="IVV129" s="70">
        <v>0</v>
      </c>
      <c r="IVW129" s="70">
        <v>0</v>
      </c>
      <c r="IVX129" s="70">
        <v>0</v>
      </c>
      <c r="IVY129" s="70">
        <v>0</v>
      </c>
      <c r="IVZ129" s="70">
        <v>0</v>
      </c>
      <c r="IWA129" s="70">
        <v>0</v>
      </c>
      <c r="IWB129" s="70">
        <v>0</v>
      </c>
      <c r="IWC129" s="70">
        <v>0</v>
      </c>
      <c r="IWD129" s="70">
        <v>0</v>
      </c>
      <c r="IWE129" s="70">
        <v>0</v>
      </c>
      <c r="IWF129" s="70">
        <v>0</v>
      </c>
      <c r="IWG129" s="70">
        <v>0</v>
      </c>
      <c r="IWH129" s="70">
        <v>0</v>
      </c>
      <c r="IWI129" s="70">
        <v>0</v>
      </c>
      <c r="IWJ129" s="70">
        <v>0</v>
      </c>
      <c r="IWK129" s="70">
        <v>0</v>
      </c>
      <c r="IWL129" s="70">
        <v>0</v>
      </c>
      <c r="IWM129" s="70">
        <v>0</v>
      </c>
      <c r="IWN129" s="70">
        <v>0</v>
      </c>
      <c r="IWO129" s="70">
        <v>0</v>
      </c>
      <c r="IWP129" s="70">
        <v>0</v>
      </c>
      <c r="IWQ129" s="70">
        <v>0</v>
      </c>
      <c r="IWR129" s="70">
        <v>0</v>
      </c>
      <c r="IWS129" s="70">
        <v>0</v>
      </c>
      <c r="IWT129" s="70">
        <v>0</v>
      </c>
      <c r="IWU129" s="70">
        <v>0</v>
      </c>
      <c r="IWV129" s="70">
        <v>0</v>
      </c>
      <c r="IWW129" s="70">
        <v>0</v>
      </c>
      <c r="IWX129" s="70">
        <v>0</v>
      </c>
      <c r="IWY129" s="70">
        <v>0</v>
      </c>
      <c r="IWZ129" s="70">
        <v>0</v>
      </c>
      <c r="IXA129" s="70">
        <v>0</v>
      </c>
      <c r="IXB129" s="70">
        <v>0</v>
      </c>
      <c r="IXC129" s="70">
        <v>0</v>
      </c>
      <c r="IXD129" s="70">
        <v>0</v>
      </c>
      <c r="IXE129" s="70">
        <v>0</v>
      </c>
      <c r="IXF129" s="70">
        <v>0</v>
      </c>
      <c r="IXG129" s="70">
        <v>0</v>
      </c>
      <c r="IXH129" s="70">
        <v>0</v>
      </c>
      <c r="IXI129" s="70">
        <v>0</v>
      </c>
      <c r="IXJ129" s="70">
        <v>0</v>
      </c>
      <c r="IXK129" s="70">
        <v>0</v>
      </c>
      <c r="IXL129" s="70">
        <v>0</v>
      </c>
      <c r="IXM129" s="70">
        <v>0</v>
      </c>
      <c r="IXN129" s="70">
        <v>0</v>
      </c>
      <c r="IXO129" s="70">
        <v>0</v>
      </c>
      <c r="IXP129" s="70">
        <v>0</v>
      </c>
      <c r="IXQ129" s="70">
        <v>0</v>
      </c>
      <c r="IXR129" s="70">
        <v>0</v>
      </c>
      <c r="IXS129" s="70">
        <v>0</v>
      </c>
      <c r="IXT129" s="70">
        <v>0</v>
      </c>
      <c r="IXU129" s="70">
        <v>0</v>
      </c>
      <c r="IXV129" s="70">
        <v>0</v>
      </c>
      <c r="IXW129" s="70">
        <v>0</v>
      </c>
      <c r="IXX129" s="70">
        <v>0</v>
      </c>
      <c r="IXY129" s="70">
        <v>0</v>
      </c>
      <c r="IXZ129" s="70">
        <v>0</v>
      </c>
      <c r="IYA129" s="70">
        <v>0</v>
      </c>
      <c r="IYB129" s="70">
        <v>0</v>
      </c>
      <c r="IYC129" s="70">
        <v>0</v>
      </c>
      <c r="IYD129" s="70">
        <v>0</v>
      </c>
      <c r="IYE129" s="70">
        <v>0</v>
      </c>
      <c r="IYF129" s="70">
        <v>0</v>
      </c>
      <c r="IYG129" s="70">
        <v>0</v>
      </c>
      <c r="IYH129" s="70">
        <v>0</v>
      </c>
      <c r="IYI129" s="70">
        <v>0</v>
      </c>
      <c r="IYJ129" s="70">
        <v>0</v>
      </c>
      <c r="IYK129" s="70">
        <v>0</v>
      </c>
      <c r="IYL129" s="70">
        <v>0</v>
      </c>
      <c r="IYM129" s="70">
        <v>0</v>
      </c>
      <c r="IYN129" s="70">
        <v>0</v>
      </c>
      <c r="IYO129" s="70">
        <v>0</v>
      </c>
      <c r="IYP129" s="70">
        <v>0</v>
      </c>
      <c r="IYQ129" s="70">
        <v>0</v>
      </c>
      <c r="IYR129" s="70">
        <v>0</v>
      </c>
      <c r="IYS129" s="70">
        <v>0</v>
      </c>
      <c r="IYT129" s="70">
        <v>0</v>
      </c>
      <c r="IYU129" s="70">
        <v>0</v>
      </c>
      <c r="IYV129" s="70">
        <v>0</v>
      </c>
      <c r="IYW129" s="70">
        <v>0</v>
      </c>
      <c r="IYX129" s="70">
        <v>0</v>
      </c>
      <c r="IYY129" s="70">
        <v>0</v>
      </c>
      <c r="IYZ129" s="70">
        <v>0</v>
      </c>
      <c r="IZA129" s="70">
        <v>0</v>
      </c>
      <c r="IZB129" s="70">
        <v>0</v>
      </c>
      <c r="IZC129" s="70">
        <v>0</v>
      </c>
      <c r="IZD129" s="70">
        <v>0</v>
      </c>
      <c r="IZE129" s="70">
        <v>0</v>
      </c>
      <c r="IZF129" s="70">
        <v>0</v>
      </c>
      <c r="IZG129" s="70">
        <v>0</v>
      </c>
      <c r="IZH129" s="70">
        <v>0</v>
      </c>
      <c r="IZI129" s="70">
        <v>0</v>
      </c>
      <c r="IZJ129" s="70">
        <v>0</v>
      </c>
      <c r="IZK129" s="70">
        <v>0</v>
      </c>
      <c r="IZL129" s="70">
        <v>0</v>
      </c>
      <c r="IZM129" s="70">
        <v>0</v>
      </c>
      <c r="IZN129" s="70">
        <v>0</v>
      </c>
      <c r="IZO129" s="70">
        <v>0</v>
      </c>
      <c r="IZP129" s="70">
        <v>0</v>
      </c>
      <c r="IZQ129" s="70">
        <v>0</v>
      </c>
      <c r="IZR129" s="70">
        <v>0</v>
      </c>
      <c r="IZS129" s="70">
        <v>0</v>
      </c>
      <c r="IZT129" s="70">
        <v>0</v>
      </c>
      <c r="IZU129" s="70">
        <v>0</v>
      </c>
      <c r="IZV129" s="70">
        <v>0</v>
      </c>
      <c r="IZW129" s="70">
        <v>0</v>
      </c>
      <c r="IZX129" s="70">
        <v>0</v>
      </c>
      <c r="IZY129" s="70">
        <v>0</v>
      </c>
      <c r="IZZ129" s="70">
        <v>0</v>
      </c>
      <c r="JAA129" s="70">
        <v>0</v>
      </c>
      <c r="JAB129" s="70">
        <v>0</v>
      </c>
      <c r="JAC129" s="70">
        <v>0</v>
      </c>
      <c r="JAD129" s="70">
        <v>0</v>
      </c>
      <c r="JAE129" s="70">
        <v>0</v>
      </c>
      <c r="JAF129" s="70">
        <v>0</v>
      </c>
      <c r="JAG129" s="70">
        <v>0</v>
      </c>
      <c r="JAH129" s="70">
        <v>0</v>
      </c>
      <c r="JAI129" s="70">
        <v>0</v>
      </c>
      <c r="JAJ129" s="70">
        <v>0</v>
      </c>
      <c r="JAK129" s="70">
        <v>0</v>
      </c>
      <c r="JAL129" s="70">
        <v>0</v>
      </c>
      <c r="JAM129" s="70">
        <v>0</v>
      </c>
      <c r="JAN129" s="70">
        <v>0</v>
      </c>
      <c r="JAO129" s="70">
        <v>0</v>
      </c>
      <c r="JAP129" s="70">
        <v>0</v>
      </c>
      <c r="JAQ129" s="70">
        <v>0</v>
      </c>
      <c r="JAR129" s="70">
        <v>0</v>
      </c>
      <c r="JAS129" s="70">
        <v>0</v>
      </c>
      <c r="JAT129" s="70">
        <v>0</v>
      </c>
      <c r="JAU129" s="70">
        <v>0</v>
      </c>
      <c r="JAV129" s="70">
        <v>0</v>
      </c>
      <c r="JAW129" s="70">
        <v>0</v>
      </c>
      <c r="JAX129" s="70">
        <v>0</v>
      </c>
      <c r="JAY129" s="70">
        <v>0</v>
      </c>
      <c r="JAZ129" s="70">
        <v>0</v>
      </c>
      <c r="JBA129" s="70">
        <v>0</v>
      </c>
      <c r="JBB129" s="70">
        <v>0</v>
      </c>
      <c r="JBC129" s="70">
        <v>0</v>
      </c>
      <c r="JBD129" s="70">
        <v>0</v>
      </c>
      <c r="JBE129" s="70">
        <v>0</v>
      </c>
      <c r="JBF129" s="70">
        <v>0</v>
      </c>
      <c r="JBG129" s="70">
        <v>0</v>
      </c>
      <c r="JBH129" s="70">
        <v>0</v>
      </c>
      <c r="JBI129" s="70">
        <v>0</v>
      </c>
      <c r="JBJ129" s="70">
        <v>0</v>
      </c>
      <c r="JBK129" s="70">
        <v>0</v>
      </c>
      <c r="JBL129" s="70">
        <v>0</v>
      </c>
      <c r="JBM129" s="70">
        <v>0</v>
      </c>
      <c r="JBN129" s="70">
        <v>0</v>
      </c>
      <c r="JBO129" s="70">
        <v>0</v>
      </c>
      <c r="JBP129" s="70">
        <v>0</v>
      </c>
      <c r="JBQ129" s="70">
        <v>0</v>
      </c>
      <c r="JBR129" s="70">
        <v>0</v>
      </c>
      <c r="JBS129" s="70">
        <v>0</v>
      </c>
      <c r="JBT129" s="70">
        <v>0</v>
      </c>
      <c r="JBU129" s="70">
        <v>0</v>
      </c>
      <c r="JBV129" s="70">
        <v>0</v>
      </c>
      <c r="JBW129" s="70">
        <v>0</v>
      </c>
      <c r="JBX129" s="70">
        <v>0</v>
      </c>
      <c r="JBY129" s="70">
        <v>0</v>
      </c>
      <c r="JBZ129" s="70">
        <v>0</v>
      </c>
      <c r="JCA129" s="70">
        <v>0</v>
      </c>
      <c r="JCB129" s="70">
        <v>0</v>
      </c>
      <c r="JCC129" s="70">
        <v>0</v>
      </c>
      <c r="JCD129" s="70">
        <v>0</v>
      </c>
      <c r="JCE129" s="70">
        <v>0</v>
      </c>
      <c r="JCF129" s="70">
        <v>0</v>
      </c>
      <c r="JCG129" s="70">
        <v>0</v>
      </c>
      <c r="JCH129" s="70">
        <v>0</v>
      </c>
      <c r="JCI129" s="70">
        <v>0</v>
      </c>
      <c r="JCJ129" s="70">
        <v>0</v>
      </c>
      <c r="JCK129" s="70">
        <v>0</v>
      </c>
      <c r="JCL129" s="70">
        <v>0</v>
      </c>
      <c r="JCM129" s="70">
        <v>0</v>
      </c>
      <c r="JCN129" s="70">
        <v>0</v>
      </c>
      <c r="JCO129" s="70">
        <v>0</v>
      </c>
      <c r="JCP129" s="70">
        <v>0</v>
      </c>
      <c r="JCQ129" s="70">
        <v>0</v>
      </c>
      <c r="JCR129" s="70">
        <v>0</v>
      </c>
      <c r="JCS129" s="70">
        <v>0</v>
      </c>
      <c r="JCT129" s="70">
        <v>0</v>
      </c>
      <c r="JCU129" s="70">
        <v>0</v>
      </c>
      <c r="JCV129" s="70">
        <v>0</v>
      </c>
      <c r="JCW129" s="70">
        <v>0</v>
      </c>
      <c r="JCX129" s="70">
        <v>0</v>
      </c>
      <c r="JCY129" s="70">
        <v>0</v>
      </c>
      <c r="JCZ129" s="70">
        <v>0</v>
      </c>
      <c r="JDA129" s="70">
        <v>0</v>
      </c>
      <c r="JDB129" s="70">
        <v>0</v>
      </c>
      <c r="JDC129" s="70">
        <v>0</v>
      </c>
      <c r="JDD129" s="70">
        <v>0</v>
      </c>
      <c r="JDE129" s="70">
        <v>0</v>
      </c>
      <c r="JDF129" s="70">
        <v>0</v>
      </c>
      <c r="JDG129" s="70">
        <v>0</v>
      </c>
      <c r="JDH129" s="70">
        <v>0</v>
      </c>
      <c r="JDI129" s="70">
        <v>0</v>
      </c>
      <c r="JDJ129" s="70">
        <v>0</v>
      </c>
      <c r="JDK129" s="70">
        <v>0</v>
      </c>
      <c r="JDL129" s="70">
        <v>0</v>
      </c>
      <c r="JDM129" s="70">
        <v>0</v>
      </c>
      <c r="JDN129" s="70">
        <v>0</v>
      </c>
      <c r="JDO129" s="70">
        <v>0</v>
      </c>
      <c r="JDP129" s="70">
        <v>0</v>
      </c>
      <c r="JDQ129" s="70">
        <v>0</v>
      </c>
      <c r="JDR129" s="70">
        <v>0</v>
      </c>
      <c r="JDS129" s="70">
        <v>0</v>
      </c>
      <c r="JDT129" s="70">
        <v>0</v>
      </c>
      <c r="JDU129" s="70">
        <v>0</v>
      </c>
      <c r="JDV129" s="70">
        <v>0</v>
      </c>
      <c r="JDW129" s="70">
        <v>0</v>
      </c>
      <c r="JDX129" s="70">
        <v>0</v>
      </c>
      <c r="JDY129" s="70">
        <v>0</v>
      </c>
      <c r="JDZ129" s="70">
        <v>0</v>
      </c>
      <c r="JEA129" s="70">
        <v>0</v>
      </c>
      <c r="JEB129" s="70">
        <v>0</v>
      </c>
      <c r="JEC129" s="70">
        <v>0</v>
      </c>
      <c r="JED129" s="70">
        <v>0</v>
      </c>
      <c r="JEE129" s="70">
        <v>0</v>
      </c>
      <c r="JEF129" s="70">
        <v>0</v>
      </c>
      <c r="JEG129" s="70">
        <v>0</v>
      </c>
      <c r="JEH129" s="70">
        <v>0</v>
      </c>
      <c r="JEI129" s="70">
        <v>0</v>
      </c>
      <c r="JEJ129" s="70">
        <v>0</v>
      </c>
      <c r="JEK129" s="70">
        <v>0</v>
      </c>
      <c r="JEL129" s="70">
        <v>0</v>
      </c>
      <c r="JEM129" s="70">
        <v>0</v>
      </c>
      <c r="JEN129" s="70">
        <v>0</v>
      </c>
      <c r="JEO129" s="70">
        <v>0</v>
      </c>
      <c r="JEP129" s="70">
        <v>0</v>
      </c>
      <c r="JEQ129" s="70">
        <v>0</v>
      </c>
      <c r="JER129" s="70">
        <v>0</v>
      </c>
      <c r="JES129" s="70">
        <v>0</v>
      </c>
      <c r="JET129" s="70">
        <v>0</v>
      </c>
      <c r="JEU129" s="70">
        <v>0</v>
      </c>
      <c r="JEV129" s="70">
        <v>0</v>
      </c>
      <c r="JEW129" s="70">
        <v>0</v>
      </c>
      <c r="JEX129" s="70">
        <v>0</v>
      </c>
      <c r="JEY129" s="70">
        <v>0</v>
      </c>
      <c r="JEZ129" s="70">
        <v>0</v>
      </c>
      <c r="JFA129" s="70">
        <v>0</v>
      </c>
      <c r="JFB129" s="70">
        <v>0</v>
      </c>
      <c r="JFC129" s="70">
        <v>0</v>
      </c>
      <c r="JFD129" s="70">
        <v>0</v>
      </c>
      <c r="JFE129" s="70">
        <v>0</v>
      </c>
      <c r="JFF129" s="70">
        <v>0</v>
      </c>
      <c r="JFG129" s="70">
        <v>0</v>
      </c>
      <c r="JFH129" s="70">
        <v>0</v>
      </c>
      <c r="JFI129" s="70">
        <v>0</v>
      </c>
      <c r="JFJ129" s="70">
        <v>0</v>
      </c>
      <c r="JFK129" s="70">
        <v>0</v>
      </c>
      <c r="JFL129" s="70">
        <v>0</v>
      </c>
      <c r="JFM129" s="70">
        <v>0</v>
      </c>
      <c r="JFN129" s="70">
        <v>0</v>
      </c>
      <c r="JFO129" s="70">
        <v>0</v>
      </c>
      <c r="JFP129" s="70">
        <v>0</v>
      </c>
      <c r="JFQ129" s="70">
        <v>0</v>
      </c>
      <c r="JFR129" s="70">
        <v>0</v>
      </c>
      <c r="JFS129" s="70">
        <v>0</v>
      </c>
      <c r="JFT129" s="70">
        <v>0</v>
      </c>
      <c r="JFU129" s="70">
        <v>0</v>
      </c>
      <c r="JFV129" s="70">
        <v>0</v>
      </c>
      <c r="JFW129" s="70">
        <v>0</v>
      </c>
      <c r="JFX129" s="70">
        <v>0</v>
      </c>
      <c r="JFY129" s="70">
        <v>0</v>
      </c>
      <c r="JFZ129" s="70">
        <v>0</v>
      </c>
      <c r="JGA129" s="70">
        <v>0</v>
      </c>
      <c r="JGB129" s="70">
        <v>0</v>
      </c>
      <c r="JGC129" s="70">
        <v>0</v>
      </c>
      <c r="JGD129" s="70">
        <v>0</v>
      </c>
      <c r="JGE129" s="70">
        <v>0</v>
      </c>
      <c r="JGF129" s="70">
        <v>0</v>
      </c>
      <c r="JGG129" s="70">
        <v>0</v>
      </c>
      <c r="JGH129" s="70">
        <v>0</v>
      </c>
      <c r="JGI129" s="70">
        <v>0</v>
      </c>
      <c r="JGJ129" s="70">
        <v>0</v>
      </c>
      <c r="JGK129" s="70">
        <v>0</v>
      </c>
      <c r="JGL129" s="70">
        <v>0</v>
      </c>
      <c r="JGM129" s="70">
        <v>0</v>
      </c>
      <c r="JGN129" s="70">
        <v>0</v>
      </c>
      <c r="JGO129" s="70">
        <v>0</v>
      </c>
      <c r="JGP129" s="70">
        <v>0</v>
      </c>
      <c r="JGQ129" s="70">
        <v>0</v>
      </c>
      <c r="JGR129" s="70">
        <v>0</v>
      </c>
      <c r="JGS129" s="70">
        <v>0</v>
      </c>
      <c r="JGT129" s="70">
        <v>0</v>
      </c>
      <c r="JGU129" s="70">
        <v>0</v>
      </c>
      <c r="JGV129" s="70">
        <v>0</v>
      </c>
      <c r="JGW129" s="70">
        <v>0</v>
      </c>
      <c r="JGX129" s="70">
        <v>0</v>
      </c>
      <c r="JGY129" s="70">
        <v>0</v>
      </c>
      <c r="JGZ129" s="70">
        <v>0</v>
      </c>
      <c r="JHA129" s="70">
        <v>0</v>
      </c>
      <c r="JHB129" s="70">
        <v>0</v>
      </c>
      <c r="JHC129" s="70">
        <v>0</v>
      </c>
      <c r="JHD129" s="70">
        <v>0</v>
      </c>
      <c r="JHE129" s="70">
        <v>0</v>
      </c>
      <c r="JHF129" s="70">
        <v>0</v>
      </c>
      <c r="JHG129" s="70">
        <v>0</v>
      </c>
      <c r="JHH129" s="70">
        <v>0</v>
      </c>
      <c r="JHI129" s="70">
        <v>0</v>
      </c>
      <c r="JHJ129" s="70">
        <v>0</v>
      </c>
      <c r="JHK129" s="70">
        <v>0</v>
      </c>
      <c r="JHL129" s="70">
        <v>0</v>
      </c>
      <c r="JHM129" s="70">
        <v>0</v>
      </c>
      <c r="JHN129" s="70">
        <v>0</v>
      </c>
      <c r="JHO129" s="70">
        <v>0</v>
      </c>
      <c r="JHP129" s="70">
        <v>0</v>
      </c>
      <c r="JHQ129" s="70">
        <v>0</v>
      </c>
      <c r="JHR129" s="70">
        <v>0</v>
      </c>
      <c r="JHS129" s="70">
        <v>0</v>
      </c>
      <c r="JHT129" s="70">
        <v>0</v>
      </c>
      <c r="JHU129" s="70">
        <v>0</v>
      </c>
      <c r="JHV129" s="70">
        <v>0</v>
      </c>
      <c r="JHW129" s="70">
        <v>0</v>
      </c>
      <c r="JHX129" s="70">
        <v>0</v>
      </c>
      <c r="JHY129" s="70">
        <v>0</v>
      </c>
      <c r="JHZ129" s="70">
        <v>0</v>
      </c>
      <c r="JIA129" s="70">
        <v>0</v>
      </c>
      <c r="JIB129" s="70">
        <v>0</v>
      </c>
      <c r="JIC129" s="70">
        <v>0</v>
      </c>
      <c r="JID129" s="70">
        <v>0</v>
      </c>
      <c r="JIE129" s="70">
        <v>0</v>
      </c>
      <c r="JIF129" s="70">
        <v>0</v>
      </c>
      <c r="JIG129" s="70">
        <v>0</v>
      </c>
      <c r="JIH129" s="70">
        <v>0</v>
      </c>
      <c r="JII129" s="70">
        <v>0</v>
      </c>
      <c r="JIJ129" s="70">
        <v>0</v>
      </c>
      <c r="JIK129" s="70">
        <v>0</v>
      </c>
      <c r="JIL129" s="70">
        <v>0</v>
      </c>
      <c r="JIM129" s="70">
        <v>0</v>
      </c>
      <c r="JIN129" s="70">
        <v>0</v>
      </c>
      <c r="JIO129" s="70">
        <v>0</v>
      </c>
      <c r="JIP129" s="70">
        <v>0</v>
      </c>
      <c r="JIQ129" s="70">
        <v>0</v>
      </c>
      <c r="JIR129" s="70">
        <v>0</v>
      </c>
      <c r="JIS129" s="70">
        <v>0</v>
      </c>
      <c r="JIT129" s="70">
        <v>0</v>
      </c>
      <c r="JIU129" s="70">
        <v>0</v>
      </c>
      <c r="JIV129" s="70">
        <v>0</v>
      </c>
      <c r="JIW129" s="70">
        <v>0</v>
      </c>
      <c r="JIX129" s="70">
        <v>0</v>
      </c>
      <c r="JIY129" s="70">
        <v>0</v>
      </c>
      <c r="JIZ129" s="70">
        <v>0</v>
      </c>
      <c r="JJA129" s="70">
        <v>0</v>
      </c>
      <c r="JJB129" s="70">
        <v>0</v>
      </c>
      <c r="JJC129" s="70">
        <v>0</v>
      </c>
      <c r="JJD129" s="70">
        <v>0</v>
      </c>
      <c r="JJE129" s="70">
        <v>0</v>
      </c>
      <c r="JJF129" s="70">
        <v>0</v>
      </c>
      <c r="JJG129" s="70">
        <v>0</v>
      </c>
      <c r="JJH129" s="70">
        <v>0</v>
      </c>
      <c r="JJI129" s="70">
        <v>0</v>
      </c>
      <c r="JJJ129" s="70">
        <v>0</v>
      </c>
      <c r="JJK129" s="70">
        <v>0</v>
      </c>
      <c r="JJL129" s="70">
        <v>0</v>
      </c>
      <c r="JJM129" s="70">
        <v>0</v>
      </c>
      <c r="JJN129" s="70">
        <v>0</v>
      </c>
      <c r="JJO129" s="70">
        <v>0</v>
      </c>
      <c r="JJP129" s="70">
        <v>0</v>
      </c>
      <c r="JJQ129" s="70">
        <v>0</v>
      </c>
      <c r="JJR129" s="70">
        <v>0</v>
      </c>
      <c r="JJS129" s="70">
        <v>0</v>
      </c>
      <c r="JJT129" s="70">
        <v>0</v>
      </c>
      <c r="JJU129" s="70">
        <v>0</v>
      </c>
      <c r="JJV129" s="70">
        <v>0</v>
      </c>
      <c r="JJW129" s="70">
        <v>0</v>
      </c>
      <c r="JJX129" s="70">
        <v>0</v>
      </c>
      <c r="JJY129" s="70">
        <v>0</v>
      </c>
      <c r="JJZ129" s="70">
        <v>0</v>
      </c>
      <c r="JKA129" s="70">
        <v>0</v>
      </c>
      <c r="JKB129" s="70">
        <v>0</v>
      </c>
      <c r="JKC129" s="70">
        <v>0</v>
      </c>
      <c r="JKD129" s="70">
        <v>0</v>
      </c>
      <c r="JKE129" s="70">
        <v>0</v>
      </c>
      <c r="JKF129" s="70">
        <v>0</v>
      </c>
      <c r="JKG129" s="70">
        <v>0</v>
      </c>
      <c r="JKH129" s="70">
        <v>0</v>
      </c>
      <c r="JKI129" s="70">
        <v>0</v>
      </c>
      <c r="JKJ129" s="70">
        <v>0</v>
      </c>
      <c r="JKK129" s="70">
        <v>0</v>
      </c>
      <c r="JKL129" s="70">
        <v>0</v>
      </c>
      <c r="JKM129" s="70">
        <v>0</v>
      </c>
      <c r="JKN129" s="70">
        <v>0</v>
      </c>
      <c r="JKO129" s="70">
        <v>0</v>
      </c>
      <c r="JKP129" s="70">
        <v>0</v>
      </c>
      <c r="JKQ129" s="70">
        <v>0</v>
      </c>
      <c r="JKR129" s="70">
        <v>0</v>
      </c>
      <c r="JKS129" s="70">
        <v>0</v>
      </c>
      <c r="JKT129" s="70">
        <v>0</v>
      </c>
      <c r="JKU129" s="70">
        <v>0</v>
      </c>
      <c r="JKV129" s="70">
        <v>0</v>
      </c>
      <c r="JKW129" s="70">
        <v>0</v>
      </c>
      <c r="JKX129" s="70">
        <v>0</v>
      </c>
      <c r="JKY129" s="70">
        <v>0</v>
      </c>
      <c r="JKZ129" s="70">
        <v>0</v>
      </c>
      <c r="JLA129" s="70">
        <v>0</v>
      </c>
      <c r="JLB129" s="70">
        <v>0</v>
      </c>
      <c r="JLC129" s="70">
        <v>0</v>
      </c>
      <c r="JLD129" s="70">
        <v>0</v>
      </c>
      <c r="JLE129" s="70">
        <v>0</v>
      </c>
      <c r="JLF129" s="70">
        <v>0</v>
      </c>
      <c r="JLG129" s="70">
        <v>0</v>
      </c>
      <c r="JLH129" s="70">
        <v>0</v>
      </c>
      <c r="JLI129" s="70">
        <v>0</v>
      </c>
      <c r="JLJ129" s="70">
        <v>0</v>
      </c>
      <c r="JLK129" s="70">
        <v>0</v>
      </c>
      <c r="JLL129" s="70">
        <v>0</v>
      </c>
      <c r="JLM129" s="70">
        <v>0</v>
      </c>
      <c r="JLN129" s="70">
        <v>0</v>
      </c>
      <c r="JLO129" s="70">
        <v>0</v>
      </c>
      <c r="JLP129" s="70">
        <v>0</v>
      </c>
      <c r="JLQ129" s="70">
        <v>0</v>
      </c>
      <c r="JLR129" s="70">
        <v>0</v>
      </c>
      <c r="JLS129" s="70">
        <v>0</v>
      </c>
      <c r="JLT129" s="70">
        <v>0</v>
      </c>
      <c r="JLU129" s="70">
        <v>0</v>
      </c>
      <c r="JLV129" s="70">
        <v>0</v>
      </c>
      <c r="JLW129" s="70">
        <v>0</v>
      </c>
      <c r="JLX129" s="70">
        <v>0</v>
      </c>
      <c r="JLY129" s="70">
        <v>0</v>
      </c>
      <c r="JLZ129" s="70">
        <v>0</v>
      </c>
      <c r="JMA129" s="70">
        <v>0</v>
      </c>
      <c r="JMB129" s="70">
        <v>0</v>
      </c>
      <c r="JMC129" s="70">
        <v>0</v>
      </c>
      <c r="JMD129" s="70">
        <v>0</v>
      </c>
      <c r="JME129" s="70">
        <v>0</v>
      </c>
      <c r="JMF129" s="70">
        <v>0</v>
      </c>
      <c r="JMG129" s="70">
        <v>0</v>
      </c>
      <c r="JMH129" s="70">
        <v>0</v>
      </c>
      <c r="JMI129" s="70">
        <v>0</v>
      </c>
      <c r="JMJ129" s="70">
        <v>0</v>
      </c>
      <c r="JMK129" s="70">
        <v>0</v>
      </c>
      <c r="JML129" s="70">
        <v>0</v>
      </c>
      <c r="JMM129" s="70">
        <v>0</v>
      </c>
      <c r="JMN129" s="70">
        <v>0</v>
      </c>
      <c r="JMO129" s="70">
        <v>0</v>
      </c>
      <c r="JMP129" s="70">
        <v>0</v>
      </c>
      <c r="JMQ129" s="70">
        <v>0</v>
      </c>
      <c r="JMR129" s="70">
        <v>0</v>
      </c>
      <c r="JMS129" s="70">
        <v>0</v>
      </c>
      <c r="JMT129" s="70">
        <v>0</v>
      </c>
      <c r="JMU129" s="70">
        <v>0</v>
      </c>
      <c r="JMV129" s="70">
        <v>0</v>
      </c>
      <c r="JMW129" s="70">
        <v>0</v>
      </c>
      <c r="JMX129" s="70">
        <v>0</v>
      </c>
      <c r="JMY129" s="70">
        <v>0</v>
      </c>
      <c r="JMZ129" s="70">
        <v>0</v>
      </c>
      <c r="JNA129" s="70">
        <v>0</v>
      </c>
      <c r="JNB129" s="70">
        <v>0</v>
      </c>
      <c r="JNC129" s="70">
        <v>0</v>
      </c>
      <c r="JND129" s="70">
        <v>0</v>
      </c>
      <c r="JNE129" s="70">
        <v>0</v>
      </c>
      <c r="JNF129" s="70">
        <v>0</v>
      </c>
      <c r="JNG129" s="70">
        <v>0</v>
      </c>
      <c r="JNH129" s="70">
        <v>0</v>
      </c>
      <c r="JNI129" s="70">
        <v>0</v>
      </c>
      <c r="JNJ129" s="70">
        <v>0</v>
      </c>
      <c r="JNK129" s="70">
        <v>0</v>
      </c>
      <c r="JNL129" s="70">
        <v>0</v>
      </c>
      <c r="JNM129" s="70">
        <v>0</v>
      </c>
      <c r="JNN129" s="70">
        <v>0</v>
      </c>
      <c r="JNO129" s="70">
        <v>0</v>
      </c>
      <c r="JNP129" s="70">
        <v>0</v>
      </c>
      <c r="JNQ129" s="70">
        <v>0</v>
      </c>
      <c r="JNR129" s="70">
        <v>0</v>
      </c>
      <c r="JNS129" s="70">
        <v>0</v>
      </c>
      <c r="JNT129" s="70">
        <v>0</v>
      </c>
      <c r="JNU129" s="70">
        <v>0</v>
      </c>
      <c r="JNV129" s="70">
        <v>0</v>
      </c>
      <c r="JNW129" s="70">
        <v>0</v>
      </c>
      <c r="JNX129" s="70">
        <v>0</v>
      </c>
      <c r="JNY129" s="70">
        <v>0</v>
      </c>
      <c r="JNZ129" s="70">
        <v>0</v>
      </c>
      <c r="JOA129" s="70">
        <v>0</v>
      </c>
      <c r="JOB129" s="70">
        <v>0</v>
      </c>
      <c r="JOC129" s="70">
        <v>0</v>
      </c>
      <c r="JOD129" s="70">
        <v>0</v>
      </c>
      <c r="JOE129" s="70">
        <v>0</v>
      </c>
      <c r="JOF129" s="70">
        <v>0</v>
      </c>
      <c r="JOG129" s="70">
        <v>0</v>
      </c>
      <c r="JOH129" s="70">
        <v>0</v>
      </c>
      <c r="JOI129" s="70">
        <v>0</v>
      </c>
      <c r="JOJ129" s="70">
        <v>0</v>
      </c>
      <c r="JOK129" s="70">
        <v>0</v>
      </c>
      <c r="JOL129" s="70">
        <v>0</v>
      </c>
      <c r="JOM129" s="70">
        <v>0</v>
      </c>
      <c r="JON129" s="70">
        <v>0</v>
      </c>
      <c r="JOO129" s="70">
        <v>0</v>
      </c>
      <c r="JOP129" s="70">
        <v>0</v>
      </c>
      <c r="JOQ129" s="70">
        <v>0</v>
      </c>
      <c r="JOR129" s="70">
        <v>0</v>
      </c>
      <c r="JOS129" s="70">
        <v>0</v>
      </c>
      <c r="JOT129" s="70">
        <v>0</v>
      </c>
      <c r="JOU129" s="70">
        <v>0</v>
      </c>
      <c r="JOV129" s="70">
        <v>0</v>
      </c>
      <c r="JOW129" s="70">
        <v>0</v>
      </c>
      <c r="JOX129" s="70">
        <v>0</v>
      </c>
      <c r="JOY129" s="70">
        <v>0</v>
      </c>
      <c r="JOZ129" s="70">
        <v>0</v>
      </c>
      <c r="JPA129" s="70">
        <v>0</v>
      </c>
      <c r="JPB129" s="70">
        <v>0</v>
      </c>
      <c r="JPC129" s="70">
        <v>0</v>
      </c>
      <c r="JPD129" s="70">
        <v>0</v>
      </c>
      <c r="JPE129" s="70">
        <v>0</v>
      </c>
      <c r="JPF129" s="70">
        <v>0</v>
      </c>
      <c r="JPG129" s="70">
        <v>0</v>
      </c>
      <c r="JPH129" s="70">
        <v>0</v>
      </c>
      <c r="JPI129" s="70">
        <v>0</v>
      </c>
      <c r="JPJ129" s="70">
        <v>0</v>
      </c>
      <c r="JPK129" s="70">
        <v>0</v>
      </c>
      <c r="JPL129" s="70">
        <v>0</v>
      </c>
      <c r="JPM129" s="70">
        <v>0</v>
      </c>
      <c r="JPN129" s="70">
        <v>0</v>
      </c>
      <c r="JPO129" s="70">
        <v>0</v>
      </c>
      <c r="JPP129" s="70">
        <v>0</v>
      </c>
      <c r="JPQ129" s="70">
        <v>0</v>
      </c>
      <c r="JPR129" s="70">
        <v>0</v>
      </c>
      <c r="JPS129" s="70">
        <v>0</v>
      </c>
      <c r="JPT129" s="70">
        <v>0</v>
      </c>
      <c r="JPU129" s="70">
        <v>0</v>
      </c>
      <c r="JPV129" s="70">
        <v>0</v>
      </c>
      <c r="JPW129" s="70">
        <v>0</v>
      </c>
      <c r="JPX129" s="70">
        <v>0</v>
      </c>
      <c r="JPY129" s="70">
        <v>0</v>
      </c>
      <c r="JPZ129" s="70">
        <v>0</v>
      </c>
      <c r="JQA129" s="70">
        <v>0</v>
      </c>
      <c r="JQB129" s="70">
        <v>0</v>
      </c>
      <c r="JQC129" s="70">
        <v>0</v>
      </c>
      <c r="JQD129" s="70">
        <v>0</v>
      </c>
      <c r="JQE129" s="70">
        <v>0</v>
      </c>
      <c r="JQF129" s="70">
        <v>0</v>
      </c>
      <c r="JQG129" s="70">
        <v>0</v>
      </c>
      <c r="JQH129" s="70">
        <v>0</v>
      </c>
      <c r="JQI129" s="70">
        <v>0</v>
      </c>
      <c r="JQJ129" s="70">
        <v>0</v>
      </c>
      <c r="JQK129" s="70">
        <v>0</v>
      </c>
      <c r="JQL129" s="70">
        <v>0</v>
      </c>
      <c r="JQM129" s="70">
        <v>0</v>
      </c>
      <c r="JQN129" s="70">
        <v>0</v>
      </c>
      <c r="JQO129" s="70">
        <v>0</v>
      </c>
      <c r="JQP129" s="70">
        <v>0</v>
      </c>
      <c r="JQQ129" s="70">
        <v>0</v>
      </c>
      <c r="JQR129" s="70">
        <v>0</v>
      </c>
      <c r="JQS129" s="70">
        <v>0</v>
      </c>
      <c r="JQT129" s="70">
        <v>0</v>
      </c>
      <c r="JQU129" s="70">
        <v>0</v>
      </c>
      <c r="JQV129" s="70">
        <v>0</v>
      </c>
      <c r="JQW129" s="70">
        <v>0</v>
      </c>
      <c r="JQX129" s="70">
        <v>0</v>
      </c>
      <c r="JQY129" s="70">
        <v>0</v>
      </c>
      <c r="JQZ129" s="70">
        <v>0</v>
      </c>
      <c r="JRA129" s="70">
        <v>0</v>
      </c>
      <c r="JRB129" s="70">
        <v>0</v>
      </c>
      <c r="JRC129" s="70">
        <v>0</v>
      </c>
      <c r="JRD129" s="70">
        <v>0</v>
      </c>
      <c r="JRE129" s="70">
        <v>0</v>
      </c>
      <c r="JRF129" s="70">
        <v>0</v>
      </c>
      <c r="JRG129" s="70">
        <v>0</v>
      </c>
      <c r="JRH129" s="70">
        <v>0</v>
      </c>
      <c r="JRI129" s="70">
        <v>0</v>
      </c>
      <c r="JRJ129" s="70">
        <v>0</v>
      </c>
      <c r="JRK129" s="70">
        <v>0</v>
      </c>
      <c r="JRL129" s="70">
        <v>0</v>
      </c>
      <c r="JRM129" s="70">
        <v>0</v>
      </c>
      <c r="JRN129" s="70">
        <v>0</v>
      </c>
      <c r="JRO129" s="70">
        <v>0</v>
      </c>
      <c r="JRP129" s="70">
        <v>0</v>
      </c>
      <c r="JRQ129" s="70">
        <v>0</v>
      </c>
      <c r="JRR129" s="70">
        <v>0</v>
      </c>
      <c r="JRS129" s="70">
        <v>0</v>
      </c>
      <c r="JRT129" s="70">
        <v>0</v>
      </c>
      <c r="JRU129" s="70">
        <v>0</v>
      </c>
      <c r="JRV129" s="70">
        <v>0</v>
      </c>
      <c r="JRW129" s="70">
        <v>0</v>
      </c>
      <c r="JRX129" s="70">
        <v>0</v>
      </c>
      <c r="JRY129" s="70">
        <v>0</v>
      </c>
      <c r="JRZ129" s="70">
        <v>0</v>
      </c>
      <c r="JSA129" s="70">
        <v>0</v>
      </c>
      <c r="JSB129" s="70">
        <v>0</v>
      </c>
      <c r="JSC129" s="70">
        <v>0</v>
      </c>
      <c r="JSD129" s="70">
        <v>0</v>
      </c>
      <c r="JSE129" s="70">
        <v>0</v>
      </c>
      <c r="JSF129" s="70">
        <v>0</v>
      </c>
      <c r="JSG129" s="70">
        <v>0</v>
      </c>
      <c r="JSH129" s="70">
        <v>0</v>
      </c>
      <c r="JSI129" s="70">
        <v>0</v>
      </c>
      <c r="JSJ129" s="70">
        <v>0</v>
      </c>
      <c r="JSK129" s="70">
        <v>0</v>
      </c>
      <c r="JSL129" s="70">
        <v>0</v>
      </c>
      <c r="JSM129" s="70">
        <v>0</v>
      </c>
      <c r="JSN129" s="70">
        <v>0</v>
      </c>
      <c r="JSO129" s="70">
        <v>0</v>
      </c>
      <c r="JSP129" s="70">
        <v>0</v>
      </c>
      <c r="JSQ129" s="70">
        <v>0</v>
      </c>
      <c r="JSR129" s="70">
        <v>0</v>
      </c>
      <c r="JSS129" s="70">
        <v>0</v>
      </c>
      <c r="JST129" s="70">
        <v>0</v>
      </c>
      <c r="JSU129" s="70">
        <v>0</v>
      </c>
      <c r="JSV129" s="70">
        <v>0</v>
      </c>
      <c r="JSW129" s="70">
        <v>0</v>
      </c>
      <c r="JSX129" s="70">
        <v>0</v>
      </c>
      <c r="JSY129" s="70">
        <v>0</v>
      </c>
      <c r="JSZ129" s="70">
        <v>0</v>
      </c>
      <c r="JTA129" s="70">
        <v>0</v>
      </c>
      <c r="JTB129" s="70">
        <v>0</v>
      </c>
      <c r="JTC129" s="70">
        <v>0</v>
      </c>
      <c r="JTD129" s="70">
        <v>0</v>
      </c>
      <c r="JTE129" s="70">
        <v>0</v>
      </c>
      <c r="JTF129" s="70">
        <v>0</v>
      </c>
      <c r="JTG129" s="70">
        <v>0</v>
      </c>
      <c r="JTH129" s="70">
        <v>0</v>
      </c>
      <c r="JTI129" s="70">
        <v>0</v>
      </c>
      <c r="JTJ129" s="70">
        <v>0</v>
      </c>
      <c r="JTK129" s="70">
        <v>0</v>
      </c>
      <c r="JTL129" s="70">
        <v>0</v>
      </c>
      <c r="JTM129" s="70">
        <v>0</v>
      </c>
      <c r="JTN129" s="70">
        <v>0</v>
      </c>
      <c r="JTO129" s="70">
        <v>0</v>
      </c>
      <c r="JTP129" s="70">
        <v>0</v>
      </c>
      <c r="JTQ129" s="70">
        <v>0</v>
      </c>
      <c r="JTR129" s="70">
        <v>0</v>
      </c>
      <c r="JTS129" s="70">
        <v>0</v>
      </c>
      <c r="JTT129" s="70">
        <v>0</v>
      </c>
      <c r="JTU129" s="70">
        <v>0</v>
      </c>
      <c r="JTV129" s="70">
        <v>0</v>
      </c>
      <c r="JTW129" s="70">
        <v>0</v>
      </c>
      <c r="JTX129" s="70">
        <v>0</v>
      </c>
      <c r="JTY129" s="70">
        <v>0</v>
      </c>
      <c r="JTZ129" s="70">
        <v>0</v>
      </c>
      <c r="JUA129" s="70">
        <v>0</v>
      </c>
      <c r="JUB129" s="70">
        <v>0</v>
      </c>
      <c r="JUC129" s="70">
        <v>0</v>
      </c>
      <c r="JUD129" s="70">
        <v>0</v>
      </c>
      <c r="JUE129" s="70">
        <v>0</v>
      </c>
      <c r="JUF129" s="70">
        <v>0</v>
      </c>
      <c r="JUG129" s="70">
        <v>0</v>
      </c>
      <c r="JUH129" s="70">
        <v>0</v>
      </c>
      <c r="JUI129" s="70">
        <v>0</v>
      </c>
      <c r="JUJ129" s="70">
        <v>0</v>
      </c>
      <c r="JUK129" s="70">
        <v>0</v>
      </c>
      <c r="JUL129" s="70">
        <v>0</v>
      </c>
      <c r="JUM129" s="70">
        <v>0</v>
      </c>
      <c r="JUN129" s="70">
        <v>0</v>
      </c>
      <c r="JUO129" s="70">
        <v>0</v>
      </c>
      <c r="JUP129" s="70">
        <v>0</v>
      </c>
      <c r="JUQ129" s="70">
        <v>0</v>
      </c>
      <c r="JUR129" s="70">
        <v>0</v>
      </c>
      <c r="JUS129" s="70">
        <v>0</v>
      </c>
      <c r="JUT129" s="70">
        <v>0</v>
      </c>
      <c r="JUU129" s="70">
        <v>0</v>
      </c>
      <c r="JUV129" s="70">
        <v>0</v>
      </c>
      <c r="JUW129" s="70">
        <v>0</v>
      </c>
      <c r="JUX129" s="70">
        <v>0</v>
      </c>
      <c r="JUY129" s="70">
        <v>0</v>
      </c>
      <c r="JUZ129" s="70">
        <v>0</v>
      </c>
      <c r="JVA129" s="70">
        <v>0</v>
      </c>
      <c r="JVB129" s="70">
        <v>0</v>
      </c>
      <c r="JVC129" s="70">
        <v>0</v>
      </c>
      <c r="JVD129" s="70">
        <v>0</v>
      </c>
      <c r="JVE129" s="70">
        <v>0</v>
      </c>
      <c r="JVF129" s="70">
        <v>0</v>
      </c>
      <c r="JVG129" s="70">
        <v>0</v>
      </c>
      <c r="JVH129" s="70">
        <v>0</v>
      </c>
      <c r="JVI129" s="70">
        <v>0</v>
      </c>
      <c r="JVJ129" s="70">
        <v>0</v>
      </c>
      <c r="JVK129" s="70">
        <v>0</v>
      </c>
      <c r="JVL129" s="70">
        <v>0</v>
      </c>
      <c r="JVM129" s="70">
        <v>0</v>
      </c>
      <c r="JVN129" s="70">
        <v>0</v>
      </c>
      <c r="JVO129" s="70">
        <v>0</v>
      </c>
      <c r="JVP129" s="70">
        <v>0</v>
      </c>
      <c r="JVQ129" s="70">
        <v>0</v>
      </c>
      <c r="JVR129" s="70">
        <v>0</v>
      </c>
      <c r="JVS129" s="70">
        <v>0</v>
      </c>
      <c r="JVT129" s="70">
        <v>0</v>
      </c>
      <c r="JVU129" s="70">
        <v>0</v>
      </c>
      <c r="JVV129" s="70">
        <v>0</v>
      </c>
      <c r="JVW129" s="70">
        <v>0</v>
      </c>
      <c r="JVX129" s="70">
        <v>0</v>
      </c>
      <c r="JVY129" s="70">
        <v>0</v>
      </c>
      <c r="JVZ129" s="70">
        <v>0</v>
      </c>
      <c r="JWA129" s="70">
        <v>0</v>
      </c>
      <c r="JWB129" s="70">
        <v>0</v>
      </c>
      <c r="JWC129" s="70">
        <v>0</v>
      </c>
      <c r="JWD129" s="70">
        <v>0</v>
      </c>
      <c r="JWE129" s="70">
        <v>0</v>
      </c>
      <c r="JWF129" s="70">
        <v>0</v>
      </c>
      <c r="JWG129" s="70">
        <v>0</v>
      </c>
      <c r="JWH129" s="70">
        <v>0</v>
      </c>
      <c r="JWI129" s="70">
        <v>0</v>
      </c>
      <c r="JWJ129" s="70">
        <v>0</v>
      </c>
      <c r="JWK129" s="70">
        <v>0</v>
      </c>
      <c r="JWL129" s="70">
        <v>0</v>
      </c>
      <c r="JWM129" s="70">
        <v>0</v>
      </c>
      <c r="JWN129" s="70">
        <v>0</v>
      </c>
      <c r="JWO129" s="70">
        <v>0</v>
      </c>
      <c r="JWP129" s="70">
        <v>0</v>
      </c>
      <c r="JWQ129" s="70">
        <v>0</v>
      </c>
      <c r="JWR129" s="70">
        <v>0</v>
      </c>
      <c r="JWS129" s="70">
        <v>0</v>
      </c>
      <c r="JWT129" s="70">
        <v>0</v>
      </c>
      <c r="JWU129" s="70">
        <v>0</v>
      </c>
      <c r="JWV129" s="70">
        <v>0</v>
      </c>
      <c r="JWW129" s="70">
        <v>0</v>
      </c>
      <c r="JWX129" s="70">
        <v>0</v>
      </c>
      <c r="JWY129" s="70">
        <v>0</v>
      </c>
      <c r="JWZ129" s="70">
        <v>0</v>
      </c>
      <c r="JXA129" s="70">
        <v>0</v>
      </c>
      <c r="JXB129" s="70">
        <v>0</v>
      </c>
      <c r="JXC129" s="70">
        <v>0</v>
      </c>
      <c r="JXD129" s="70">
        <v>0</v>
      </c>
      <c r="JXE129" s="70">
        <v>0</v>
      </c>
      <c r="JXF129" s="70">
        <v>0</v>
      </c>
      <c r="JXG129" s="70">
        <v>0</v>
      </c>
      <c r="JXH129" s="70">
        <v>0</v>
      </c>
      <c r="JXI129" s="70">
        <v>0</v>
      </c>
      <c r="JXJ129" s="70">
        <v>0</v>
      </c>
      <c r="JXK129" s="70">
        <v>0</v>
      </c>
      <c r="JXL129" s="70">
        <v>0</v>
      </c>
      <c r="JXM129" s="70">
        <v>0</v>
      </c>
      <c r="JXN129" s="70">
        <v>0</v>
      </c>
      <c r="JXO129" s="70">
        <v>0</v>
      </c>
      <c r="JXP129" s="70">
        <v>0</v>
      </c>
      <c r="JXQ129" s="70">
        <v>0</v>
      </c>
      <c r="JXR129" s="70">
        <v>0</v>
      </c>
      <c r="JXS129" s="70">
        <v>0</v>
      </c>
      <c r="JXT129" s="70">
        <v>0</v>
      </c>
      <c r="JXU129" s="70">
        <v>0</v>
      </c>
      <c r="JXV129" s="70">
        <v>0</v>
      </c>
      <c r="JXW129" s="70">
        <v>0</v>
      </c>
      <c r="JXX129" s="70">
        <v>0</v>
      </c>
      <c r="JXY129" s="70">
        <v>0</v>
      </c>
      <c r="JXZ129" s="70">
        <v>0</v>
      </c>
      <c r="JYA129" s="70">
        <v>0</v>
      </c>
      <c r="JYB129" s="70">
        <v>0</v>
      </c>
      <c r="JYC129" s="70">
        <v>0</v>
      </c>
      <c r="JYD129" s="70">
        <v>0</v>
      </c>
      <c r="JYE129" s="70">
        <v>0</v>
      </c>
      <c r="JYF129" s="70">
        <v>0</v>
      </c>
      <c r="JYG129" s="70">
        <v>0</v>
      </c>
      <c r="JYH129" s="70">
        <v>0</v>
      </c>
      <c r="JYI129" s="70">
        <v>0</v>
      </c>
      <c r="JYJ129" s="70">
        <v>0</v>
      </c>
      <c r="JYK129" s="70">
        <v>0</v>
      </c>
      <c r="JYL129" s="70">
        <v>0</v>
      </c>
      <c r="JYM129" s="70">
        <v>0</v>
      </c>
      <c r="JYN129" s="70">
        <v>0</v>
      </c>
      <c r="JYO129" s="70">
        <v>0</v>
      </c>
      <c r="JYP129" s="70">
        <v>0</v>
      </c>
      <c r="JYQ129" s="70">
        <v>0</v>
      </c>
      <c r="JYR129" s="70">
        <v>0</v>
      </c>
      <c r="JYS129" s="70">
        <v>0</v>
      </c>
      <c r="JYT129" s="70">
        <v>0</v>
      </c>
      <c r="JYU129" s="70">
        <v>0</v>
      </c>
      <c r="JYV129" s="70">
        <v>0</v>
      </c>
      <c r="JYW129" s="70">
        <v>0</v>
      </c>
      <c r="JYX129" s="70">
        <v>0</v>
      </c>
      <c r="JYY129" s="70">
        <v>0</v>
      </c>
      <c r="JYZ129" s="70">
        <v>0</v>
      </c>
      <c r="JZA129" s="70">
        <v>0</v>
      </c>
      <c r="JZB129" s="70">
        <v>0</v>
      </c>
      <c r="JZC129" s="70">
        <v>0</v>
      </c>
      <c r="JZD129" s="70">
        <v>0</v>
      </c>
      <c r="JZE129" s="70">
        <v>0</v>
      </c>
      <c r="JZF129" s="70">
        <v>0</v>
      </c>
      <c r="JZG129" s="70">
        <v>0</v>
      </c>
      <c r="JZH129" s="70">
        <v>0</v>
      </c>
      <c r="JZI129" s="70">
        <v>0</v>
      </c>
      <c r="JZJ129" s="70">
        <v>0</v>
      </c>
      <c r="JZK129" s="70">
        <v>0</v>
      </c>
      <c r="JZL129" s="70">
        <v>0</v>
      </c>
      <c r="JZM129" s="70">
        <v>0</v>
      </c>
      <c r="JZN129" s="70">
        <v>0</v>
      </c>
      <c r="JZO129" s="70">
        <v>0</v>
      </c>
      <c r="JZP129" s="70">
        <v>0</v>
      </c>
      <c r="JZQ129" s="70">
        <v>0</v>
      </c>
      <c r="JZR129" s="70">
        <v>0</v>
      </c>
      <c r="JZS129" s="70">
        <v>0</v>
      </c>
      <c r="JZT129" s="70">
        <v>0</v>
      </c>
      <c r="JZU129" s="70">
        <v>0</v>
      </c>
      <c r="JZV129" s="70">
        <v>0</v>
      </c>
      <c r="JZW129" s="70">
        <v>0</v>
      </c>
      <c r="JZX129" s="70">
        <v>0</v>
      </c>
      <c r="JZY129" s="70">
        <v>0</v>
      </c>
      <c r="JZZ129" s="70">
        <v>0</v>
      </c>
      <c r="KAA129" s="70">
        <v>0</v>
      </c>
      <c r="KAB129" s="70">
        <v>0</v>
      </c>
      <c r="KAC129" s="70">
        <v>0</v>
      </c>
      <c r="KAD129" s="70">
        <v>0</v>
      </c>
      <c r="KAE129" s="70">
        <v>0</v>
      </c>
      <c r="KAF129" s="70">
        <v>0</v>
      </c>
      <c r="KAG129" s="70">
        <v>0</v>
      </c>
      <c r="KAH129" s="70">
        <v>0</v>
      </c>
      <c r="KAI129" s="70">
        <v>0</v>
      </c>
      <c r="KAJ129" s="70">
        <v>0</v>
      </c>
      <c r="KAK129" s="70">
        <v>0</v>
      </c>
      <c r="KAL129" s="70">
        <v>0</v>
      </c>
      <c r="KAM129" s="70">
        <v>0</v>
      </c>
      <c r="KAN129" s="70">
        <v>0</v>
      </c>
      <c r="KAO129" s="70">
        <v>0</v>
      </c>
      <c r="KAP129" s="70">
        <v>0</v>
      </c>
      <c r="KAQ129" s="70">
        <v>0</v>
      </c>
      <c r="KAR129" s="70">
        <v>0</v>
      </c>
      <c r="KAS129" s="70">
        <v>0</v>
      </c>
      <c r="KAT129" s="70">
        <v>0</v>
      </c>
      <c r="KAU129" s="70">
        <v>0</v>
      </c>
      <c r="KAV129" s="70">
        <v>0</v>
      </c>
      <c r="KAW129" s="70">
        <v>0</v>
      </c>
      <c r="KAX129" s="70">
        <v>0</v>
      </c>
      <c r="KAY129" s="70">
        <v>0</v>
      </c>
      <c r="KAZ129" s="70">
        <v>0</v>
      </c>
      <c r="KBA129" s="70">
        <v>0</v>
      </c>
      <c r="KBB129" s="70">
        <v>0</v>
      </c>
      <c r="KBC129" s="70">
        <v>0</v>
      </c>
      <c r="KBD129" s="70">
        <v>0</v>
      </c>
      <c r="KBE129" s="70">
        <v>0</v>
      </c>
      <c r="KBF129" s="70">
        <v>0</v>
      </c>
      <c r="KBG129" s="70">
        <v>0</v>
      </c>
      <c r="KBH129" s="70">
        <v>0</v>
      </c>
      <c r="KBI129" s="70">
        <v>0</v>
      </c>
      <c r="KBJ129" s="70">
        <v>0</v>
      </c>
      <c r="KBK129" s="70">
        <v>0</v>
      </c>
      <c r="KBL129" s="70">
        <v>0</v>
      </c>
      <c r="KBM129" s="70">
        <v>0</v>
      </c>
      <c r="KBN129" s="70">
        <v>0</v>
      </c>
      <c r="KBO129" s="70">
        <v>0</v>
      </c>
      <c r="KBP129" s="70">
        <v>0</v>
      </c>
      <c r="KBQ129" s="70">
        <v>0</v>
      </c>
      <c r="KBR129" s="70">
        <v>0</v>
      </c>
      <c r="KBS129" s="70">
        <v>0</v>
      </c>
      <c r="KBT129" s="70">
        <v>0</v>
      </c>
      <c r="KBU129" s="70">
        <v>0</v>
      </c>
      <c r="KBV129" s="70">
        <v>0</v>
      </c>
      <c r="KBW129" s="70">
        <v>0</v>
      </c>
      <c r="KBX129" s="70">
        <v>0</v>
      </c>
      <c r="KBY129" s="70">
        <v>0</v>
      </c>
      <c r="KBZ129" s="70">
        <v>0</v>
      </c>
      <c r="KCA129" s="70">
        <v>0</v>
      </c>
      <c r="KCB129" s="70">
        <v>0</v>
      </c>
      <c r="KCC129" s="70">
        <v>0</v>
      </c>
      <c r="KCD129" s="70">
        <v>0</v>
      </c>
      <c r="KCE129" s="70">
        <v>0</v>
      </c>
      <c r="KCF129" s="70">
        <v>0</v>
      </c>
      <c r="KCG129" s="70">
        <v>0</v>
      </c>
      <c r="KCH129" s="70">
        <v>0</v>
      </c>
      <c r="KCI129" s="70">
        <v>0</v>
      </c>
      <c r="KCJ129" s="70">
        <v>0</v>
      </c>
      <c r="KCK129" s="70">
        <v>0</v>
      </c>
      <c r="KCL129" s="70">
        <v>0</v>
      </c>
      <c r="KCM129" s="70">
        <v>0</v>
      </c>
      <c r="KCN129" s="70">
        <v>0</v>
      </c>
      <c r="KCO129" s="70">
        <v>0</v>
      </c>
      <c r="KCP129" s="70">
        <v>0</v>
      </c>
      <c r="KCQ129" s="70">
        <v>0</v>
      </c>
      <c r="KCR129" s="70">
        <v>0</v>
      </c>
      <c r="KCS129" s="70">
        <v>0</v>
      </c>
      <c r="KCT129" s="70">
        <v>0</v>
      </c>
      <c r="KCU129" s="70">
        <v>0</v>
      </c>
      <c r="KCV129" s="70">
        <v>0</v>
      </c>
      <c r="KCW129" s="70">
        <v>0</v>
      </c>
      <c r="KCX129" s="70">
        <v>0</v>
      </c>
      <c r="KCY129" s="70">
        <v>0</v>
      </c>
      <c r="KCZ129" s="70">
        <v>0</v>
      </c>
      <c r="KDA129" s="70">
        <v>0</v>
      </c>
      <c r="KDB129" s="70">
        <v>0</v>
      </c>
      <c r="KDC129" s="70">
        <v>0</v>
      </c>
      <c r="KDD129" s="70">
        <v>0</v>
      </c>
      <c r="KDE129" s="70">
        <v>0</v>
      </c>
      <c r="KDF129" s="70">
        <v>0</v>
      </c>
      <c r="KDG129" s="70">
        <v>0</v>
      </c>
      <c r="KDH129" s="70">
        <v>0</v>
      </c>
      <c r="KDI129" s="70">
        <v>0</v>
      </c>
      <c r="KDJ129" s="70">
        <v>0</v>
      </c>
      <c r="KDK129" s="70">
        <v>0</v>
      </c>
      <c r="KDL129" s="70">
        <v>0</v>
      </c>
      <c r="KDM129" s="70">
        <v>0</v>
      </c>
      <c r="KDN129" s="70">
        <v>0</v>
      </c>
      <c r="KDO129" s="70">
        <v>0</v>
      </c>
      <c r="KDP129" s="70">
        <v>0</v>
      </c>
      <c r="KDQ129" s="70">
        <v>0</v>
      </c>
      <c r="KDR129" s="70">
        <v>0</v>
      </c>
      <c r="KDS129" s="70">
        <v>0</v>
      </c>
      <c r="KDT129" s="70">
        <v>0</v>
      </c>
      <c r="KDU129" s="70">
        <v>0</v>
      </c>
      <c r="KDV129" s="70">
        <v>0</v>
      </c>
      <c r="KDW129" s="70">
        <v>0</v>
      </c>
      <c r="KDX129" s="70">
        <v>0</v>
      </c>
      <c r="KDY129" s="70">
        <v>0</v>
      </c>
      <c r="KDZ129" s="70">
        <v>0</v>
      </c>
      <c r="KEA129" s="70">
        <v>0</v>
      </c>
      <c r="KEB129" s="70">
        <v>0</v>
      </c>
      <c r="KEC129" s="70">
        <v>0</v>
      </c>
      <c r="KED129" s="70">
        <v>0</v>
      </c>
      <c r="KEE129" s="70">
        <v>0</v>
      </c>
      <c r="KEF129" s="70">
        <v>0</v>
      </c>
      <c r="KEG129" s="70">
        <v>0</v>
      </c>
      <c r="KEH129" s="70">
        <v>0</v>
      </c>
      <c r="KEI129" s="70">
        <v>0</v>
      </c>
      <c r="KEJ129" s="70">
        <v>0</v>
      </c>
      <c r="KEK129" s="70">
        <v>0</v>
      </c>
      <c r="KEL129" s="70">
        <v>0</v>
      </c>
      <c r="KEM129" s="70">
        <v>0</v>
      </c>
      <c r="KEN129" s="70">
        <v>0</v>
      </c>
      <c r="KEO129" s="70">
        <v>0</v>
      </c>
      <c r="KEP129" s="70">
        <v>0</v>
      </c>
      <c r="KEQ129" s="70">
        <v>0</v>
      </c>
      <c r="KER129" s="70">
        <v>0</v>
      </c>
      <c r="KES129" s="70">
        <v>0</v>
      </c>
      <c r="KET129" s="70">
        <v>0</v>
      </c>
      <c r="KEU129" s="70">
        <v>0</v>
      </c>
      <c r="KEV129" s="70">
        <v>0</v>
      </c>
      <c r="KEW129" s="70">
        <v>0</v>
      </c>
      <c r="KEX129" s="70">
        <v>0</v>
      </c>
      <c r="KEY129" s="70">
        <v>0</v>
      </c>
      <c r="KEZ129" s="70">
        <v>0</v>
      </c>
      <c r="KFA129" s="70">
        <v>0</v>
      </c>
      <c r="KFB129" s="70">
        <v>0</v>
      </c>
      <c r="KFC129" s="70">
        <v>0</v>
      </c>
      <c r="KFD129" s="70">
        <v>0</v>
      </c>
      <c r="KFE129" s="70">
        <v>0</v>
      </c>
      <c r="KFF129" s="70">
        <v>0</v>
      </c>
      <c r="KFG129" s="70">
        <v>0</v>
      </c>
      <c r="KFH129" s="70">
        <v>0</v>
      </c>
      <c r="KFI129" s="70">
        <v>0</v>
      </c>
      <c r="KFJ129" s="70">
        <v>0</v>
      </c>
      <c r="KFK129" s="70">
        <v>0</v>
      </c>
      <c r="KFL129" s="70">
        <v>0</v>
      </c>
      <c r="KFM129" s="70">
        <v>0</v>
      </c>
      <c r="KFN129" s="70">
        <v>0</v>
      </c>
      <c r="KFO129" s="70">
        <v>0</v>
      </c>
      <c r="KFP129" s="70">
        <v>0</v>
      </c>
      <c r="KFQ129" s="70">
        <v>0</v>
      </c>
      <c r="KFR129" s="70">
        <v>0</v>
      </c>
      <c r="KFS129" s="70">
        <v>0</v>
      </c>
      <c r="KFT129" s="70">
        <v>0</v>
      </c>
      <c r="KFU129" s="70">
        <v>0</v>
      </c>
      <c r="KFV129" s="70">
        <v>0</v>
      </c>
      <c r="KFW129" s="70">
        <v>0</v>
      </c>
      <c r="KFX129" s="70">
        <v>0</v>
      </c>
      <c r="KFY129" s="70">
        <v>0</v>
      </c>
      <c r="KFZ129" s="70">
        <v>0</v>
      </c>
      <c r="KGA129" s="70">
        <v>0</v>
      </c>
      <c r="KGB129" s="70">
        <v>0</v>
      </c>
      <c r="KGC129" s="70">
        <v>0</v>
      </c>
      <c r="KGD129" s="70">
        <v>0</v>
      </c>
      <c r="KGE129" s="70">
        <v>0</v>
      </c>
      <c r="KGF129" s="70">
        <v>0</v>
      </c>
      <c r="KGG129" s="70">
        <v>0</v>
      </c>
      <c r="KGH129" s="70">
        <v>0</v>
      </c>
      <c r="KGI129" s="70">
        <v>0</v>
      </c>
      <c r="KGJ129" s="70">
        <v>0</v>
      </c>
      <c r="KGK129" s="70">
        <v>0</v>
      </c>
      <c r="KGL129" s="70">
        <v>0</v>
      </c>
      <c r="KGM129" s="70">
        <v>0</v>
      </c>
      <c r="KGN129" s="70">
        <v>0</v>
      </c>
      <c r="KGO129" s="70">
        <v>0</v>
      </c>
      <c r="KGP129" s="70">
        <v>0</v>
      </c>
      <c r="KGQ129" s="70">
        <v>0</v>
      </c>
      <c r="KGR129" s="70">
        <v>0</v>
      </c>
      <c r="KGS129" s="70">
        <v>0</v>
      </c>
      <c r="KGT129" s="70">
        <v>0</v>
      </c>
      <c r="KGU129" s="70">
        <v>0</v>
      </c>
      <c r="KGV129" s="70">
        <v>0</v>
      </c>
      <c r="KGW129" s="70">
        <v>0</v>
      </c>
      <c r="KGX129" s="70">
        <v>0</v>
      </c>
      <c r="KGY129" s="70">
        <v>0</v>
      </c>
      <c r="KGZ129" s="70">
        <v>0</v>
      </c>
      <c r="KHA129" s="70">
        <v>0</v>
      </c>
      <c r="KHB129" s="70">
        <v>0</v>
      </c>
      <c r="KHC129" s="70">
        <v>0</v>
      </c>
      <c r="KHD129" s="70">
        <v>0</v>
      </c>
      <c r="KHE129" s="70">
        <v>0</v>
      </c>
      <c r="KHF129" s="70">
        <v>0</v>
      </c>
      <c r="KHG129" s="70">
        <v>0</v>
      </c>
      <c r="KHH129" s="70">
        <v>0</v>
      </c>
      <c r="KHI129" s="70">
        <v>0</v>
      </c>
      <c r="KHJ129" s="70">
        <v>0</v>
      </c>
      <c r="KHK129" s="70">
        <v>0</v>
      </c>
      <c r="KHL129" s="70">
        <v>0</v>
      </c>
      <c r="KHM129" s="70">
        <v>0</v>
      </c>
      <c r="KHN129" s="70">
        <v>0</v>
      </c>
      <c r="KHO129" s="70">
        <v>0</v>
      </c>
      <c r="KHP129" s="70">
        <v>0</v>
      </c>
      <c r="KHQ129" s="70">
        <v>0</v>
      </c>
      <c r="KHR129" s="70">
        <v>0</v>
      </c>
      <c r="KHS129" s="70">
        <v>0</v>
      </c>
      <c r="KHT129" s="70">
        <v>0</v>
      </c>
      <c r="KHU129" s="70">
        <v>0</v>
      </c>
      <c r="KHV129" s="70">
        <v>0</v>
      </c>
      <c r="KHW129" s="70">
        <v>0</v>
      </c>
      <c r="KHX129" s="70">
        <v>0</v>
      </c>
      <c r="KHY129" s="70">
        <v>0</v>
      </c>
      <c r="KHZ129" s="70">
        <v>0</v>
      </c>
      <c r="KIA129" s="70">
        <v>0</v>
      </c>
      <c r="KIB129" s="70">
        <v>0</v>
      </c>
      <c r="KIC129" s="70">
        <v>0</v>
      </c>
      <c r="KID129" s="70">
        <v>0</v>
      </c>
      <c r="KIE129" s="70">
        <v>0</v>
      </c>
      <c r="KIF129" s="70">
        <v>0</v>
      </c>
      <c r="KIG129" s="70">
        <v>0</v>
      </c>
      <c r="KIH129" s="70">
        <v>0</v>
      </c>
      <c r="KII129" s="70">
        <v>0</v>
      </c>
      <c r="KIJ129" s="70">
        <v>0</v>
      </c>
      <c r="KIK129" s="70">
        <v>0</v>
      </c>
      <c r="KIL129" s="70">
        <v>0</v>
      </c>
      <c r="KIM129" s="70">
        <v>0</v>
      </c>
      <c r="KIN129" s="70">
        <v>0</v>
      </c>
      <c r="KIO129" s="70">
        <v>0</v>
      </c>
      <c r="KIP129" s="70">
        <v>0</v>
      </c>
      <c r="KIQ129" s="70">
        <v>0</v>
      </c>
      <c r="KIR129" s="70">
        <v>0</v>
      </c>
      <c r="KIS129" s="70">
        <v>0</v>
      </c>
      <c r="KIT129" s="70">
        <v>0</v>
      </c>
      <c r="KIU129" s="70">
        <v>0</v>
      </c>
      <c r="KIV129" s="70">
        <v>0</v>
      </c>
      <c r="KIW129" s="70">
        <v>0</v>
      </c>
      <c r="KIX129" s="70">
        <v>0</v>
      </c>
      <c r="KIY129" s="70">
        <v>0</v>
      </c>
      <c r="KIZ129" s="70">
        <v>0</v>
      </c>
      <c r="KJA129" s="70">
        <v>0</v>
      </c>
      <c r="KJB129" s="70">
        <v>0</v>
      </c>
      <c r="KJC129" s="70">
        <v>0</v>
      </c>
      <c r="KJD129" s="70">
        <v>0</v>
      </c>
      <c r="KJE129" s="70">
        <v>0</v>
      </c>
      <c r="KJF129" s="70">
        <v>0</v>
      </c>
      <c r="KJG129" s="70">
        <v>0</v>
      </c>
      <c r="KJH129" s="70">
        <v>0</v>
      </c>
      <c r="KJI129" s="70">
        <v>0</v>
      </c>
      <c r="KJJ129" s="70">
        <v>0</v>
      </c>
      <c r="KJK129" s="70">
        <v>0</v>
      </c>
      <c r="KJL129" s="70">
        <v>0</v>
      </c>
      <c r="KJM129" s="70">
        <v>0</v>
      </c>
      <c r="KJN129" s="70">
        <v>0</v>
      </c>
      <c r="KJO129" s="70">
        <v>0</v>
      </c>
      <c r="KJP129" s="70">
        <v>0</v>
      </c>
      <c r="KJQ129" s="70">
        <v>0</v>
      </c>
      <c r="KJR129" s="70">
        <v>0</v>
      </c>
      <c r="KJS129" s="70">
        <v>0</v>
      </c>
      <c r="KJT129" s="70">
        <v>0</v>
      </c>
      <c r="KJU129" s="70">
        <v>0</v>
      </c>
      <c r="KJV129" s="70">
        <v>0</v>
      </c>
      <c r="KJW129" s="70">
        <v>0</v>
      </c>
      <c r="KJX129" s="70">
        <v>0</v>
      </c>
      <c r="KJY129" s="70">
        <v>0</v>
      </c>
      <c r="KJZ129" s="70">
        <v>0</v>
      </c>
      <c r="KKA129" s="70">
        <v>0</v>
      </c>
      <c r="KKB129" s="70">
        <v>0</v>
      </c>
      <c r="KKC129" s="70">
        <v>0</v>
      </c>
      <c r="KKD129" s="70">
        <v>0</v>
      </c>
      <c r="KKE129" s="70">
        <v>0</v>
      </c>
      <c r="KKF129" s="70">
        <v>0</v>
      </c>
      <c r="KKG129" s="70">
        <v>0</v>
      </c>
      <c r="KKH129" s="70">
        <v>0</v>
      </c>
      <c r="KKI129" s="70">
        <v>0</v>
      </c>
      <c r="KKJ129" s="70">
        <v>0</v>
      </c>
      <c r="KKK129" s="70">
        <v>0</v>
      </c>
      <c r="KKL129" s="70">
        <v>0</v>
      </c>
      <c r="KKM129" s="70">
        <v>0</v>
      </c>
      <c r="KKN129" s="70">
        <v>0</v>
      </c>
      <c r="KKO129" s="70">
        <v>0</v>
      </c>
      <c r="KKP129" s="70">
        <v>0</v>
      </c>
      <c r="KKQ129" s="70">
        <v>0</v>
      </c>
      <c r="KKR129" s="70">
        <v>0</v>
      </c>
      <c r="KKS129" s="70">
        <v>0</v>
      </c>
      <c r="KKT129" s="70">
        <v>0</v>
      </c>
      <c r="KKU129" s="70">
        <v>0</v>
      </c>
      <c r="KKV129" s="70">
        <v>0</v>
      </c>
      <c r="KKW129" s="70">
        <v>0</v>
      </c>
      <c r="KKX129" s="70">
        <v>0</v>
      </c>
      <c r="KKY129" s="70">
        <v>0</v>
      </c>
      <c r="KKZ129" s="70">
        <v>0</v>
      </c>
      <c r="KLA129" s="70">
        <v>0</v>
      </c>
      <c r="KLB129" s="70">
        <v>0</v>
      </c>
      <c r="KLC129" s="70">
        <v>0</v>
      </c>
      <c r="KLD129" s="70">
        <v>0</v>
      </c>
      <c r="KLE129" s="70">
        <v>0</v>
      </c>
      <c r="KLF129" s="70">
        <v>0</v>
      </c>
      <c r="KLG129" s="70">
        <v>0</v>
      </c>
      <c r="KLH129" s="70">
        <v>0</v>
      </c>
      <c r="KLI129" s="70">
        <v>0</v>
      </c>
      <c r="KLJ129" s="70">
        <v>0</v>
      </c>
      <c r="KLK129" s="70">
        <v>0</v>
      </c>
      <c r="KLL129" s="70">
        <v>0</v>
      </c>
      <c r="KLM129" s="70">
        <v>0</v>
      </c>
      <c r="KLN129" s="70">
        <v>0</v>
      </c>
      <c r="KLO129" s="70">
        <v>0</v>
      </c>
      <c r="KLP129" s="70">
        <v>0</v>
      </c>
      <c r="KLQ129" s="70">
        <v>0</v>
      </c>
      <c r="KLR129" s="70">
        <v>0</v>
      </c>
      <c r="KLS129" s="70">
        <v>0</v>
      </c>
      <c r="KLT129" s="70">
        <v>0</v>
      </c>
      <c r="KLU129" s="70">
        <v>0</v>
      </c>
      <c r="KLV129" s="70">
        <v>0</v>
      </c>
      <c r="KLW129" s="70">
        <v>0</v>
      </c>
      <c r="KLX129" s="70">
        <v>0</v>
      </c>
      <c r="KLY129" s="70">
        <v>0</v>
      </c>
      <c r="KLZ129" s="70">
        <v>0</v>
      </c>
      <c r="KMA129" s="70">
        <v>0</v>
      </c>
      <c r="KMB129" s="70">
        <v>0</v>
      </c>
      <c r="KMC129" s="70">
        <v>0</v>
      </c>
      <c r="KMD129" s="70">
        <v>0</v>
      </c>
      <c r="KME129" s="70">
        <v>0</v>
      </c>
      <c r="KMF129" s="70">
        <v>0</v>
      </c>
      <c r="KMG129" s="70">
        <v>0</v>
      </c>
      <c r="KMH129" s="70">
        <v>0</v>
      </c>
      <c r="KMI129" s="70">
        <v>0</v>
      </c>
      <c r="KMJ129" s="70">
        <v>0</v>
      </c>
      <c r="KMK129" s="70">
        <v>0</v>
      </c>
      <c r="KML129" s="70">
        <v>0</v>
      </c>
      <c r="KMM129" s="70">
        <v>0</v>
      </c>
      <c r="KMN129" s="70">
        <v>0</v>
      </c>
      <c r="KMO129" s="70">
        <v>0</v>
      </c>
      <c r="KMP129" s="70">
        <v>0</v>
      </c>
      <c r="KMQ129" s="70">
        <v>0</v>
      </c>
      <c r="KMR129" s="70">
        <v>0</v>
      </c>
      <c r="KMS129" s="70">
        <v>0</v>
      </c>
      <c r="KMT129" s="70">
        <v>0</v>
      </c>
      <c r="KMU129" s="70">
        <v>0</v>
      </c>
      <c r="KMV129" s="70">
        <v>0</v>
      </c>
      <c r="KMW129" s="70">
        <v>0</v>
      </c>
      <c r="KMX129" s="70">
        <v>0</v>
      </c>
      <c r="KMY129" s="70">
        <v>0</v>
      </c>
      <c r="KMZ129" s="70">
        <v>0</v>
      </c>
      <c r="KNA129" s="70">
        <v>0</v>
      </c>
      <c r="KNB129" s="70">
        <v>0</v>
      </c>
      <c r="KNC129" s="70">
        <v>0</v>
      </c>
      <c r="KND129" s="70">
        <v>0</v>
      </c>
      <c r="KNE129" s="70">
        <v>0</v>
      </c>
      <c r="KNF129" s="70">
        <v>0</v>
      </c>
      <c r="KNG129" s="70">
        <v>0</v>
      </c>
      <c r="KNH129" s="70">
        <v>0</v>
      </c>
      <c r="KNI129" s="70">
        <v>0</v>
      </c>
      <c r="KNJ129" s="70">
        <v>0</v>
      </c>
      <c r="KNK129" s="70">
        <v>0</v>
      </c>
      <c r="KNL129" s="70">
        <v>0</v>
      </c>
      <c r="KNM129" s="70">
        <v>0</v>
      </c>
      <c r="KNN129" s="70">
        <v>0</v>
      </c>
      <c r="KNO129" s="70">
        <v>0</v>
      </c>
      <c r="KNP129" s="70">
        <v>0</v>
      </c>
      <c r="KNQ129" s="70">
        <v>0</v>
      </c>
      <c r="KNR129" s="70">
        <v>0</v>
      </c>
      <c r="KNS129" s="70">
        <v>0</v>
      </c>
      <c r="KNT129" s="70">
        <v>0</v>
      </c>
      <c r="KNU129" s="70">
        <v>0</v>
      </c>
      <c r="KNV129" s="70">
        <v>0</v>
      </c>
      <c r="KNW129" s="70">
        <v>0</v>
      </c>
      <c r="KNX129" s="70">
        <v>0</v>
      </c>
      <c r="KNY129" s="70">
        <v>0</v>
      </c>
      <c r="KNZ129" s="70">
        <v>0</v>
      </c>
      <c r="KOA129" s="70">
        <v>0</v>
      </c>
      <c r="KOB129" s="70">
        <v>0</v>
      </c>
      <c r="KOC129" s="70">
        <v>0</v>
      </c>
      <c r="KOD129" s="70">
        <v>0</v>
      </c>
      <c r="KOE129" s="70">
        <v>0</v>
      </c>
      <c r="KOF129" s="70">
        <v>0</v>
      </c>
      <c r="KOG129" s="70">
        <v>0</v>
      </c>
      <c r="KOH129" s="70">
        <v>0</v>
      </c>
      <c r="KOI129" s="70">
        <v>0</v>
      </c>
      <c r="KOJ129" s="70">
        <v>0</v>
      </c>
      <c r="KOK129" s="70">
        <v>0</v>
      </c>
      <c r="KOL129" s="70">
        <v>0</v>
      </c>
      <c r="KOM129" s="70">
        <v>0</v>
      </c>
      <c r="KON129" s="70">
        <v>0</v>
      </c>
      <c r="KOO129" s="70">
        <v>0</v>
      </c>
      <c r="KOP129" s="70">
        <v>0</v>
      </c>
      <c r="KOQ129" s="70">
        <v>0</v>
      </c>
      <c r="KOR129" s="70">
        <v>0</v>
      </c>
      <c r="KOS129" s="70">
        <v>0</v>
      </c>
      <c r="KOT129" s="70">
        <v>0</v>
      </c>
      <c r="KOU129" s="70">
        <v>0</v>
      </c>
      <c r="KOV129" s="70">
        <v>0</v>
      </c>
      <c r="KOW129" s="70">
        <v>0</v>
      </c>
      <c r="KOX129" s="70">
        <v>0</v>
      </c>
      <c r="KOY129" s="70">
        <v>0</v>
      </c>
      <c r="KOZ129" s="70">
        <v>0</v>
      </c>
      <c r="KPA129" s="70">
        <v>0</v>
      </c>
      <c r="KPB129" s="70">
        <v>0</v>
      </c>
      <c r="KPC129" s="70">
        <v>0</v>
      </c>
      <c r="KPD129" s="70">
        <v>0</v>
      </c>
      <c r="KPE129" s="70">
        <v>0</v>
      </c>
      <c r="KPF129" s="70">
        <v>0</v>
      </c>
      <c r="KPG129" s="70">
        <v>0</v>
      </c>
      <c r="KPH129" s="70">
        <v>0</v>
      </c>
      <c r="KPI129" s="70">
        <v>0</v>
      </c>
      <c r="KPJ129" s="70">
        <v>0</v>
      </c>
      <c r="KPK129" s="70">
        <v>0</v>
      </c>
      <c r="KPL129" s="70">
        <v>0</v>
      </c>
      <c r="KPM129" s="70">
        <v>0</v>
      </c>
      <c r="KPN129" s="70">
        <v>0</v>
      </c>
      <c r="KPO129" s="70">
        <v>0</v>
      </c>
      <c r="KPP129" s="70">
        <v>0</v>
      </c>
      <c r="KPQ129" s="70">
        <v>0</v>
      </c>
      <c r="KPR129" s="70">
        <v>0</v>
      </c>
      <c r="KPS129" s="70">
        <v>0</v>
      </c>
      <c r="KPT129" s="70">
        <v>0</v>
      </c>
      <c r="KPU129" s="70">
        <v>0</v>
      </c>
      <c r="KPV129" s="70">
        <v>0</v>
      </c>
      <c r="KPW129" s="70">
        <v>0</v>
      </c>
      <c r="KPX129" s="70">
        <v>0</v>
      </c>
      <c r="KPY129" s="70">
        <v>0</v>
      </c>
      <c r="KPZ129" s="70">
        <v>0</v>
      </c>
      <c r="KQA129" s="70">
        <v>0</v>
      </c>
      <c r="KQB129" s="70">
        <v>0</v>
      </c>
      <c r="KQC129" s="70">
        <v>0</v>
      </c>
      <c r="KQD129" s="70">
        <v>0</v>
      </c>
      <c r="KQE129" s="70">
        <v>0</v>
      </c>
      <c r="KQF129" s="70">
        <v>0</v>
      </c>
      <c r="KQG129" s="70">
        <v>0</v>
      </c>
      <c r="KQH129" s="70">
        <v>0</v>
      </c>
      <c r="KQI129" s="70">
        <v>0</v>
      </c>
      <c r="KQJ129" s="70">
        <v>0</v>
      </c>
      <c r="KQK129" s="70">
        <v>0</v>
      </c>
      <c r="KQL129" s="70">
        <v>0</v>
      </c>
      <c r="KQM129" s="70">
        <v>0</v>
      </c>
      <c r="KQN129" s="70">
        <v>0</v>
      </c>
      <c r="KQO129" s="70">
        <v>0</v>
      </c>
      <c r="KQP129" s="70">
        <v>0</v>
      </c>
      <c r="KQQ129" s="70">
        <v>0</v>
      </c>
      <c r="KQR129" s="70">
        <v>0</v>
      </c>
      <c r="KQS129" s="70">
        <v>0</v>
      </c>
      <c r="KQT129" s="70">
        <v>0</v>
      </c>
      <c r="KQU129" s="70">
        <v>0</v>
      </c>
      <c r="KQV129" s="70">
        <v>0</v>
      </c>
      <c r="KQW129" s="70">
        <v>0</v>
      </c>
      <c r="KQX129" s="70">
        <v>0</v>
      </c>
      <c r="KQY129" s="70">
        <v>0</v>
      </c>
      <c r="KQZ129" s="70">
        <v>0</v>
      </c>
      <c r="KRA129" s="70">
        <v>0</v>
      </c>
      <c r="KRB129" s="70">
        <v>0</v>
      </c>
      <c r="KRC129" s="70">
        <v>0</v>
      </c>
      <c r="KRD129" s="70">
        <v>0</v>
      </c>
      <c r="KRE129" s="70">
        <v>0</v>
      </c>
      <c r="KRF129" s="70">
        <v>0</v>
      </c>
      <c r="KRG129" s="70">
        <v>0</v>
      </c>
      <c r="KRH129" s="70">
        <v>0</v>
      </c>
      <c r="KRI129" s="70">
        <v>0</v>
      </c>
      <c r="KRJ129" s="70">
        <v>0</v>
      </c>
      <c r="KRK129" s="70">
        <v>0</v>
      </c>
      <c r="KRL129" s="70">
        <v>0</v>
      </c>
      <c r="KRM129" s="70">
        <v>0</v>
      </c>
      <c r="KRN129" s="70">
        <v>0</v>
      </c>
      <c r="KRO129" s="70">
        <v>0</v>
      </c>
      <c r="KRP129" s="70">
        <v>0</v>
      </c>
      <c r="KRQ129" s="70">
        <v>0</v>
      </c>
      <c r="KRR129" s="70">
        <v>0</v>
      </c>
      <c r="KRS129" s="70">
        <v>0</v>
      </c>
      <c r="KRT129" s="70">
        <v>0</v>
      </c>
      <c r="KRU129" s="70">
        <v>0</v>
      </c>
      <c r="KRV129" s="70">
        <v>0</v>
      </c>
      <c r="KRW129" s="70">
        <v>0</v>
      </c>
      <c r="KRX129" s="70">
        <v>0</v>
      </c>
      <c r="KRY129" s="70">
        <v>0</v>
      </c>
      <c r="KRZ129" s="70">
        <v>0</v>
      </c>
      <c r="KSA129" s="70">
        <v>0</v>
      </c>
      <c r="KSB129" s="70">
        <v>0</v>
      </c>
      <c r="KSC129" s="70">
        <v>0</v>
      </c>
      <c r="KSD129" s="70">
        <v>0</v>
      </c>
      <c r="KSE129" s="70">
        <v>0</v>
      </c>
      <c r="KSF129" s="70">
        <v>0</v>
      </c>
      <c r="KSG129" s="70">
        <v>0</v>
      </c>
      <c r="KSH129" s="70">
        <v>0</v>
      </c>
      <c r="KSI129" s="70">
        <v>0</v>
      </c>
      <c r="KSJ129" s="70">
        <v>0</v>
      </c>
      <c r="KSK129" s="70">
        <v>0</v>
      </c>
      <c r="KSL129" s="70">
        <v>0</v>
      </c>
      <c r="KSM129" s="70">
        <v>0</v>
      </c>
      <c r="KSN129" s="70">
        <v>0</v>
      </c>
      <c r="KSO129" s="70">
        <v>0</v>
      </c>
      <c r="KSP129" s="70">
        <v>0</v>
      </c>
      <c r="KSQ129" s="70">
        <v>0</v>
      </c>
      <c r="KSR129" s="70">
        <v>0</v>
      </c>
      <c r="KSS129" s="70">
        <v>0</v>
      </c>
      <c r="KST129" s="70">
        <v>0</v>
      </c>
      <c r="KSU129" s="70">
        <v>0</v>
      </c>
      <c r="KSV129" s="70">
        <v>0</v>
      </c>
      <c r="KSW129" s="70">
        <v>0</v>
      </c>
      <c r="KSX129" s="70">
        <v>0</v>
      </c>
      <c r="KSY129" s="70">
        <v>0</v>
      </c>
      <c r="KSZ129" s="70">
        <v>0</v>
      </c>
      <c r="KTA129" s="70">
        <v>0</v>
      </c>
      <c r="KTB129" s="70">
        <v>0</v>
      </c>
      <c r="KTC129" s="70">
        <v>0</v>
      </c>
      <c r="KTD129" s="70">
        <v>0</v>
      </c>
      <c r="KTE129" s="70">
        <v>0</v>
      </c>
      <c r="KTF129" s="70">
        <v>0</v>
      </c>
      <c r="KTG129" s="70">
        <v>0</v>
      </c>
      <c r="KTH129" s="70">
        <v>0</v>
      </c>
      <c r="KTI129" s="70">
        <v>0</v>
      </c>
      <c r="KTJ129" s="70">
        <v>0</v>
      </c>
      <c r="KTK129" s="70">
        <v>0</v>
      </c>
      <c r="KTL129" s="70">
        <v>0</v>
      </c>
      <c r="KTM129" s="70">
        <v>0</v>
      </c>
      <c r="KTN129" s="70">
        <v>0</v>
      </c>
      <c r="KTO129" s="70">
        <v>0</v>
      </c>
      <c r="KTP129" s="70">
        <v>0</v>
      </c>
      <c r="KTQ129" s="70">
        <v>0</v>
      </c>
      <c r="KTR129" s="70">
        <v>0</v>
      </c>
      <c r="KTS129" s="70">
        <v>0</v>
      </c>
      <c r="KTT129" s="70">
        <v>0</v>
      </c>
      <c r="KTU129" s="70">
        <v>0</v>
      </c>
      <c r="KTV129" s="70">
        <v>0</v>
      </c>
      <c r="KTW129" s="70">
        <v>0</v>
      </c>
      <c r="KTX129" s="70">
        <v>0</v>
      </c>
      <c r="KTY129" s="70">
        <v>0</v>
      </c>
      <c r="KTZ129" s="70">
        <v>0</v>
      </c>
      <c r="KUA129" s="70">
        <v>0</v>
      </c>
      <c r="KUB129" s="70">
        <v>0</v>
      </c>
      <c r="KUC129" s="70">
        <v>0</v>
      </c>
      <c r="KUD129" s="70">
        <v>0</v>
      </c>
      <c r="KUE129" s="70">
        <v>0</v>
      </c>
      <c r="KUF129" s="70">
        <v>0</v>
      </c>
      <c r="KUG129" s="70">
        <v>0</v>
      </c>
      <c r="KUH129" s="70">
        <v>0</v>
      </c>
      <c r="KUI129" s="70">
        <v>0</v>
      </c>
      <c r="KUJ129" s="70">
        <v>0</v>
      </c>
      <c r="KUK129" s="70">
        <v>0</v>
      </c>
      <c r="KUL129" s="70">
        <v>0</v>
      </c>
      <c r="KUM129" s="70">
        <v>0</v>
      </c>
      <c r="KUN129" s="70">
        <v>0</v>
      </c>
      <c r="KUO129" s="70">
        <v>0</v>
      </c>
      <c r="KUP129" s="70">
        <v>0</v>
      </c>
      <c r="KUQ129" s="70">
        <v>0</v>
      </c>
      <c r="KUR129" s="70">
        <v>0</v>
      </c>
      <c r="KUS129" s="70">
        <v>0</v>
      </c>
      <c r="KUT129" s="70">
        <v>0</v>
      </c>
      <c r="KUU129" s="70">
        <v>0</v>
      </c>
      <c r="KUV129" s="70">
        <v>0</v>
      </c>
      <c r="KUW129" s="70">
        <v>0</v>
      </c>
      <c r="KUX129" s="70">
        <v>0</v>
      </c>
      <c r="KUY129" s="70">
        <v>0</v>
      </c>
      <c r="KUZ129" s="70">
        <v>0</v>
      </c>
      <c r="KVA129" s="70">
        <v>0</v>
      </c>
      <c r="KVB129" s="70">
        <v>0</v>
      </c>
      <c r="KVC129" s="70">
        <v>0</v>
      </c>
      <c r="KVD129" s="70">
        <v>0</v>
      </c>
      <c r="KVE129" s="70">
        <v>0</v>
      </c>
      <c r="KVF129" s="70">
        <v>0</v>
      </c>
      <c r="KVG129" s="70">
        <v>0</v>
      </c>
      <c r="KVH129" s="70">
        <v>0</v>
      </c>
      <c r="KVI129" s="70">
        <v>0</v>
      </c>
      <c r="KVJ129" s="70">
        <v>0</v>
      </c>
      <c r="KVK129" s="70">
        <v>0</v>
      </c>
      <c r="KVL129" s="70">
        <v>0</v>
      </c>
      <c r="KVM129" s="70">
        <v>0</v>
      </c>
      <c r="KVN129" s="70">
        <v>0</v>
      </c>
      <c r="KVO129" s="70">
        <v>0</v>
      </c>
      <c r="KVP129" s="70">
        <v>0</v>
      </c>
      <c r="KVQ129" s="70">
        <v>0</v>
      </c>
      <c r="KVR129" s="70">
        <v>0</v>
      </c>
      <c r="KVS129" s="70">
        <v>0</v>
      </c>
      <c r="KVT129" s="70">
        <v>0</v>
      </c>
      <c r="KVU129" s="70">
        <v>0</v>
      </c>
      <c r="KVV129" s="70">
        <v>0</v>
      </c>
      <c r="KVW129" s="70">
        <v>0</v>
      </c>
      <c r="KVX129" s="70">
        <v>0</v>
      </c>
      <c r="KVY129" s="70">
        <v>0</v>
      </c>
      <c r="KVZ129" s="70">
        <v>0</v>
      </c>
      <c r="KWA129" s="70">
        <v>0</v>
      </c>
      <c r="KWB129" s="70">
        <v>0</v>
      </c>
      <c r="KWC129" s="70">
        <v>0</v>
      </c>
      <c r="KWD129" s="70">
        <v>0</v>
      </c>
      <c r="KWE129" s="70">
        <v>0</v>
      </c>
      <c r="KWF129" s="70">
        <v>0</v>
      </c>
      <c r="KWG129" s="70">
        <v>0</v>
      </c>
      <c r="KWH129" s="70">
        <v>0</v>
      </c>
      <c r="KWI129" s="70">
        <v>0</v>
      </c>
      <c r="KWJ129" s="70">
        <v>0</v>
      </c>
      <c r="KWK129" s="70">
        <v>0</v>
      </c>
      <c r="KWL129" s="70">
        <v>0</v>
      </c>
      <c r="KWM129" s="70">
        <v>0</v>
      </c>
      <c r="KWN129" s="70">
        <v>0</v>
      </c>
      <c r="KWO129" s="70">
        <v>0</v>
      </c>
      <c r="KWP129" s="70">
        <v>0</v>
      </c>
      <c r="KWQ129" s="70">
        <v>0</v>
      </c>
      <c r="KWR129" s="70">
        <v>0</v>
      </c>
      <c r="KWS129" s="70">
        <v>0</v>
      </c>
      <c r="KWT129" s="70">
        <v>0</v>
      </c>
      <c r="KWU129" s="70">
        <v>0</v>
      </c>
      <c r="KWV129" s="70">
        <v>0</v>
      </c>
      <c r="KWW129" s="70">
        <v>0</v>
      </c>
      <c r="KWX129" s="70">
        <v>0</v>
      </c>
      <c r="KWY129" s="70">
        <v>0</v>
      </c>
      <c r="KWZ129" s="70">
        <v>0</v>
      </c>
      <c r="KXA129" s="70">
        <v>0</v>
      </c>
      <c r="KXB129" s="70">
        <v>0</v>
      </c>
      <c r="KXC129" s="70">
        <v>0</v>
      </c>
      <c r="KXD129" s="70">
        <v>0</v>
      </c>
      <c r="KXE129" s="70">
        <v>0</v>
      </c>
      <c r="KXF129" s="70">
        <v>0</v>
      </c>
      <c r="KXG129" s="70">
        <v>0</v>
      </c>
      <c r="KXH129" s="70">
        <v>0</v>
      </c>
      <c r="KXI129" s="70">
        <v>0</v>
      </c>
      <c r="KXJ129" s="70">
        <v>0</v>
      </c>
      <c r="KXK129" s="70">
        <v>0</v>
      </c>
      <c r="KXL129" s="70">
        <v>0</v>
      </c>
      <c r="KXM129" s="70">
        <v>0</v>
      </c>
      <c r="KXN129" s="70">
        <v>0</v>
      </c>
      <c r="KXO129" s="70">
        <v>0</v>
      </c>
      <c r="KXP129" s="70">
        <v>0</v>
      </c>
      <c r="KXQ129" s="70">
        <v>0</v>
      </c>
      <c r="KXR129" s="70">
        <v>0</v>
      </c>
      <c r="KXS129" s="70">
        <v>0</v>
      </c>
      <c r="KXT129" s="70">
        <v>0</v>
      </c>
      <c r="KXU129" s="70">
        <v>0</v>
      </c>
      <c r="KXV129" s="70">
        <v>0</v>
      </c>
      <c r="KXW129" s="70">
        <v>0</v>
      </c>
      <c r="KXX129" s="70">
        <v>0</v>
      </c>
      <c r="KXY129" s="70">
        <v>0</v>
      </c>
      <c r="KXZ129" s="70">
        <v>0</v>
      </c>
      <c r="KYA129" s="70">
        <v>0</v>
      </c>
      <c r="KYB129" s="70">
        <v>0</v>
      </c>
      <c r="KYC129" s="70">
        <v>0</v>
      </c>
      <c r="KYD129" s="70">
        <v>0</v>
      </c>
      <c r="KYE129" s="70">
        <v>0</v>
      </c>
      <c r="KYF129" s="70">
        <v>0</v>
      </c>
      <c r="KYG129" s="70">
        <v>0</v>
      </c>
      <c r="KYH129" s="70">
        <v>0</v>
      </c>
      <c r="KYI129" s="70">
        <v>0</v>
      </c>
      <c r="KYJ129" s="70">
        <v>0</v>
      </c>
      <c r="KYK129" s="70">
        <v>0</v>
      </c>
      <c r="KYL129" s="70">
        <v>0</v>
      </c>
      <c r="KYM129" s="70">
        <v>0</v>
      </c>
      <c r="KYN129" s="70">
        <v>0</v>
      </c>
      <c r="KYO129" s="70">
        <v>0</v>
      </c>
      <c r="KYP129" s="70">
        <v>0</v>
      </c>
      <c r="KYQ129" s="70">
        <v>0</v>
      </c>
      <c r="KYR129" s="70">
        <v>0</v>
      </c>
      <c r="KYS129" s="70">
        <v>0</v>
      </c>
      <c r="KYT129" s="70">
        <v>0</v>
      </c>
      <c r="KYU129" s="70">
        <v>0</v>
      </c>
      <c r="KYV129" s="70">
        <v>0</v>
      </c>
      <c r="KYW129" s="70">
        <v>0</v>
      </c>
      <c r="KYX129" s="70">
        <v>0</v>
      </c>
      <c r="KYY129" s="70">
        <v>0</v>
      </c>
      <c r="KYZ129" s="70">
        <v>0</v>
      </c>
      <c r="KZA129" s="70">
        <v>0</v>
      </c>
      <c r="KZB129" s="70">
        <v>0</v>
      </c>
      <c r="KZC129" s="70">
        <v>0</v>
      </c>
      <c r="KZD129" s="70">
        <v>0</v>
      </c>
      <c r="KZE129" s="70">
        <v>0</v>
      </c>
      <c r="KZF129" s="70">
        <v>0</v>
      </c>
      <c r="KZG129" s="70">
        <v>0</v>
      </c>
      <c r="KZH129" s="70">
        <v>0</v>
      </c>
      <c r="KZI129" s="70">
        <v>0</v>
      </c>
      <c r="KZJ129" s="70">
        <v>0</v>
      </c>
      <c r="KZK129" s="70">
        <v>0</v>
      </c>
      <c r="KZL129" s="70">
        <v>0</v>
      </c>
      <c r="KZM129" s="70">
        <v>0</v>
      </c>
      <c r="KZN129" s="70">
        <v>0</v>
      </c>
      <c r="KZO129" s="70">
        <v>0</v>
      </c>
      <c r="KZP129" s="70">
        <v>0</v>
      </c>
      <c r="KZQ129" s="70">
        <v>0</v>
      </c>
      <c r="KZR129" s="70">
        <v>0</v>
      </c>
      <c r="KZS129" s="70">
        <v>0</v>
      </c>
      <c r="KZT129" s="70">
        <v>0</v>
      </c>
      <c r="KZU129" s="70">
        <v>0</v>
      </c>
      <c r="KZV129" s="70">
        <v>0</v>
      </c>
      <c r="KZW129" s="70">
        <v>0</v>
      </c>
      <c r="KZX129" s="70">
        <v>0</v>
      </c>
      <c r="KZY129" s="70">
        <v>0</v>
      </c>
      <c r="KZZ129" s="70">
        <v>0</v>
      </c>
      <c r="LAA129" s="70">
        <v>0</v>
      </c>
      <c r="LAB129" s="70">
        <v>0</v>
      </c>
      <c r="LAC129" s="70">
        <v>0</v>
      </c>
      <c r="LAD129" s="70">
        <v>0</v>
      </c>
      <c r="LAE129" s="70">
        <v>0</v>
      </c>
      <c r="LAF129" s="70">
        <v>0</v>
      </c>
      <c r="LAG129" s="70">
        <v>0</v>
      </c>
      <c r="LAH129" s="70">
        <v>0</v>
      </c>
      <c r="LAI129" s="70">
        <v>0</v>
      </c>
      <c r="LAJ129" s="70">
        <v>0</v>
      </c>
      <c r="LAK129" s="70">
        <v>0</v>
      </c>
      <c r="LAL129" s="70">
        <v>0</v>
      </c>
      <c r="LAM129" s="70">
        <v>0</v>
      </c>
      <c r="LAN129" s="70">
        <v>0</v>
      </c>
      <c r="LAO129" s="70">
        <v>0</v>
      </c>
      <c r="LAP129" s="70">
        <v>0</v>
      </c>
      <c r="LAQ129" s="70">
        <v>0</v>
      </c>
      <c r="LAR129" s="70">
        <v>0</v>
      </c>
      <c r="LAS129" s="70">
        <v>0</v>
      </c>
      <c r="LAT129" s="70">
        <v>0</v>
      </c>
      <c r="LAU129" s="70">
        <v>0</v>
      </c>
      <c r="LAV129" s="70">
        <v>0</v>
      </c>
      <c r="LAW129" s="70">
        <v>0</v>
      </c>
      <c r="LAX129" s="70">
        <v>0</v>
      </c>
      <c r="LAY129" s="70">
        <v>0</v>
      </c>
      <c r="LAZ129" s="70">
        <v>0</v>
      </c>
      <c r="LBA129" s="70">
        <v>0</v>
      </c>
      <c r="LBB129" s="70">
        <v>0</v>
      </c>
      <c r="LBC129" s="70">
        <v>0</v>
      </c>
      <c r="LBD129" s="70">
        <v>0</v>
      </c>
      <c r="LBE129" s="70">
        <v>0</v>
      </c>
      <c r="LBF129" s="70">
        <v>0</v>
      </c>
      <c r="LBG129" s="70">
        <v>0</v>
      </c>
      <c r="LBH129" s="70">
        <v>0</v>
      </c>
      <c r="LBI129" s="70">
        <v>0</v>
      </c>
      <c r="LBJ129" s="70">
        <v>0</v>
      </c>
      <c r="LBK129" s="70">
        <v>0</v>
      </c>
      <c r="LBL129" s="70">
        <v>0</v>
      </c>
      <c r="LBM129" s="70">
        <v>0</v>
      </c>
      <c r="LBN129" s="70">
        <v>0</v>
      </c>
      <c r="LBO129" s="70">
        <v>0</v>
      </c>
      <c r="LBP129" s="70">
        <v>0</v>
      </c>
      <c r="LBQ129" s="70">
        <v>0</v>
      </c>
      <c r="LBR129" s="70">
        <v>0</v>
      </c>
      <c r="LBS129" s="70">
        <v>0</v>
      </c>
      <c r="LBT129" s="70">
        <v>0</v>
      </c>
      <c r="LBU129" s="70">
        <v>0</v>
      </c>
      <c r="LBV129" s="70">
        <v>0</v>
      </c>
      <c r="LBW129" s="70">
        <v>0</v>
      </c>
      <c r="LBX129" s="70">
        <v>0</v>
      </c>
      <c r="LBY129" s="70">
        <v>0</v>
      </c>
      <c r="LBZ129" s="70">
        <v>0</v>
      </c>
      <c r="LCA129" s="70">
        <v>0</v>
      </c>
      <c r="LCB129" s="70">
        <v>0</v>
      </c>
      <c r="LCC129" s="70">
        <v>0</v>
      </c>
      <c r="LCD129" s="70">
        <v>0</v>
      </c>
      <c r="LCE129" s="70">
        <v>0</v>
      </c>
      <c r="LCF129" s="70">
        <v>0</v>
      </c>
      <c r="LCG129" s="70">
        <v>0</v>
      </c>
      <c r="LCH129" s="70">
        <v>0</v>
      </c>
      <c r="LCI129" s="70">
        <v>0</v>
      </c>
      <c r="LCJ129" s="70">
        <v>0</v>
      </c>
      <c r="LCK129" s="70">
        <v>0</v>
      </c>
      <c r="LCL129" s="70">
        <v>0</v>
      </c>
      <c r="LCM129" s="70">
        <v>0</v>
      </c>
      <c r="LCN129" s="70">
        <v>0</v>
      </c>
      <c r="LCO129" s="70">
        <v>0</v>
      </c>
      <c r="LCP129" s="70">
        <v>0</v>
      </c>
      <c r="LCQ129" s="70">
        <v>0</v>
      </c>
      <c r="LCR129" s="70">
        <v>0</v>
      </c>
      <c r="LCS129" s="70">
        <v>0</v>
      </c>
      <c r="LCT129" s="70">
        <v>0</v>
      </c>
      <c r="LCU129" s="70">
        <v>0</v>
      </c>
      <c r="LCV129" s="70">
        <v>0</v>
      </c>
      <c r="LCW129" s="70">
        <v>0</v>
      </c>
      <c r="LCX129" s="70">
        <v>0</v>
      </c>
      <c r="LCY129" s="70">
        <v>0</v>
      </c>
      <c r="LCZ129" s="70">
        <v>0</v>
      </c>
      <c r="LDA129" s="70">
        <v>0</v>
      </c>
      <c r="LDB129" s="70">
        <v>0</v>
      </c>
      <c r="LDC129" s="70">
        <v>0</v>
      </c>
      <c r="LDD129" s="70">
        <v>0</v>
      </c>
      <c r="LDE129" s="70">
        <v>0</v>
      </c>
      <c r="LDF129" s="70">
        <v>0</v>
      </c>
      <c r="LDG129" s="70">
        <v>0</v>
      </c>
      <c r="LDH129" s="70">
        <v>0</v>
      </c>
      <c r="LDI129" s="70">
        <v>0</v>
      </c>
      <c r="LDJ129" s="70">
        <v>0</v>
      </c>
      <c r="LDK129" s="70">
        <v>0</v>
      </c>
      <c r="LDL129" s="70">
        <v>0</v>
      </c>
      <c r="LDM129" s="70">
        <v>0</v>
      </c>
      <c r="LDN129" s="70">
        <v>0</v>
      </c>
      <c r="LDO129" s="70">
        <v>0</v>
      </c>
      <c r="LDP129" s="70">
        <v>0</v>
      </c>
      <c r="LDQ129" s="70">
        <v>0</v>
      </c>
      <c r="LDR129" s="70">
        <v>0</v>
      </c>
      <c r="LDS129" s="70">
        <v>0</v>
      </c>
      <c r="LDT129" s="70">
        <v>0</v>
      </c>
      <c r="LDU129" s="70">
        <v>0</v>
      </c>
      <c r="LDV129" s="70">
        <v>0</v>
      </c>
      <c r="LDW129" s="70">
        <v>0</v>
      </c>
      <c r="LDX129" s="70">
        <v>0</v>
      </c>
      <c r="LDY129" s="70">
        <v>0</v>
      </c>
      <c r="LDZ129" s="70">
        <v>0</v>
      </c>
      <c r="LEA129" s="70">
        <v>0</v>
      </c>
      <c r="LEB129" s="70">
        <v>0</v>
      </c>
      <c r="LEC129" s="70">
        <v>0</v>
      </c>
      <c r="LED129" s="70">
        <v>0</v>
      </c>
      <c r="LEE129" s="70">
        <v>0</v>
      </c>
      <c r="LEF129" s="70">
        <v>0</v>
      </c>
      <c r="LEG129" s="70">
        <v>0</v>
      </c>
      <c r="LEH129" s="70">
        <v>0</v>
      </c>
      <c r="LEI129" s="70">
        <v>0</v>
      </c>
      <c r="LEJ129" s="70">
        <v>0</v>
      </c>
      <c r="LEK129" s="70">
        <v>0</v>
      </c>
      <c r="LEL129" s="70">
        <v>0</v>
      </c>
      <c r="LEM129" s="70">
        <v>0</v>
      </c>
      <c r="LEN129" s="70">
        <v>0</v>
      </c>
      <c r="LEO129" s="70">
        <v>0</v>
      </c>
      <c r="LEP129" s="70">
        <v>0</v>
      </c>
      <c r="LEQ129" s="70">
        <v>0</v>
      </c>
      <c r="LER129" s="70">
        <v>0</v>
      </c>
      <c r="LES129" s="70">
        <v>0</v>
      </c>
      <c r="LET129" s="70">
        <v>0</v>
      </c>
      <c r="LEU129" s="70">
        <v>0</v>
      </c>
      <c r="LEV129" s="70">
        <v>0</v>
      </c>
      <c r="LEW129" s="70">
        <v>0</v>
      </c>
      <c r="LEX129" s="70">
        <v>0</v>
      </c>
      <c r="LEY129" s="70">
        <v>0</v>
      </c>
      <c r="LEZ129" s="70">
        <v>0</v>
      </c>
      <c r="LFA129" s="70">
        <v>0</v>
      </c>
      <c r="LFB129" s="70">
        <v>0</v>
      </c>
      <c r="LFC129" s="70">
        <v>0</v>
      </c>
      <c r="LFD129" s="70">
        <v>0</v>
      </c>
      <c r="LFE129" s="70">
        <v>0</v>
      </c>
      <c r="LFF129" s="70">
        <v>0</v>
      </c>
      <c r="LFG129" s="70">
        <v>0</v>
      </c>
      <c r="LFH129" s="70">
        <v>0</v>
      </c>
      <c r="LFI129" s="70">
        <v>0</v>
      </c>
      <c r="LFJ129" s="70">
        <v>0</v>
      </c>
      <c r="LFK129" s="70">
        <v>0</v>
      </c>
      <c r="LFL129" s="70">
        <v>0</v>
      </c>
      <c r="LFM129" s="70">
        <v>0</v>
      </c>
      <c r="LFN129" s="70">
        <v>0</v>
      </c>
      <c r="LFO129" s="70">
        <v>0</v>
      </c>
      <c r="LFP129" s="70">
        <v>0</v>
      </c>
      <c r="LFQ129" s="70">
        <v>0</v>
      </c>
      <c r="LFR129" s="70">
        <v>0</v>
      </c>
      <c r="LFS129" s="70">
        <v>0</v>
      </c>
      <c r="LFT129" s="70">
        <v>0</v>
      </c>
      <c r="LFU129" s="70">
        <v>0</v>
      </c>
      <c r="LFV129" s="70">
        <v>0</v>
      </c>
      <c r="LFW129" s="70">
        <v>0</v>
      </c>
      <c r="LFX129" s="70">
        <v>0</v>
      </c>
      <c r="LFY129" s="70">
        <v>0</v>
      </c>
      <c r="LFZ129" s="70">
        <v>0</v>
      </c>
      <c r="LGA129" s="70">
        <v>0</v>
      </c>
      <c r="LGB129" s="70">
        <v>0</v>
      </c>
      <c r="LGC129" s="70">
        <v>0</v>
      </c>
      <c r="LGD129" s="70">
        <v>0</v>
      </c>
      <c r="LGE129" s="70">
        <v>0</v>
      </c>
      <c r="LGF129" s="70">
        <v>0</v>
      </c>
      <c r="LGG129" s="70">
        <v>0</v>
      </c>
      <c r="LGH129" s="70">
        <v>0</v>
      </c>
      <c r="LGI129" s="70">
        <v>0</v>
      </c>
      <c r="LGJ129" s="70">
        <v>0</v>
      </c>
      <c r="LGK129" s="70">
        <v>0</v>
      </c>
      <c r="LGL129" s="70">
        <v>0</v>
      </c>
      <c r="LGM129" s="70">
        <v>0</v>
      </c>
      <c r="LGN129" s="70">
        <v>0</v>
      </c>
      <c r="LGO129" s="70">
        <v>0</v>
      </c>
      <c r="LGP129" s="70">
        <v>0</v>
      </c>
      <c r="LGQ129" s="70">
        <v>0</v>
      </c>
      <c r="LGR129" s="70">
        <v>0</v>
      </c>
      <c r="LGS129" s="70">
        <v>0</v>
      </c>
      <c r="LGT129" s="70">
        <v>0</v>
      </c>
      <c r="LGU129" s="70">
        <v>0</v>
      </c>
      <c r="LGV129" s="70">
        <v>0</v>
      </c>
      <c r="LGW129" s="70">
        <v>0</v>
      </c>
      <c r="LGX129" s="70">
        <v>0</v>
      </c>
      <c r="LGY129" s="70">
        <v>0</v>
      </c>
      <c r="LGZ129" s="70">
        <v>0</v>
      </c>
      <c r="LHA129" s="70">
        <v>0</v>
      </c>
      <c r="LHB129" s="70">
        <v>0</v>
      </c>
      <c r="LHC129" s="70">
        <v>0</v>
      </c>
      <c r="LHD129" s="70">
        <v>0</v>
      </c>
      <c r="LHE129" s="70">
        <v>0</v>
      </c>
      <c r="LHF129" s="70">
        <v>0</v>
      </c>
      <c r="LHG129" s="70">
        <v>0</v>
      </c>
      <c r="LHH129" s="70">
        <v>0</v>
      </c>
      <c r="LHI129" s="70">
        <v>0</v>
      </c>
      <c r="LHJ129" s="70">
        <v>0</v>
      </c>
      <c r="LHK129" s="70">
        <v>0</v>
      </c>
      <c r="LHL129" s="70">
        <v>0</v>
      </c>
      <c r="LHM129" s="70">
        <v>0</v>
      </c>
      <c r="LHN129" s="70">
        <v>0</v>
      </c>
      <c r="LHO129" s="70">
        <v>0</v>
      </c>
      <c r="LHP129" s="70">
        <v>0</v>
      </c>
      <c r="LHQ129" s="70">
        <v>0</v>
      </c>
      <c r="LHR129" s="70">
        <v>0</v>
      </c>
      <c r="LHS129" s="70">
        <v>0</v>
      </c>
      <c r="LHT129" s="70">
        <v>0</v>
      </c>
      <c r="LHU129" s="70">
        <v>0</v>
      </c>
      <c r="LHV129" s="70">
        <v>0</v>
      </c>
      <c r="LHW129" s="70">
        <v>0</v>
      </c>
      <c r="LHX129" s="70">
        <v>0</v>
      </c>
      <c r="LHY129" s="70">
        <v>0</v>
      </c>
      <c r="LHZ129" s="70">
        <v>0</v>
      </c>
      <c r="LIA129" s="70">
        <v>0</v>
      </c>
      <c r="LIB129" s="70">
        <v>0</v>
      </c>
      <c r="LIC129" s="70">
        <v>0</v>
      </c>
      <c r="LID129" s="70">
        <v>0</v>
      </c>
      <c r="LIE129" s="70">
        <v>0</v>
      </c>
      <c r="LIF129" s="70">
        <v>0</v>
      </c>
      <c r="LIG129" s="70">
        <v>0</v>
      </c>
      <c r="LIH129" s="70">
        <v>0</v>
      </c>
      <c r="LII129" s="70">
        <v>0</v>
      </c>
      <c r="LIJ129" s="70">
        <v>0</v>
      </c>
      <c r="LIK129" s="70">
        <v>0</v>
      </c>
      <c r="LIL129" s="70">
        <v>0</v>
      </c>
      <c r="LIM129" s="70">
        <v>0</v>
      </c>
      <c r="LIN129" s="70">
        <v>0</v>
      </c>
      <c r="LIO129" s="70">
        <v>0</v>
      </c>
      <c r="LIP129" s="70">
        <v>0</v>
      </c>
      <c r="LIQ129" s="70">
        <v>0</v>
      </c>
      <c r="LIR129" s="70">
        <v>0</v>
      </c>
      <c r="LIS129" s="70">
        <v>0</v>
      </c>
      <c r="LIT129" s="70">
        <v>0</v>
      </c>
      <c r="LIU129" s="70">
        <v>0</v>
      </c>
      <c r="LIV129" s="70">
        <v>0</v>
      </c>
      <c r="LIW129" s="70">
        <v>0</v>
      </c>
      <c r="LIX129" s="70">
        <v>0</v>
      </c>
      <c r="LIY129" s="70">
        <v>0</v>
      </c>
      <c r="LIZ129" s="70">
        <v>0</v>
      </c>
      <c r="LJA129" s="70">
        <v>0</v>
      </c>
      <c r="LJB129" s="70">
        <v>0</v>
      </c>
      <c r="LJC129" s="70">
        <v>0</v>
      </c>
      <c r="LJD129" s="70">
        <v>0</v>
      </c>
      <c r="LJE129" s="70">
        <v>0</v>
      </c>
      <c r="LJF129" s="70">
        <v>0</v>
      </c>
      <c r="LJG129" s="70">
        <v>0</v>
      </c>
      <c r="LJH129" s="70">
        <v>0</v>
      </c>
      <c r="LJI129" s="70">
        <v>0</v>
      </c>
      <c r="LJJ129" s="70">
        <v>0</v>
      </c>
      <c r="LJK129" s="70">
        <v>0</v>
      </c>
      <c r="LJL129" s="70">
        <v>0</v>
      </c>
      <c r="LJM129" s="70">
        <v>0</v>
      </c>
      <c r="LJN129" s="70">
        <v>0</v>
      </c>
      <c r="LJO129" s="70">
        <v>0</v>
      </c>
      <c r="LJP129" s="70">
        <v>0</v>
      </c>
      <c r="LJQ129" s="70">
        <v>0</v>
      </c>
      <c r="LJR129" s="70">
        <v>0</v>
      </c>
      <c r="LJS129" s="70">
        <v>0</v>
      </c>
      <c r="LJT129" s="70">
        <v>0</v>
      </c>
      <c r="LJU129" s="70">
        <v>0</v>
      </c>
      <c r="LJV129" s="70">
        <v>0</v>
      </c>
      <c r="LJW129" s="70">
        <v>0</v>
      </c>
      <c r="LJX129" s="70">
        <v>0</v>
      </c>
      <c r="LJY129" s="70">
        <v>0</v>
      </c>
      <c r="LJZ129" s="70">
        <v>0</v>
      </c>
      <c r="LKA129" s="70">
        <v>0</v>
      </c>
      <c r="LKB129" s="70">
        <v>0</v>
      </c>
      <c r="LKC129" s="70">
        <v>0</v>
      </c>
      <c r="LKD129" s="70">
        <v>0</v>
      </c>
      <c r="LKE129" s="70">
        <v>0</v>
      </c>
      <c r="LKF129" s="70">
        <v>0</v>
      </c>
      <c r="LKG129" s="70">
        <v>0</v>
      </c>
      <c r="LKH129" s="70">
        <v>0</v>
      </c>
      <c r="LKI129" s="70">
        <v>0</v>
      </c>
      <c r="LKJ129" s="70">
        <v>0</v>
      </c>
      <c r="LKK129" s="70">
        <v>0</v>
      </c>
      <c r="LKL129" s="70">
        <v>0</v>
      </c>
      <c r="LKM129" s="70">
        <v>0</v>
      </c>
      <c r="LKN129" s="70">
        <v>0</v>
      </c>
      <c r="LKO129" s="70">
        <v>0</v>
      </c>
      <c r="LKP129" s="70">
        <v>0</v>
      </c>
      <c r="LKQ129" s="70">
        <v>0</v>
      </c>
      <c r="LKR129" s="70">
        <v>0</v>
      </c>
      <c r="LKS129" s="70">
        <v>0</v>
      </c>
      <c r="LKT129" s="70">
        <v>0</v>
      </c>
      <c r="LKU129" s="70">
        <v>0</v>
      </c>
      <c r="LKV129" s="70">
        <v>0</v>
      </c>
      <c r="LKW129" s="70">
        <v>0</v>
      </c>
      <c r="LKX129" s="70">
        <v>0</v>
      </c>
      <c r="LKY129" s="70">
        <v>0</v>
      </c>
      <c r="LKZ129" s="70">
        <v>0</v>
      </c>
      <c r="LLA129" s="70">
        <v>0</v>
      </c>
      <c r="LLB129" s="70">
        <v>0</v>
      </c>
      <c r="LLC129" s="70">
        <v>0</v>
      </c>
      <c r="LLD129" s="70">
        <v>0</v>
      </c>
      <c r="LLE129" s="70">
        <v>0</v>
      </c>
      <c r="LLF129" s="70">
        <v>0</v>
      </c>
      <c r="LLG129" s="70">
        <v>0</v>
      </c>
      <c r="LLH129" s="70">
        <v>0</v>
      </c>
      <c r="LLI129" s="70">
        <v>0</v>
      </c>
      <c r="LLJ129" s="70">
        <v>0</v>
      </c>
      <c r="LLK129" s="70">
        <v>0</v>
      </c>
      <c r="LLL129" s="70">
        <v>0</v>
      </c>
      <c r="LLM129" s="70">
        <v>0</v>
      </c>
      <c r="LLN129" s="70">
        <v>0</v>
      </c>
      <c r="LLO129" s="70">
        <v>0</v>
      </c>
      <c r="LLP129" s="70">
        <v>0</v>
      </c>
      <c r="LLQ129" s="70">
        <v>0</v>
      </c>
      <c r="LLR129" s="70">
        <v>0</v>
      </c>
      <c r="LLS129" s="70">
        <v>0</v>
      </c>
      <c r="LLT129" s="70">
        <v>0</v>
      </c>
      <c r="LLU129" s="70">
        <v>0</v>
      </c>
      <c r="LLV129" s="70">
        <v>0</v>
      </c>
      <c r="LLW129" s="70">
        <v>0</v>
      </c>
      <c r="LLX129" s="70">
        <v>0</v>
      </c>
      <c r="LLY129" s="70">
        <v>0</v>
      </c>
      <c r="LLZ129" s="70">
        <v>0</v>
      </c>
      <c r="LMA129" s="70">
        <v>0</v>
      </c>
      <c r="LMB129" s="70">
        <v>0</v>
      </c>
      <c r="LMC129" s="70">
        <v>0</v>
      </c>
      <c r="LMD129" s="70">
        <v>0</v>
      </c>
      <c r="LME129" s="70">
        <v>0</v>
      </c>
      <c r="LMF129" s="70">
        <v>0</v>
      </c>
      <c r="LMG129" s="70">
        <v>0</v>
      </c>
      <c r="LMH129" s="70">
        <v>0</v>
      </c>
      <c r="LMI129" s="70">
        <v>0</v>
      </c>
      <c r="LMJ129" s="70">
        <v>0</v>
      </c>
      <c r="LMK129" s="70">
        <v>0</v>
      </c>
      <c r="LML129" s="70">
        <v>0</v>
      </c>
      <c r="LMM129" s="70">
        <v>0</v>
      </c>
      <c r="LMN129" s="70">
        <v>0</v>
      </c>
      <c r="LMO129" s="70">
        <v>0</v>
      </c>
      <c r="LMP129" s="70">
        <v>0</v>
      </c>
      <c r="LMQ129" s="70">
        <v>0</v>
      </c>
      <c r="LMR129" s="70">
        <v>0</v>
      </c>
      <c r="LMS129" s="70">
        <v>0</v>
      </c>
      <c r="LMT129" s="70">
        <v>0</v>
      </c>
      <c r="LMU129" s="70">
        <v>0</v>
      </c>
      <c r="LMV129" s="70">
        <v>0</v>
      </c>
      <c r="LMW129" s="70">
        <v>0</v>
      </c>
      <c r="LMX129" s="70">
        <v>0</v>
      </c>
      <c r="LMY129" s="70">
        <v>0</v>
      </c>
      <c r="LMZ129" s="70">
        <v>0</v>
      </c>
      <c r="LNA129" s="70">
        <v>0</v>
      </c>
      <c r="LNB129" s="70">
        <v>0</v>
      </c>
      <c r="LNC129" s="70">
        <v>0</v>
      </c>
      <c r="LND129" s="70">
        <v>0</v>
      </c>
      <c r="LNE129" s="70">
        <v>0</v>
      </c>
      <c r="LNF129" s="70">
        <v>0</v>
      </c>
      <c r="LNG129" s="70">
        <v>0</v>
      </c>
      <c r="LNH129" s="70">
        <v>0</v>
      </c>
      <c r="LNI129" s="70">
        <v>0</v>
      </c>
      <c r="LNJ129" s="70">
        <v>0</v>
      </c>
      <c r="LNK129" s="70">
        <v>0</v>
      </c>
      <c r="LNL129" s="70">
        <v>0</v>
      </c>
      <c r="LNM129" s="70">
        <v>0</v>
      </c>
      <c r="LNN129" s="70">
        <v>0</v>
      </c>
      <c r="LNO129" s="70">
        <v>0</v>
      </c>
      <c r="LNP129" s="70">
        <v>0</v>
      </c>
      <c r="LNQ129" s="70">
        <v>0</v>
      </c>
      <c r="LNR129" s="70">
        <v>0</v>
      </c>
      <c r="LNS129" s="70">
        <v>0</v>
      </c>
      <c r="LNT129" s="70">
        <v>0</v>
      </c>
      <c r="LNU129" s="70">
        <v>0</v>
      </c>
      <c r="LNV129" s="70">
        <v>0</v>
      </c>
      <c r="LNW129" s="70">
        <v>0</v>
      </c>
      <c r="LNX129" s="70">
        <v>0</v>
      </c>
      <c r="LNY129" s="70">
        <v>0</v>
      </c>
      <c r="LNZ129" s="70">
        <v>0</v>
      </c>
      <c r="LOA129" s="70">
        <v>0</v>
      </c>
      <c r="LOB129" s="70">
        <v>0</v>
      </c>
      <c r="LOC129" s="70">
        <v>0</v>
      </c>
      <c r="LOD129" s="70">
        <v>0</v>
      </c>
      <c r="LOE129" s="70">
        <v>0</v>
      </c>
      <c r="LOF129" s="70">
        <v>0</v>
      </c>
      <c r="LOG129" s="70">
        <v>0</v>
      </c>
      <c r="LOH129" s="70">
        <v>0</v>
      </c>
      <c r="LOI129" s="70">
        <v>0</v>
      </c>
      <c r="LOJ129" s="70">
        <v>0</v>
      </c>
      <c r="LOK129" s="70">
        <v>0</v>
      </c>
      <c r="LOL129" s="70">
        <v>0</v>
      </c>
      <c r="LOM129" s="70">
        <v>0</v>
      </c>
      <c r="LON129" s="70">
        <v>0</v>
      </c>
      <c r="LOO129" s="70">
        <v>0</v>
      </c>
      <c r="LOP129" s="70">
        <v>0</v>
      </c>
      <c r="LOQ129" s="70">
        <v>0</v>
      </c>
      <c r="LOR129" s="70">
        <v>0</v>
      </c>
      <c r="LOS129" s="70">
        <v>0</v>
      </c>
      <c r="LOT129" s="70">
        <v>0</v>
      </c>
      <c r="LOU129" s="70">
        <v>0</v>
      </c>
      <c r="LOV129" s="70">
        <v>0</v>
      </c>
      <c r="LOW129" s="70">
        <v>0</v>
      </c>
      <c r="LOX129" s="70">
        <v>0</v>
      </c>
      <c r="LOY129" s="70">
        <v>0</v>
      </c>
      <c r="LOZ129" s="70">
        <v>0</v>
      </c>
      <c r="LPA129" s="70">
        <v>0</v>
      </c>
      <c r="LPB129" s="70">
        <v>0</v>
      </c>
      <c r="LPC129" s="70">
        <v>0</v>
      </c>
      <c r="LPD129" s="70">
        <v>0</v>
      </c>
      <c r="LPE129" s="70">
        <v>0</v>
      </c>
      <c r="LPF129" s="70">
        <v>0</v>
      </c>
      <c r="LPG129" s="70">
        <v>0</v>
      </c>
      <c r="LPH129" s="70">
        <v>0</v>
      </c>
      <c r="LPI129" s="70">
        <v>0</v>
      </c>
      <c r="LPJ129" s="70">
        <v>0</v>
      </c>
      <c r="LPK129" s="70">
        <v>0</v>
      </c>
      <c r="LPL129" s="70">
        <v>0</v>
      </c>
      <c r="LPM129" s="70">
        <v>0</v>
      </c>
      <c r="LPN129" s="70">
        <v>0</v>
      </c>
      <c r="LPO129" s="70">
        <v>0</v>
      </c>
      <c r="LPP129" s="70">
        <v>0</v>
      </c>
      <c r="LPQ129" s="70">
        <v>0</v>
      </c>
      <c r="LPR129" s="70">
        <v>0</v>
      </c>
      <c r="LPS129" s="70">
        <v>0</v>
      </c>
      <c r="LPT129" s="70">
        <v>0</v>
      </c>
      <c r="LPU129" s="70">
        <v>0</v>
      </c>
      <c r="LPV129" s="70">
        <v>0</v>
      </c>
      <c r="LPW129" s="70">
        <v>0</v>
      </c>
      <c r="LPX129" s="70">
        <v>0</v>
      </c>
      <c r="LPY129" s="70">
        <v>0</v>
      </c>
      <c r="LPZ129" s="70">
        <v>0</v>
      </c>
      <c r="LQA129" s="70">
        <v>0</v>
      </c>
      <c r="LQB129" s="70">
        <v>0</v>
      </c>
      <c r="LQC129" s="70">
        <v>0</v>
      </c>
      <c r="LQD129" s="70">
        <v>0</v>
      </c>
      <c r="LQE129" s="70">
        <v>0</v>
      </c>
      <c r="LQF129" s="70">
        <v>0</v>
      </c>
      <c r="LQG129" s="70">
        <v>0</v>
      </c>
      <c r="LQH129" s="70">
        <v>0</v>
      </c>
      <c r="LQI129" s="70">
        <v>0</v>
      </c>
      <c r="LQJ129" s="70">
        <v>0</v>
      </c>
      <c r="LQK129" s="70">
        <v>0</v>
      </c>
      <c r="LQL129" s="70">
        <v>0</v>
      </c>
      <c r="LQM129" s="70">
        <v>0</v>
      </c>
      <c r="LQN129" s="70">
        <v>0</v>
      </c>
      <c r="LQO129" s="70">
        <v>0</v>
      </c>
      <c r="LQP129" s="70">
        <v>0</v>
      </c>
      <c r="LQQ129" s="70">
        <v>0</v>
      </c>
      <c r="LQR129" s="70">
        <v>0</v>
      </c>
      <c r="LQS129" s="70">
        <v>0</v>
      </c>
      <c r="LQT129" s="70">
        <v>0</v>
      </c>
      <c r="LQU129" s="70">
        <v>0</v>
      </c>
      <c r="LQV129" s="70">
        <v>0</v>
      </c>
      <c r="LQW129" s="70">
        <v>0</v>
      </c>
      <c r="LQX129" s="70">
        <v>0</v>
      </c>
      <c r="LQY129" s="70">
        <v>0</v>
      </c>
      <c r="LQZ129" s="70">
        <v>0</v>
      </c>
      <c r="LRA129" s="70">
        <v>0</v>
      </c>
      <c r="LRB129" s="70">
        <v>0</v>
      </c>
      <c r="LRC129" s="70">
        <v>0</v>
      </c>
      <c r="LRD129" s="70">
        <v>0</v>
      </c>
      <c r="LRE129" s="70">
        <v>0</v>
      </c>
      <c r="LRF129" s="70">
        <v>0</v>
      </c>
      <c r="LRG129" s="70">
        <v>0</v>
      </c>
      <c r="LRH129" s="70">
        <v>0</v>
      </c>
      <c r="LRI129" s="70">
        <v>0</v>
      </c>
      <c r="LRJ129" s="70">
        <v>0</v>
      </c>
      <c r="LRK129" s="70">
        <v>0</v>
      </c>
      <c r="LRL129" s="70">
        <v>0</v>
      </c>
      <c r="LRM129" s="70">
        <v>0</v>
      </c>
      <c r="LRN129" s="70">
        <v>0</v>
      </c>
      <c r="LRO129" s="70">
        <v>0</v>
      </c>
      <c r="LRP129" s="70">
        <v>0</v>
      </c>
      <c r="LRQ129" s="70">
        <v>0</v>
      </c>
      <c r="LRR129" s="70">
        <v>0</v>
      </c>
      <c r="LRS129" s="70">
        <v>0</v>
      </c>
      <c r="LRT129" s="70">
        <v>0</v>
      </c>
      <c r="LRU129" s="70">
        <v>0</v>
      </c>
      <c r="LRV129" s="70">
        <v>0</v>
      </c>
      <c r="LRW129" s="70">
        <v>0</v>
      </c>
      <c r="LRX129" s="70">
        <v>0</v>
      </c>
      <c r="LRY129" s="70">
        <v>0</v>
      </c>
      <c r="LRZ129" s="70">
        <v>0</v>
      </c>
      <c r="LSA129" s="70">
        <v>0</v>
      </c>
      <c r="LSB129" s="70">
        <v>0</v>
      </c>
      <c r="LSC129" s="70">
        <v>0</v>
      </c>
      <c r="LSD129" s="70">
        <v>0</v>
      </c>
      <c r="LSE129" s="70">
        <v>0</v>
      </c>
      <c r="LSF129" s="70">
        <v>0</v>
      </c>
      <c r="LSG129" s="70">
        <v>0</v>
      </c>
      <c r="LSH129" s="70">
        <v>0</v>
      </c>
      <c r="LSI129" s="70">
        <v>0</v>
      </c>
      <c r="LSJ129" s="70">
        <v>0</v>
      </c>
      <c r="LSK129" s="70">
        <v>0</v>
      </c>
      <c r="LSL129" s="70">
        <v>0</v>
      </c>
      <c r="LSM129" s="70">
        <v>0</v>
      </c>
      <c r="LSN129" s="70">
        <v>0</v>
      </c>
      <c r="LSO129" s="70">
        <v>0</v>
      </c>
      <c r="LSP129" s="70">
        <v>0</v>
      </c>
      <c r="LSQ129" s="70">
        <v>0</v>
      </c>
      <c r="LSR129" s="70">
        <v>0</v>
      </c>
      <c r="LSS129" s="70">
        <v>0</v>
      </c>
      <c r="LST129" s="70">
        <v>0</v>
      </c>
      <c r="LSU129" s="70">
        <v>0</v>
      </c>
      <c r="LSV129" s="70">
        <v>0</v>
      </c>
      <c r="LSW129" s="70">
        <v>0</v>
      </c>
      <c r="LSX129" s="70">
        <v>0</v>
      </c>
      <c r="LSY129" s="70">
        <v>0</v>
      </c>
      <c r="LSZ129" s="70">
        <v>0</v>
      </c>
      <c r="LTA129" s="70">
        <v>0</v>
      </c>
      <c r="LTB129" s="70">
        <v>0</v>
      </c>
      <c r="LTC129" s="70">
        <v>0</v>
      </c>
      <c r="LTD129" s="70">
        <v>0</v>
      </c>
      <c r="LTE129" s="70">
        <v>0</v>
      </c>
      <c r="LTF129" s="70">
        <v>0</v>
      </c>
      <c r="LTG129" s="70">
        <v>0</v>
      </c>
      <c r="LTH129" s="70">
        <v>0</v>
      </c>
      <c r="LTI129" s="70">
        <v>0</v>
      </c>
      <c r="LTJ129" s="70">
        <v>0</v>
      </c>
      <c r="LTK129" s="70">
        <v>0</v>
      </c>
      <c r="LTL129" s="70">
        <v>0</v>
      </c>
      <c r="LTM129" s="70">
        <v>0</v>
      </c>
      <c r="LTN129" s="70">
        <v>0</v>
      </c>
      <c r="LTO129" s="70">
        <v>0</v>
      </c>
      <c r="LTP129" s="70">
        <v>0</v>
      </c>
      <c r="LTQ129" s="70">
        <v>0</v>
      </c>
      <c r="LTR129" s="70">
        <v>0</v>
      </c>
      <c r="LTS129" s="70">
        <v>0</v>
      </c>
      <c r="LTT129" s="70">
        <v>0</v>
      </c>
      <c r="LTU129" s="70">
        <v>0</v>
      </c>
      <c r="LTV129" s="70">
        <v>0</v>
      </c>
      <c r="LTW129" s="70">
        <v>0</v>
      </c>
      <c r="LTX129" s="70">
        <v>0</v>
      </c>
      <c r="LTY129" s="70">
        <v>0</v>
      </c>
      <c r="LTZ129" s="70">
        <v>0</v>
      </c>
      <c r="LUA129" s="70">
        <v>0</v>
      </c>
      <c r="LUB129" s="70">
        <v>0</v>
      </c>
      <c r="LUC129" s="70">
        <v>0</v>
      </c>
      <c r="LUD129" s="70">
        <v>0</v>
      </c>
      <c r="LUE129" s="70">
        <v>0</v>
      </c>
      <c r="LUF129" s="70">
        <v>0</v>
      </c>
      <c r="LUG129" s="70">
        <v>0</v>
      </c>
      <c r="LUH129" s="70">
        <v>0</v>
      </c>
      <c r="LUI129" s="70">
        <v>0</v>
      </c>
      <c r="LUJ129" s="70">
        <v>0</v>
      </c>
      <c r="LUK129" s="70">
        <v>0</v>
      </c>
      <c r="LUL129" s="70">
        <v>0</v>
      </c>
      <c r="LUM129" s="70">
        <v>0</v>
      </c>
      <c r="LUN129" s="70">
        <v>0</v>
      </c>
      <c r="LUO129" s="70">
        <v>0</v>
      </c>
      <c r="LUP129" s="70">
        <v>0</v>
      </c>
      <c r="LUQ129" s="70">
        <v>0</v>
      </c>
      <c r="LUR129" s="70">
        <v>0</v>
      </c>
      <c r="LUS129" s="70">
        <v>0</v>
      </c>
      <c r="LUT129" s="70">
        <v>0</v>
      </c>
      <c r="LUU129" s="70">
        <v>0</v>
      </c>
      <c r="LUV129" s="70">
        <v>0</v>
      </c>
      <c r="LUW129" s="70">
        <v>0</v>
      </c>
      <c r="LUX129" s="70">
        <v>0</v>
      </c>
      <c r="LUY129" s="70">
        <v>0</v>
      </c>
      <c r="LUZ129" s="70">
        <v>0</v>
      </c>
      <c r="LVA129" s="70">
        <v>0</v>
      </c>
      <c r="LVB129" s="70">
        <v>0</v>
      </c>
      <c r="LVC129" s="70">
        <v>0</v>
      </c>
      <c r="LVD129" s="70">
        <v>0</v>
      </c>
      <c r="LVE129" s="70">
        <v>0</v>
      </c>
      <c r="LVF129" s="70">
        <v>0</v>
      </c>
      <c r="LVG129" s="70">
        <v>0</v>
      </c>
      <c r="LVH129" s="70">
        <v>0</v>
      </c>
      <c r="LVI129" s="70">
        <v>0</v>
      </c>
      <c r="LVJ129" s="70">
        <v>0</v>
      </c>
      <c r="LVK129" s="70">
        <v>0</v>
      </c>
      <c r="LVL129" s="70">
        <v>0</v>
      </c>
      <c r="LVM129" s="70">
        <v>0</v>
      </c>
      <c r="LVN129" s="70">
        <v>0</v>
      </c>
      <c r="LVO129" s="70">
        <v>0</v>
      </c>
      <c r="LVP129" s="70">
        <v>0</v>
      </c>
      <c r="LVQ129" s="70">
        <v>0</v>
      </c>
      <c r="LVR129" s="70">
        <v>0</v>
      </c>
      <c r="LVS129" s="70">
        <v>0</v>
      </c>
      <c r="LVT129" s="70">
        <v>0</v>
      </c>
      <c r="LVU129" s="70">
        <v>0</v>
      </c>
      <c r="LVV129" s="70">
        <v>0</v>
      </c>
      <c r="LVW129" s="70">
        <v>0</v>
      </c>
      <c r="LVX129" s="70">
        <v>0</v>
      </c>
      <c r="LVY129" s="70">
        <v>0</v>
      </c>
      <c r="LVZ129" s="70">
        <v>0</v>
      </c>
      <c r="LWA129" s="70">
        <v>0</v>
      </c>
      <c r="LWB129" s="70">
        <v>0</v>
      </c>
      <c r="LWC129" s="70">
        <v>0</v>
      </c>
      <c r="LWD129" s="70">
        <v>0</v>
      </c>
      <c r="LWE129" s="70">
        <v>0</v>
      </c>
      <c r="LWF129" s="70">
        <v>0</v>
      </c>
      <c r="LWG129" s="70">
        <v>0</v>
      </c>
      <c r="LWH129" s="70">
        <v>0</v>
      </c>
      <c r="LWI129" s="70">
        <v>0</v>
      </c>
      <c r="LWJ129" s="70">
        <v>0</v>
      </c>
      <c r="LWK129" s="70">
        <v>0</v>
      </c>
      <c r="LWL129" s="70">
        <v>0</v>
      </c>
      <c r="LWM129" s="70">
        <v>0</v>
      </c>
      <c r="LWN129" s="70">
        <v>0</v>
      </c>
      <c r="LWO129" s="70">
        <v>0</v>
      </c>
      <c r="LWP129" s="70">
        <v>0</v>
      </c>
      <c r="LWQ129" s="70">
        <v>0</v>
      </c>
      <c r="LWR129" s="70">
        <v>0</v>
      </c>
      <c r="LWS129" s="70">
        <v>0</v>
      </c>
      <c r="LWT129" s="70">
        <v>0</v>
      </c>
      <c r="LWU129" s="70">
        <v>0</v>
      </c>
      <c r="LWV129" s="70">
        <v>0</v>
      </c>
      <c r="LWW129" s="70">
        <v>0</v>
      </c>
      <c r="LWX129" s="70">
        <v>0</v>
      </c>
      <c r="LWY129" s="70">
        <v>0</v>
      </c>
      <c r="LWZ129" s="70">
        <v>0</v>
      </c>
      <c r="LXA129" s="70">
        <v>0</v>
      </c>
      <c r="LXB129" s="70">
        <v>0</v>
      </c>
      <c r="LXC129" s="70">
        <v>0</v>
      </c>
      <c r="LXD129" s="70">
        <v>0</v>
      </c>
      <c r="LXE129" s="70">
        <v>0</v>
      </c>
      <c r="LXF129" s="70">
        <v>0</v>
      </c>
      <c r="LXG129" s="70">
        <v>0</v>
      </c>
      <c r="LXH129" s="70">
        <v>0</v>
      </c>
      <c r="LXI129" s="70">
        <v>0</v>
      </c>
      <c r="LXJ129" s="70">
        <v>0</v>
      </c>
      <c r="LXK129" s="70">
        <v>0</v>
      </c>
      <c r="LXL129" s="70">
        <v>0</v>
      </c>
      <c r="LXM129" s="70">
        <v>0</v>
      </c>
      <c r="LXN129" s="70">
        <v>0</v>
      </c>
      <c r="LXO129" s="70">
        <v>0</v>
      </c>
      <c r="LXP129" s="70">
        <v>0</v>
      </c>
      <c r="LXQ129" s="70">
        <v>0</v>
      </c>
      <c r="LXR129" s="70">
        <v>0</v>
      </c>
      <c r="LXS129" s="70">
        <v>0</v>
      </c>
      <c r="LXT129" s="70">
        <v>0</v>
      </c>
      <c r="LXU129" s="70">
        <v>0</v>
      </c>
      <c r="LXV129" s="70">
        <v>0</v>
      </c>
      <c r="LXW129" s="70">
        <v>0</v>
      </c>
      <c r="LXX129" s="70">
        <v>0</v>
      </c>
      <c r="LXY129" s="70">
        <v>0</v>
      </c>
      <c r="LXZ129" s="70">
        <v>0</v>
      </c>
      <c r="LYA129" s="70">
        <v>0</v>
      </c>
      <c r="LYB129" s="70">
        <v>0</v>
      </c>
      <c r="LYC129" s="70">
        <v>0</v>
      </c>
      <c r="LYD129" s="70">
        <v>0</v>
      </c>
      <c r="LYE129" s="70">
        <v>0</v>
      </c>
      <c r="LYF129" s="70">
        <v>0</v>
      </c>
      <c r="LYG129" s="70">
        <v>0</v>
      </c>
      <c r="LYH129" s="70">
        <v>0</v>
      </c>
      <c r="LYI129" s="70">
        <v>0</v>
      </c>
      <c r="LYJ129" s="70">
        <v>0</v>
      </c>
      <c r="LYK129" s="70">
        <v>0</v>
      </c>
      <c r="LYL129" s="70">
        <v>0</v>
      </c>
      <c r="LYM129" s="70">
        <v>0</v>
      </c>
      <c r="LYN129" s="70">
        <v>0</v>
      </c>
      <c r="LYO129" s="70">
        <v>0</v>
      </c>
      <c r="LYP129" s="70">
        <v>0</v>
      </c>
      <c r="LYQ129" s="70">
        <v>0</v>
      </c>
      <c r="LYR129" s="70">
        <v>0</v>
      </c>
      <c r="LYS129" s="70">
        <v>0</v>
      </c>
      <c r="LYT129" s="70">
        <v>0</v>
      </c>
      <c r="LYU129" s="70">
        <v>0</v>
      </c>
      <c r="LYV129" s="70">
        <v>0</v>
      </c>
      <c r="LYW129" s="70">
        <v>0</v>
      </c>
      <c r="LYX129" s="70">
        <v>0</v>
      </c>
      <c r="LYY129" s="70">
        <v>0</v>
      </c>
      <c r="LYZ129" s="70">
        <v>0</v>
      </c>
      <c r="LZA129" s="70">
        <v>0</v>
      </c>
      <c r="LZB129" s="70">
        <v>0</v>
      </c>
      <c r="LZC129" s="70">
        <v>0</v>
      </c>
      <c r="LZD129" s="70">
        <v>0</v>
      </c>
      <c r="LZE129" s="70">
        <v>0</v>
      </c>
      <c r="LZF129" s="70">
        <v>0</v>
      </c>
      <c r="LZG129" s="70">
        <v>0</v>
      </c>
      <c r="LZH129" s="70">
        <v>0</v>
      </c>
      <c r="LZI129" s="70">
        <v>0</v>
      </c>
      <c r="LZJ129" s="70">
        <v>0</v>
      </c>
      <c r="LZK129" s="70">
        <v>0</v>
      </c>
      <c r="LZL129" s="70">
        <v>0</v>
      </c>
      <c r="LZM129" s="70">
        <v>0</v>
      </c>
      <c r="LZN129" s="70">
        <v>0</v>
      </c>
      <c r="LZO129" s="70">
        <v>0</v>
      </c>
      <c r="LZP129" s="70">
        <v>0</v>
      </c>
      <c r="LZQ129" s="70">
        <v>0</v>
      </c>
      <c r="LZR129" s="70">
        <v>0</v>
      </c>
      <c r="LZS129" s="70">
        <v>0</v>
      </c>
      <c r="LZT129" s="70">
        <v>0</v>
      </c>
      <c r="LZU129" s="70">
        <v>0</v>
      </c>
      <c r="LZV129" s="70">
        <v>0</v>
      </c>
      <c r="LZW129" s="70">
        <v>0</v>
      </c>
      <c r="LZX129" s="70">
        <v>0</v>
      </c>
      <c r="LZY129" s="70">
        <v>0</v>
      </c>
      <c r="LZZ129" s="70">
        <v>0</v>
      </c>
      <c r="MAA129" s="70">
        <v>0</v>
      </c>
      <c r="MAB129" s="70">
        <v>0</v>
      </c>
      <c r="MAC129" s="70">
        <v>0</v>
      </c>
      <c r="MAD129" s="70">
        <v>0</v>
      </c>
      <c r="MAE129" s="70">
        <v>0</v>
      </c>
      <c r="MAF129" s="70">
        <v>0</v>
      </c>
      <c r="MAG129" s="70">
        <v>0</v>
      </c>
      <c r="MAH129" s="70">
        <v>0</v>
      </c>
      <c r="MAI129" s="70">
        <v>0</v>
      </c>
      <c r="MAJ129" s="70">
        <v>0</v>
      </c>
      <c r="MAK129" s="70">
        <v>0</v>
      </c>
      <c r="MAL129" s="70">
        <v>0</v>
      </c>
      <c r="MAM129" s="70">
        <v>0</v>
      </c>
      <c r="MAN129" s="70">
        <v>0</v>
      </c>
      <c r="MAO129" s="70">
        <v>0</v>
      </c>
      <c r="MAP129" s="70">
        <v>0</v>
      </c>
      <c r="MAQ129" s="70">
        <v>0</v>
      </c>
      <c r="MAR129" s="70">
        <v>0</v>
      </c>
      <c r="MAS129" s="70">
        <v>0</v>
      </c>
      <c r="MAT129" s="70">
        <v>0</v>
      </c>
      <c r="MAU129" s="70">
        <v>0</v>
      </c>
      <c r="MAV129" s="70">
        <v>0</v>
      </c>
      <c r="MAW129" s="70">
        <v>0</v>
      </c>
      <c r="MAX129" s="70">
        <v>0</v>
      </c>
      <c r="MAY129" s="70">
        <v>0</v>
      </c>
      <c r="MAZ129" s="70">
        <v>0</v>
      </c>
      <c r="MBA129" s="70">
        <v>0</v>
      </c>
      <c r="MBB129" s="70">
        <v>0</v>
      </c>
      <c r="MBC129" s="70">
        <v>0</v>
      </c>
      <c r="MBD129" s="70">
        <v>0</v>
      </c>
      <c r="MBE129" s="70">
        <v>0</v>
      </c>
      <c r="MBF129" s="70">
        <v>0</v>
      </c>
      <c r="MBG129" s="70">
        <v>0</v>
      </c>
      <c r="MBH129" s="70">
        <v>0</v>
      </c>
      <c r="MBI129" s="70">
        <v>0</v>
      </c>
      <c r="MBJ129" s="70">
        <v>0</v>
      </c>
      <c r="MBK129" s="70">
        <v>0</v>
      </c>
      <c r="MBL129" s="70">
        <v>0</v>
      </c>
      <c r="MBM129" s="70">
        <v>0</v>
      </c>
      <c r="MBN129" s="70">
        <v>0</v>
      </c>
      <c r="MBO129" s="70">
        <v>0</v>
      </c>
      <c r="MBP129" s="70">
        <v>0</v>
      </c>
      <c r="MBQ129" s="70">
        <v>0</v>
      </c>
      <c r="MBR129" s="70">
        <v>0</v>
      </c>
      <c r="MBS129" s="70">
        <v>0</v>
      </c>
      <c r="MBT129" s="70">
        <v>0</v>
      </c>
      <c r="MBU129" s="70">
        <v>0</v>
      </c>
      <c r="MBV129" s="70">
        <v>0</v>
      </c>
      <c r="MBW129" s="70">
        <v>0</v>
      </c>
      <c r="MBX129" s="70">
        <v>0</v>
      </c>
      <c r="MBY129" s="70">
        <v>0</v>
      </c>
      <c r="MBZ129" s="70">
        <v>0</v>
      </c>
      <c r="MCA129" s="70">
        <v>0</v>
      </c>
      <c r="MCB129" s="70">
        <v>0</v>
      </c>
      <c r="MCC129" s="70">
        <v>0</v>
      </c>
      <c r="MCD129" s="70">
        <v>0</v>
      </c>
      <c r="MCE129" s="70">
        <v>0</v>
      </c>
      <c r="MCF129" s="70">
        <v>0</v>
      </c>
      <c r="MCG129" s="70">
        <v>0</v>
      </c>
      <c r="MCH129" s="70">
        <v>0</v>
      </c>
      <c r="MCI129" s="70">
        <v>0</v>
      </c>
      <c r="MCJ129" s="70">
        <v>0</v>
      </c>
      <c r="MCK129" s="70">
        <v>0</v>
      </c>
      <c r="MCL129" s="70">
        <v>0</v>
      </c>
      <c r="MCM129" s="70">
        <v>0</v>
      </c>
      <c r="MCN129" s="70">
        <v>0</v>
      </c>
      <c r="MCO129" s="70">
        <v>0</v>
      </c>
      <c r="MCP129" s="70">
        <v>0</v>
      </c>
      <c r="MCQ129" s="70">
        <v>0</v>
      </c>
      <c r="MCR129" s="70">
        <v>0</v>
      </c>
      <c r="MCS129" s="70">
        <v>0</v>
      </c>
      <c r="MCT129" s="70">
        <v>0</v>
      </c>
      <c r="MCU129" s="70">
        <v>0</v>
      </c>
      <c r="MCV129" s="70">
        <v>0</v>
      </c>
      <c r="MCW129" s="70">
        <v>0</v>
      </c>
      <c r="MCX129" s="70">
        <v>0</v>
      </c>
      <c r="MCY129" s="70">
        <v>0</v>
      </c>
      <c r="MCZ129" s="70">
        <v>0</v>
      </c>
      <c r="MDA129" s="70">
        <v>0</v>
      </c>
      <c r="MDB129" s="70">
        <v>0</v>
      </c>
      <c r="MDC129" s="70">
        <v>0</v>
      </c>
      <c r="MDD129" s="70">
        <v>0</v>
      </c>
      <c r="MDE129" s="70">
        <v>0</v>
      </c>
      <c r="MDF129" s="70">
        <v>0</v>
      </c>
      <c r="MDG129" s="70">
        <v>0</v>
      </c>
      <c r="MDH129" s="70">
        <v>0</v>
      </c>
      <c r="MDI129" s="70">
        <v>0</v>
      </c>
      <c r="MDJ129" s="70">
        <v>0</v>
      </c>
      <c r="MDK129" s="70">
        <v>0</v>
      </c>
      <c r="MDL129" s="70">
        <v>0</v>
      </c>
      <c r="MDM129" s="70">
        <v>0</v>
      </c>
      <c r="MDN129" s="70">
        <v>0</v>
      </c>
      <c r="MDO129" s="70">
        <v>0</v>
      </c>
      <c r="MDP129" s="70">
        <v>0</v>
      </c>
      <c r="MDQ129" s="70">
        <v>0</v>
      </c>
      <c r="MDR129" s="70">
        <v>0</v>
      </c>
      <c r="MDS129" s="70">
        <v>0</v>
      </c>
      <c r="MDT129" s="70">
        <v>0</v>
      </c>
      <c r="MDU129" s="70">
        <v>0</v>
      </c>
      <c r="MDV129" s="70">
        <v>0</v>
      </c>
      <c r="MDW129" s="70">
        <v>0</v>
      </c>
      <c r="MDX129" s="70">
        <v>0</v>
      </c>
      <c r="MDY129" s="70">
        <v>0</v>
      </c>
      <c r="MDZ129" s="70">
        <v>0</v>
      </c>
      <c r="MEA129" s="70">
        <v>0</v>
      </c>
      <c r="MEB129" s="70">
        <v>0</v>
      </c>
      <c r="MEC129" s="70">
        <v>0</v>
      </c>
      <c r="MED129" s="70">
        <v>0</v>
      </c>
      <c r="MEE129" s="70">
        <v>0</v>
      </c>
      <c r="MEF129" s="70">
        <v>0</v>
      </c>
      <c r="MEG129" s="70">
        <v>0</v>
      </c>
      <c r="MEH129" s="70">
        <v>0</v>
      </c>
      <c r="MEI129" s="70">
        <v>0</v>
      </c>
      <c r="MEJ129" s="70">
        <v>0</v>
      </c>
      <c r="MEK129" s="70">
        <v>0</v>
      </c>
      <c r="MEL129" s="70">
        <v>0</v>
      </c>
      <c r="MEM129" s="70">
        <v>0</v>
      </c>
      <c r="MEN129" s="70">
        <v>0</v>
      </c>
      <c r="MEO129" s="70">
        <v>0</v>
      </c>
      <c r="MEP129" s="70">
        <v>0</v>
      </c>
      <c r="MEQ129" s="70">
        <v>0</v>
      </c>
      <c r="MER129" s="70">
        <v>0</v>
      </c>
      <c r="MES129" s="70">
        <v>0</v>
      </c>
      <c r="MET129" s="70">
        <v>0</v>
      </c>
      <c r="MEU129" s="70">
        <v>0</v>
      </c>
      <c r="MEV129" s="70">
        <v>0</v>
      </c>
      <c r="MEW129" s="70">
        <v>0</v>
      </c>
      <c r="MEX129" s="70">
        <v>0</v>
      </c>
      <c r="MEY129" s="70">
        <v>0</v>
      </c>
      <c r="MEZ129" s="70">
        <v>0</v>
      </c>
      <c r="MFA129" s="70">
        <v>0</v>
      </c>
      <c r="MFB129" s="70">
        <v>0</v>
      </c>
      <c r="MFC129" s="70">
        <v>0</v>
      </c>
      <c r="MFD129" s="70">
        <v>0</v>
      </c>
      <c r="MFE129" s="70">
        <v>0</v>
      </c>
      <c r="MFF129" s="70">
        <v>0</v>
      </c>
      <c r="MFG129" s="70">
        <v>0</v>
      </c>
      <c r="MFH129" s="70">
        <v>0</v>
      </c>
      <c r="MFI129" s="70">
        <v>0</v>
      </c>
      <c r="MFJ129" s="70">
        <v>0</v>
      </c>
      <c r="MFK129" s="70">
        <v>0</v>
      </c>
      <c r="MFL129" s="70">
        <v>0</v>
      </c>
      <c r="MFM129" s="70">
        <v>0</v>
      </c>
      <c r="MFN129" s="70">
        <v>0</v>
      </c>
      <c r="MFO129" s="70">
        <v>0</v>
      </c>
      <c r="MFP129" s="70">
        <v>0</v>
      </c>
      <c r="MFQ129" s="70">
        <v>0</v>
      </c>
      <c r="MFR129" s="70">
        <v>0</v>
      </c>
      <c r="MFS129" s="70">
        <v>0</v>
      </c>
      <c r="MFT129" s="70">
        <v>0</v>
      </c>
      <c r="MFU129" s="70">
        <v>0</v>
      </c>
      <c r="MFV129" s="70">
        <v>0</v>
      </c>
      <c r="MFW129" s="70">
        <v>0</v>
      </c>
      <c r="MFX129" s="70">
        <v>0</v>
      </c>
      <c r="MFY129" s="70">
        <v>0</v>
      </c>
      <c r="MFZ129" s="70">
        <v>0</v>
      </c>
      <c r="MGA129" s="70">
        <v>0</v>
      </c>
      <c r="MGB129" s="70">
        <v>0</v>
      </c>
      <c r="MGC129" s="70">
        <v>0</v>
      </c>
      <c r="MGD129" s="70">
        <v>0</v>
      </c>
      <c r="MGE129" s="70">
        <v>0</v>
      </c>
      <c r="MGF129" s="70">
        <v>0</v>
      </c>
      <c r="MGG129" s="70">
        <v>0</v>
      </c>
      <c r="MGH129" s="70">
        <v>0</v>
      </c>
      <c r="MGI129" s="70">
        <v>0</v>
      </c>
      <c r="MGJ129" s="70">
        <v>0</v>
      </c>
      <c r="MGK129" s="70">
        <v>0</v>
      </c>
      <c r="MGL129" s="70">
        <v>0</v>
      </c>
      <c r="MGM129" s="70">
        <v>0</v>
      </c>
      <c r="MGN129" s="70">
        <v>0</v>
      </c>
      <c r="MGO129" s="70">
        <v>0</v>
      </c>
      <c r="MGP129" s="70">
        <v>0</v>
      </c>
      <c r="MGQ129" s="70">
        <v>0</v>
      </c>
      <c r="MGR129" s="70">
        <v>0</v>
      </c>
      <c r="MGS129" s="70">
        <v>0</v>
      </c>
      <c r="MGT129" s="70">
        <v>0</v>
      </c>
      <c r="MGU129" s="70">
        <v>0</v>
      </c>
      <c r="MGV129" s="70">
        <v>0</v>
      </c>
      <c r="MGW129" s="70">
        <v>0</v>
      </c>
      <c r="MGX129" s="70">
        <v>0</v>
      </c>
      <c r="MGY129" s="70">
        <v>0</v>
      </c>
      <c r="MGZ129" s="70">
        <v>0</v>
      </c>
      <c r="MHA129" s="70">
        <v>0</v>
      </c>
      <c r="MHB129" s="70">
        <v>0</v>
      </c>
      <c r="MHC129" s="70">
        <v>0</v>
      </c>
      <c r="MHD129" s="70">
        <v>0</v>
      </c>
      <c r="MHE129" s="70">
        <v>0</v>
      </c>
      <c r="MHF129" s="70">
        <v>0</v>
      </c>
      <c r="MHG129" s="70">
        <v>0</v>
      </c>
      <c r="MHH129" s="70">
        <v>0</v>
      </c>
      <c r="MHI129" s="70">
        <v>0</v>
      </c>
      <c r="MHJ129" s="70">
        <v>0</v>
      </c>
      <c r="MHK129" s="70">
        <v>0</v>
      </c>
      <c r="MHL129" s="70">
        <v>0</v>
      </c>
      <c r="MHM129" s="70">
        <v>0</v>
      </c>
      <c r="MHN129" s="70">
        <v>0</v>
      </c>
      <c r="MHO129" s="70">
        <v>0</v>
      </c>
      <c r="MHP129" s="70">
        <v>0</v>
      </c>
      <c r="MHQ129" s="70">
        <v>0</v>
      </c>
      <c r="MHR129" s="70">
        <v>0</v>
      </c>
      <c r="MHS129" s="70">
        <v>0</v>
      </c>
      <c r="MHT129" s="70">
        <v>0</v>
      </c>
      <c r="MHU129" s="70">
        <v>0</v>
      </c>
      <c r="MHV129" s="70">
        <v>0</v>
      </c>
      <c r="MHW129" s="70">
        <v>0</v>
      </c>
      <c r="MHX129" s="70">
        <v>0</v>
      </c>
      <c r="MHY129" s="70">
        <v>0</v>
      </c>
      <c r="MHZ129" s="70">
        <v>0</v>
      </c>
      <c r="MIA129" s="70">
        <v>0</v>
      </c>
      <c r="MIB129" s="70">
        <v>0</v>
      </c>
      <c r="MIC129" s="70">
        <v>0</v>
      </c>
      <c r="MID129" s="70">
        <v>0</v>
      </c>
      <c r="MIE129" s="70">
        <v>0</v>
      </c>
      <c r="MIF129" s="70">
        <v>0</v>
      </c>
      <c r="MIG129" s="70">
        <v>0</v>
      </c>
      <c r="MIH129" s="70">
        <v>0</v>
      </c>
      <c r="MII129" s="70">
        <v>0</v>
      </c>
      <c r="MIJ129" s="70">
        <v>0</v>
      </c>
      <c r="MIK129" s="70">
        <v>0</v>
      </c>
      <c r="MIL129" s="70">
        <v>0</v>
      </c>
      <c r="MIM129" s="70">
        <v>0</v>
      </c>
      <c r="MIN129" s="70">
        <v>0</v>
      </c>
      <c r="MIO129" s="70">
        <v>0</v>
      </c>
      <c r="MIP129" s="70">
        <v>0</v>
      </c>
      <c r="MIQ129" s="70">
        <v>0</v>
      </c>
      <c r="MIR129" s="70">
        <v>0</v>
      </c>
      <c r="MIS129" s="70">
        <v>0</v>
      </c>
      <c r="MIT129" s="70">
        <v>0</v>
      </c>
      <c r="MIU129" s="70">
        <v>0</v>
      </c>
      <c r="MIV129" s="70">
        <v>0</v>
      </c>
      <c r="MIW129" s="70">
        <v>0</v>
      </c>
      <c r="MIX129" s="70">
        <v>0</v>
      </c>
      <c r="MIY129" s="70">
        <v>0</v>
      </c>
      <c r="MIZ129" s="70">
        <v>0</v>
      </c>
      <c r="MJA129" s="70">
        <v>0</v>
      </c>
      <c r="MJB129" s="70">
        <v>0</v>
      </c>
      <c r="MJC129" s="70">
        <v>0</v>
      </c>
      <c r="MJD129" s="70">
        <v>0</v>
      </c>
      <c r="MJE129" s="70">
        <v>0</v>
      </c>
      <c r="MJF129" s="70">
        <v>0</v>
      </c>
      <c r="MJG129" s="70">
        <v>0</v>
      </c>
      <c r="MJH129" s="70">
        <v>0</v>
      </c>
      <c r="MJI129" s="70">
        <v>0</v>
      </c>
      <c r="MJJ129" s="70">
        <v>0</v>
      </c>
      <c r="MJK129" s="70">
        <v>0</v>
      </c>
      <c r="MJL129" s="70">
        <v>0</v>
      </c>
      <c r="MJM129" s="70">
        <v>0</v>
      </c>
      <c r="MJN129" s="70">
        <v>0</v>
      </c>
      <c r="MJO129" s="70">
        <v>0</v>
      </c>
      <c r="MJP129" s="70">
        <v>0</v>
      </c>
      <c r="MJQ129" s="70">
        <v>0</v>
      </c>
      <c r="MJR129" s="70">
        <v>0</v>
      </c>
      <c r="MJS129" s="70">
        <v>0</v>
      </c>
      <c r="MJT129" s="70">
        <v>0</v>
      </c>
      <c r="MJU129" s="70">
        <v>0</v>
      </c>
      <c r="MJV129" s="70">
        <v>0</v>
      </c>
      <c r="MJW129" s="70">
        <v>0</v>
      </c>
      <c r="MJX129" s="70">
        <v>0</v>
      </c>
      <c r="MJY129" s="70">
        <v>0</v>
      </c>
      <c r="MJZ129" s="70">
        <v>0</v>
      </c>
      <c r="MKA129" s="70">
        <v>0</v>
      </c>
      <c r="MKB129" s="70">
        <v>0</v>
      </c>
      <c r="MKC129" s="70">
        <v>0</v>
      </c>
      <c r="MKD129" s="70">
        <v>0</v>
      </c>
      <c r="MKE129" s="70">
        <v>0</v>
      </c>
      <c r="MKF129" s="70">
        <v>0</v>
      </c>
      <c r="MKG129" s="70">
        <v>0</v>
      </c>
      <c r="MKH129" s="70">
        <v>0</v>
      </c>
      <c r="MKI129" s="70">
        <v>0</v>
      </c>
      <c r="MKJ129" s="70">
        <v>0</v>
      </c>
      <c r="MKK129" s="70">
        <v>0</v>
      </c>
      <c r="MKL129" s="70">
        <v>0</v>
      </c>
      <c r="MKM129" s="70">
        <v>0</v>
      </c>
      <c r="MKN129" s="70">
        <v>0</v>
      </c>
      <c r="MKO129" s="70">
        <v>0</v>
      </c>
      <c r="MKP129" s="70">
        <v>0</v>
      </c>
      <c r="MKQ129" s="70">
        <v>0</v>
      </c>
      <c r="MKR129" s="70">
        <v>0</v>
      </c>
      <c r="MKS129" s="70">
        <v>0</v>
      </c>
      <c r="MKT129" s="70">
        <v>0</v>
      </c>
      <c r="MKU129" s="70">
        <v>0</v>
      </c>
      <c r="MKV129" s="70">
        <v>0</v>
      </c>
      <c r="MKW129" s="70">
        <v>0</v>
      </c>
      <c r="MKX129" s="70">
        <v>0</v>
      </c>
      <c r="MKY129" s="70">
        <v>0</v>
      </c>
      <c r="MKZ129" s="70">
        <v>0</v>
      </c>
      <c r="MLA129" s="70">
        <v>0</v>
      </c>
      <c r="MLB129" s="70">
        <v>0</v>
      </c>
      <c r="MLC129" s="70">
        <v>0</v>
      </c>
      <c r="MLD129" s="70">
        <v>0</v>
      </c>
      <c r="MLE129" s="70">
        <v>0</v>
      </c>
      <c r="MLF129" s="70">
        <v>0</v>
      </c>
      <c r="MLG129" s="70">
        <v>0</v>
      </c>
      <c r="MLH129" s="70">
        <v>0</v>
      </c>
      <c r="MLI129" s="70">
        <v>0</v>
      </c>
      <c r="MLJ129" s="70">
        <v>0</v>
      </c>
      <c r="MLK129" s="70">
        <v>0</v>
      </c>
      <c r="MLL129" s="70">
        <v>0</v>
      </c>
      <c r="MLM129" s="70">
        <v>0</v>
      </c>
      <c r="MLN129" s="70">
        <v>0</v>
      </c>
      <c r="MLO129" s="70">
        <v>0</v>
      </c>
      <c r="MLP129" s="70">
        <v>0</v>
      </c>
      <c r="MLQ129" s="70">
        <v>0</v>
      </c>
      <c r="MLR129" s="70">
        <v>0</v>
      </c>
      <c r="MLS129" s="70">
        <v>0</v>
      </c>
      <c r="MLT129" s="70">
        <v>0</v>
      </c>
      <c r="MLU129" s="70">
        <v>0</v>
      </c>
      <c r="MLV129" s="70">
        <v>0</v>
      </c>
      <c r="MLW129" s="70">
        <v>0</v>
      </c>
      <c r="MLX129" s="70">
        <v>0</v>
      </c>
      <c r="MLY129" s="70">
        <v>0</v>
      </c>
      <c r="MLZ129" s="70">
        <v>0</v>
      </c>
      <c r="MMA129" s="70">
        <v>0</v>
      </c>
      <c r="MMB129" s="70">
        <v>0</v>
      </c>
      <c r="MMC129" s="70">
        <v>0</v>
      </c>
      <c r="MMD129" s="70">
        <v>0</v>
      </c>
      <c r="MME129" s="70">
        <v>0</v>
      </c>
      <c r="MMF129" s="70">
        <v>0</v>
      </c>
      <c r="MMG129" s="70">
        <v>0</v>
      </c>
      <c r="MMH129" s="70">
        <v>0</v>
      </c>
      <c r="MMI129" s="70">
        <v>0</v>
      </c>
      <c r="MMJ129" s="70">
        <v>0</v>
      </c>
      <c r="MMK129" s="70">
        <v>0</v>
      </c>
      <c r="MML129" s="70">
        <v>0</v>
      </c>
      <c r="MMM129" s="70">
        <v>0</v>
      </c>
      <c r="MMN129" s="70">
        <v>0</v>
      </c>
      <c r="MMO129" s="70">
        <v>0</v>
      </c>
      <c r="MMP129" s="70">
        <v>0</v>
      </c>
      <c r="MMQ129" s="70">
        <v>0</v>
      </c>
      <c r="MMR129" s="70">
        <v>0</v>
      </c>
      <c r="MMS129" s="70">
        <v>0</v>
      </c>
      <c r="MMT129" s="70">
        <v>0</v>
      </c>
      <c r="MMU129" s="70">
        <v>0</v>
      </c>
      <c r="MMV129" s="70">
        <v>0</v>
      </c>
      <c r="MMW129" s="70">
        <v>0</v>
      </c>
      <c r="MMX129" s="70">
        <v>0</v>
      </c>
      <c r="MMY129" s="70">
        <v>0</v>
      </c>
      <c r="MMZ129" s="70">
        <v>0</v>
      </c>
      <c r="MNA129" s="70">
        <v>0</v>
      </c>
      <c r="MNB129" s="70">
        <v>0</v>
      </c>
      <c r="MNC129" s="70">
        <v>0</v>
      </c>
      <c r="MND129" s="70">
        <v>0</v>
      </c>
      <c r="MNE129" s="70">
        <v>0</v>
      </c>
      <c r="MNF129" s="70">
        <v>0</v>
      </c>
      <c r="MNG129" s="70">
        <v>0</v>
      </c>
      <c r="MNH129" s="70">
        <v>0</v>
      </c>
      <c r="MNI129" s="70">
        <v>0</v>
      </c>
      <c r="MNJ129" s="70">
        <v>0</v>
      </c>
      <c r="MNK129" s="70">
        <v>0</v>
      </c>
      <c r="MNL129" s="70">
        <v>0</v>
      </c>
      <c r="MNM129" s="70">
        <v>0</v>
      </c>
      <c r="MNN129" s="70">
        <v>0</v>
      </c>
      <c r="MNO129" s="70">
        <v>0</v>
      </c>
      <c r="MNP129" s="70">
        <v>0</v>
      </c>
      <c r="MNQ129" s="70">
        <v>0</v>
      </c>
      <c r="MNR129" s="70">
        <v>0</v>
      </c>
      <c r="MNS129" s="70">
        <v>0</v>
      </c>
      <c r="MNT129" s="70">
        <v>0</v>
      </c>
      <c r="MNU129" s="70">
        <v>0</v>
      </c>
      <c r="MNV129" s="70">
        <v>0</v>
      </c>
      <c r="MNW129" s="70">
        <v>0</v>
      </c>
      <c r="MNX129" s="70">
        <v>0</v>
      </c>
      <c r="MNY129" s="70">
        <v>0</v>
      </c>
      <c r="MNZ129" s="70">
        <v>0</v>
      </c>
      <c r="MOA129" s="70">
        <v>0</v>
      </c>
      <c r="MOB129" s="70">
        <v>0</v>
      </c>
      <c r="MOC129" s="70">
        <v>0</v>
      </c>
      <c r="MOD129" s="70">
        <v>0</v>
      </c>
      <c r="MOE129" s="70">
        <v>0</v>
      </c>
      <c r="MOF129" s="70">
        <v>0</v>
      </c>
      <c r="MOG129" s="70">
        <v>0</v>
      </c>
      <c r="MOH129" s="70">
        <v>0</v>
      </c>
      <c r="MOI129" s="70">
        <v>0</v>
      </c>
      <c r="MOJ129" s="70">
        <v>0</v>
      </c>
      <c r="MOK129" s="70">
        <v>0</v>
      </c>
      <c r="MOL129" s="70">
        <v>0</v>
      </c>
      <c r="MOM129" s="70">
        <v>0</v>
      </c>
      <c r="MON129" s="70">
        <v>0</v>
      </c>
      <c r="MOO129" s="70">
        <v>0</v>
      </c>
      <c r="MOP129" s="70">
        <v>0</v>
      </c>
      <c r="MOQ129" s="70">
        <v>0</v>
      </c>
      <c r="MOR129" s="70">
        <v>0</v>
      </c>
      <c r="MOS129" s="70">
        <v>0</v>
      </c>
      <c r="MOT129" s="70">
        <v>0</v>
      </c>
      <c r="MOU129" s="70">
        <v>0</v>
      </c>
      <c r="MOV129" s="70">
        <v>0</v>
      </c>
      <c r="MOW129" s="70">
        <v>0</v>
      </c>
      <c r="MOX129" s="70">
        <v>0</v>
      </c>
      <c r="MOY129" s="70">
        <v>0</v>
      </c>
      <c r="MOZ129" s="70">
        <v>0</v>
      </c>
      <c r="MPA129" s="70">
        <v>0</v>
      </c>
      <c r="MPB129" s="70">
        <v>0</v>
      </c>
      <c r="MPC129" s="70">
        <v>0</v>
      </c>
      <c r="MPD129" s="70">
        <v>0</v>
      </c>
      <c r="MPE129" s="70">
        <v>0</v>
      </c>
      <c r="MPF129" s="70">
        <v>0</v>
      </c>
      <c r="MPG129" s="70">
        <v>0</v>
      </c>
      <c r="MPH129" s="70">
        <v>0</v>
      </c>
      <c r="MPI129" s="70">
        <v>0</v>
      </c>
      <c r="MPJ129" s="70">
        <v>0</v>
      </c>
      <c r="MPK129" s="70">
        <v>0</v>
      </c>
      <c r="MPL129" s="70">
        <v>0</v>
      </c>
      <c r="MPM129" s="70">
        <v>0</v>
      </c>
      <c r="MPN129" s="70">
        <v>0</v>
      </c>
      <c r="MPO129" s="70">
        <v>0</v>
      </c>
      <c r="MPP129" s="70">
        <v>0</v>
      </c>
      <c r="MPQ129" s="70">
        <v>0</v>
      </c>
      <c r="MPR129" s="70">
        <v>0</v>
      </c>
      <c r="MPS129" s="70">
        <v>0</v>
      </c>
      <c r="MPT129" s="70">
        <v>0</v>
      </c>
      <c r="MPU129" s="70">
        <v>0</v>
      </c>
      <c r="MPV129" s="70">
        <v>0</v>
      </c>
      <c r="MPW129" s="70">
        <v>0</v>
      </c>
      <c r="MPX129" s="70">
        <v>0</v>
      </c>
      <c r="MPY129" s="70">
        <v>0</v>
      </c>
      <c r="MPZ129" s="70">
        <v>0</v>
      </c>
      <c r="MQA129" s="70">
        <v>0</v>
      </c>
      <c r="MQB129" s="70">
        <v>0</v>
      </c>
      <c r="MQC129" s="70">
        <v>0</v>
      </c>
      <c r="MQD129" s="70">
        <v>0</v>
      </c>
      <c r="MQE129" s="70">
        <v>0</v>
      </c>
      <c r="MQF129" s="70">
        <v>0</v>
      </c>
      <c r="MQG129" s="70">
        <v>0</v>
      </c>
      <c r="MQH129" s="70">
        <v>0</v>
      </c>
      <c r="MQI129" s="70">
        <v>0</v>
      </c>
      <c r="MQJ129" s="70">
        <v>0</v>
      </c>
      <c r="MQK129" s="70">
        <v>0</v>
      </c>
      <c r="MQL129" s="70">
        <v>0</v>
      </c>
      <c r="MQM129" s="70">
        <v>0</v>
      </c>
      <c r="MQN129" s="70">
        <v>0</v>
      </c>
      <c r="MQO129" s="70">
        <v>0</v>
      </c>
      <c r="MQP129" s="70">
        <v>0</v>
      </c>
      <c r="MQQ129" s="70">
        <v>0</v>
      </c>
      <c r="MQR129" s="70">
        <v>0</v>
      </c>
      <c r="MQS129" s="70">
        <v>0</v>
      </c>
      <c r="MQT129" s="70">
        <v>0</v>
      </c>
      <c r="MQU129" s="70">
        <v>0</v>
      </c>
      <c r="MQV129" s="70">
        <v>0</v>
      </c>
      <c r="MQW129" s="70">
        <v>0</v>
      </c>
      <c r="MQX129" s="70">
        <v>0</v>
      </c>
      <c r="MQY129" s="70">
        <v>0</v>
      </c>
      <c r="MQZ129" s="70">
        <v>0</v>
      </c>
      <c r="MRA129" s="70">
        <v>0</v>
      </c>
      <c r="MRB129" s="70">
        <v>0</v>
      </c>
      <c r="MRC129" s="70">
        <v>0</v>
      </c>
      <c r="MRD129" s="70">
        <v>0</v>
      </c>
      <c r="MRE129" s="70">
        <v>0</v>
      </c>
      <c r="MRF129" s="70">
        <v>0</v>
      </c>
      <c r="MRG129" s="70">
        <v>0</v>
      </c>
      <c r="MRH129" s="70">
        <v>0</v>
      </c>
      <c r="MRI129" s="70">
        <v>0</v>
      </c>
      <c r="MRJ129" s="70">
        <v>0</v>
      </c>
      <c r="MRK129" s="70">
        <v>0</v>
      </c>
      <c r="MRL129" s="70">
        <v>0</v>
      </c>
      <c r="MRM129" s="70">
        <v>0</v>
      </c>
      <c r="MRN129" s="70">
        <v>0</v>
      </c>
      <c r="MRO129" s="70">
        <v>0</v>
      </c>
      <c r="MRP129" s="70">
        <v>0</v>
      </c>
      <c r="MRQ129" s="70">
        <v>0</v>
      </c>
      <c r="MRR129" s="70">
        <v>0</v>
      </c>
      <c r="MRS129" s="70">
        <v>0</v>
      </c>
      <c r="MRT129" s="70">
        <v>0</v>
      </c>
      <c r="MRU129" s="70">
        <v>0</v>
      </c>
      <c r="MRV129" s="70">
        <v>0</v>
      </c>
      <c r="MRW129" s="70">
        <v>0</v>
      </c>
      <c r="MRX129" s="70">
        <v>0</v>
      </c>
      <c r="MRY129" s="70">
        <v>0</v>
      </c>
      <c r="MRZ129" s="70">
        <v>0</v>
      </c>
      <c r="MSA129" s="70">
        <v>0</v>
      </c>
      <c r="MSB129" s="70">
        <v>0</v>
      </c>
      <c r="MSC129" s="70">
        <v>0</v>
      </c>
      <c r="MSD129" s="70">
        <v>0</v>
      </c>
      <c r="MSE129" s="70">
        <v>0</v>
      </c>
      <c r="MSF129" s="70">
        <v>0</v>
      </c>
      <c r="MSG129" s="70">
        <v>0</v>
      </c>
      <c r="MSH129" s="70">
        <v>0</v>
      </c>
      <c r="MSI129" s="70">
        <v>0</v>
      </c>
      <c r="MSJ129" s="70">
        <v>0</v>
      </c>
      <c r="MSK129" s="70">
        <v>0</v>
      </c>
      <c r="MSL129" s="70">
        <v>0</v>
      </c>
      <c r="MSM129" s="70">
        <v>0</v>
      </c>
      <c r="MSN129" s="70">
        <v>0</v>
      </c>
      <c r="MSO129" s="70">
        <v>0</v>
      </c>
      <c r="MSP129" s="70">
        <v>0</v>
      </c>
      <c r="MSQ129" s="70">
        <v>0</v>
      </c>
      <c r="MSR129" s="70">
        <v>0</v>
      </c>
      <c r="MSS129" s="70">
        <v>0</v>
      </c>
      <c r="MST129" s="70">
        <v>0</v>
      </c>
      <c r="MSU129" s="70">
        <v>0</v>
      </c>
      <c r="MSV129" s="70">
        <v>0</v>
      </c>
      <c r="MSW129" s="70">
        <v>0</v>
      </c>
      <c r="MSX129" s="70">
        <v>0</v>
      </c>
      <c r="MSY129" s="70">
        <v>0</v>
      </c>
      <c r="MSZ129" s="70">
        <v>0</v>
      </c>
      <c r="MTA129" s="70">
        <v>0</v>
      </c>
      <c r="MTB129" s="70">
        <v>0</v>
      </c>
      <c r="MTC129" s="70">
        <v>0</v>
      </c>
      <c r="MTD129" s="70">
        <v>0</v>
      </c>
      <c r="MTE129" s="70">
        <v>0</v>
      </c>
      <c r="MTF129" s="70">
        <v>0</v>
      </c>
      <c r="MTG129" s="70">
        <v>0</v>
      </c>
      <c r="MTH129" s="70">
        <v>0</v>
      </c>
      <c r="MTI129" s="70">
        <v>0</v>
      </c>
      <c r="MTJ129" s="70">
        <v>0</v>
      </c>
      <c r="MTK129" s="70">
        <v>0</v>
      </c>
      <c r="MTL129" s="70">
        <v>0</v>
      </c>
      <c r="MTM129" s="70">
        <v>0</v>
      </c>
      <c r="MTN129" s="70">
        <v>0</v>
      </c>
      <c r="MTO129" s="70">
        <v>0</v>
      </c>
      <c r="MTP129" s="70">
        <v>0</v>
      </c>
      <c r="MTQ129" s="70">
        <v>0</v>
      </c>
      <c r="MTR129" s="70">
        <v>0</v>
      </c>
      <c r="MTS129" s="70">
        <v>0</v>
      </c>
      <c r="MTT129" s="70">
        <v>0</v>
      </c>
      <c r="MTU129" s="70">
        <v>0</v>
      </c>
      <c r="MTV129" s="70">
        <v>0</v>
      </c>
      <c r="MTW129" s="70">
        <v>0</v>
      </c>
      <c r="MTX129" s="70">
        <v>0</v>
      </c>
      <c r="MTY129" s="70">
        <v>0</v>
      </c>
      <c r="MTZ129" s="70">
        <v>0</v>
      </c>
      <c r="MUA129" s="70">
        <v>0</v>
      </c>
      <c r="MUB129" s="70">
        <v>0</v>
      </c>
      <c r="MUC129" s="70">
        <v>0</v>
      </c>
      <c r="MUD129" s="70">
        <v>0</v>
      </c>
      <c r="MUE129" s="70">
        <v>0</v>
      </c>
      <c r="MUF129" s="70">
        <v>0</v>
      </c>
      <c r="MUG129" s="70">
        <v>0</v>
      </c>
      <c r="MUH129" s="70">
        <v>0</v>
      </c>
      <c r="MUI129" s="70">
        <v>0</v>
      </c>
      <c r="MUJ129" s="70">
        <v>0</v>
      </c>
      <c r="MUK129" s="70">
        <v>0</v>
      </c>
      <c r="MUL129" s="70">
        <v>0</v>
      </c>
      <c r="MUM129" s="70">
        <v>0</v>
      </c>
      <c r="MUN129" s="70">
        <v>0</v>
      </c>
      <c r="MUO129" s="70">
        <v>0</v>
      </c>
      <c r="MUP129" s="70">
        <v>0</v>
      </c>
      <c r="MUQ129" s="70">
        <v>0</v>
      </c>
      <c r="MUR129" s="70">
        <v>0</v>
      </c>
      <c r="MUS129" s="70">
        <v>0</v>
      </c>
      <c r="MUT129" s="70">
        <v>0</v>
      </c>
      <c r="MUU129" s="70">
        <v>0</v>
      </c>
      <c r="MUV129" s="70">
        <v>0</v>
      </c>
      <c r="MUW129" s="70">
        <v>0</v>
      </c>
      <c r="MUX129" s="70">
        <v>0</v>
      </c>
      <c r="MUY129" s="70">
        <v>0</v>
      </c>
      <c r="MUZ129" s="70">
        <v>0</v>
      </c>
      <c r="MVA129" s="70">
        <v>0</v>
      </c>
      <c r="MVB129" s="70">
        <v>0</v>
      </c>
      <c r="MVC129" s="70">
        <v>0</v>
      </c>
      <c r="MVD129" s="70">
        <v>0</v>
      </c>
      <c r="MVE129" s="70">
        <v>0</v>
      </c>
      <c r="MVF129" s="70">
        <v>0</v>
      </c>
      <c r="MVG129" s="70">
        <v>0</v>
      </c>
      <c r="MVH129" s="70">
        <v>0</v>
      </c>
      <c r="MVI129" s="70">
        <v>0</v>
      </c>
      <c r="MVJ129" s="70">
        <v>0</v>
      </c>
      <c r="MVK129" s="70">
        <v>0</v>
      </c>
      <c r="MVL129" s="70">
        <v>0</v>
      </c>
      <c r="MVM129" s="70">
        <v>0</v>
      </c>
      <c r="MVN129" s="70">
        <v>0</v>
      </c>
      <c r="MVO129" s="70">
        <v>0</v>
      </c>
      <c r="MVP129" s="70">
        <v>0</v>
      </c>
      <c r="MVQ129" s="70">
        <v>0</v>
      </c>
      <c r="MVR129" s="70">
        <v>0</v>
      </c>
      <c r="MVS129" s="70">
        <v>0</v>
      </c>
      <c r="MVT129" s="70">
        <v>0</v>
      </c>
      <c r="MVU129" s="70">
        <v>0</v>
      </c>
      <c r="MVV129" s="70">
        <v>0</v>
      </c>
      <c r="MVW129" s="70">
        <v>0</v>
      </c>
      <c r="MVX129" s="70">
        <v>0</v>
      </c>
      <c r="MVY129" s="70">
        <v>0</v>
      </c>
      <c r="MVZ129" s="70">
        <v>0</v>
      </c>
      <c r="MWA129" s="70">
        <v>0</v>
      </c>
      <c r="MWB129" s="70">
        <v>0</v>
      </c>
      <c r="MWC129" s="70">
        <v>0</v>
      </c>
      <c r="MWD129" s="70">
        <v>0</v>
      </c>
      <c r="MWE129" s="70">
        <v>0</v>
      </c>
      <c r="MWF129" s="70">
        <v>0</v>
      </c>
      <c r="MWG129" s="70">
        <v>0</v>
      </c>
      <c r="MWH129" s="70">
        <v>0</v>
      </c>
      <c r="MWI129" s="70">
        <v>0</v>
      </c>
      <c r="MWJ129" s="70">
        <v>0</v>
      </c>
      <c r="MWK129" s="70">
        <v>0</v>
      </c>
      <c r="MWL129" s="70">
        <v>0</v>
      </c>
      <c r="MWM129" s="70">
        <v>0</v>
      </c>
      <c r="MWN129" s="70">
        <v>0</v>
      </c>
      <c r="MWO129" s="70">
        <v>0</v>
      </c>
      <c r="MWP129" s="70">
        <v>0</v>
      </c>
      <c r="MWQ129" s="70">
        <v>0</v>
      </c>
      <c r="MWR129" s="70">
        <v>0</v>
      </c>
      <c r="MWS129" s="70">
        <v>0</v>
      </c>
      <c r="MWT129" s="70">
        <v>0</v>
      </c>
      <c r="MWU129" s="70">
        <v>0</v>
      </c>
      <c r="MWV129" s="70">
        <v>0</v>
      </c>
      <c r="MWW129" s="70">
        <v>0</v>
      </c>
      <c r="MWX129" s="70">
        <v>0</v>
      </c>
      <c r="MWY129" s="70">
        <v>0</v>
      </c>
      <c r="MWZ129" s="70">
        <v>0</v>
      </c>
      <c r="MXA129" s="70">
        <v>0</v>
      </c>
      <c r="MXB129" s="70">
        <v>0</v>
      </c>
      <c r="MXC129" s="70">
        <v>0</v>
      </c>
      <c r="MXD129" s="70">
        <v>0</v>
      </c>
      <c r="MXE129" s="70">
        <v>0</v>
      </c>
      <c r="MXF129" s="70">
        <v>0</v>
      </c>
      <c r="MXG129" s="70">
        <v>0</v>
      </c>
      <c r="MXH129" s="70">
        <v>0</v>
      </c>
      <c r="MXI129" s="70">
        <v>0</v>
      </c>
      <c r="MXJ129" s="70">
        <v>0</v>
      </c>
      <c r="MXK129" s="70">
        <v>0</v>
      </c>
      <c r="MXL129" s="70">
        <v>0</v>
      </c>
      <c r="MXM129" s="70">
        <v>0</v>
      </c>
      <c r="MXN129" s="70">
        <v>0</v>
      </c>
      <c r="MXO129" s="70">
        <v>0</v>
      </c>
      <c r="MXP129" s="70">
        <v>0</v>
      </c>
      <c r="MXQ129" s="70">
        <v>0</v>
      </c>
      <c r="MXR129" s="70">
        <v>0</v>
      </c>
      <c r="MXS129" s="70">
        <v>0</v>
      </c>
      <c r="MXT129" s="70">
        <v>0</v>
      </c>
      <c r="MXU129" s="70">
        <v>0</v>
      </c>
      <c r="MXV129" s="70">
        <v>0</v>
      </c>
      <c r="MXW129" s="70">
        <v>0</v>
      </c>
      <c r="MXX129" s="70">
        <v>0</v>
      </c>
      <c r="MXY129" s="70">
        <v>0</v>
      </c>
      <c r="MXZ129" s="70">
        <v>0</v>
      </c>
      <c r="MYA129" s="70">
        <v>0</v>
      </c>
      <c r="MYB129" s="70">
        <v>0</v>
      </c>
      <c r="MYC129" s="70">
        <v>0</v>
      </c>
      <c r="MYD129" s="70">
        <v>0</v>
      </c>
      <c r="MYE129" s="70">
        <v>0</v>
      </c>
      <c r="MYF129" s="70">
        <v>0</v>
      </c>
      <c r="MYG129" s="70">
        <v>0</v>
      </c>
      <c r="MYH129" s="70">
        <v>0</v>
      </c>
      <c r="MYI129" s="70">
        <v>0</v>
      </c>
      <c r="MYJ129" s="70">
        <v>0</v>
      </c>
      <c r="MYK129" s="70">
        <v>0</v>
      </c>
      <c r="MYL129" s="70">
        <v>0</v>
      </c>
      <c r="MYM129" s="70">
        <v>0</v>
      </c>
      <c r="MYN129" s="70">
        <v>0</v>
      </c>
      <c r="MYO129" s="70">
        <v>0</v>
      </c>
      <c r="MYP129" s="70">
        <v>0</v>
      </c>
      <c r="MYQ129" s="70">
        <v>0</v>
      </c>
      <c r="MYR129" s="70">
        <v>0</v>
      </c>
      <c r="MYS129" s="70">
        <v>0</v>
      </c>
      <c r="MYT129" s="70">
        <v>0</v>
      </c>
      <c r="MYU129" s="70">
        <v>0</v>
      </c>
      <c r="MYV129" s="70">
        <v>0</v>
      </c>
      <c r="MYW129" s="70">
        <v>0</v>
      </c>
      <c r="MYX129" s="70">
        <v>0</v>
      </c>
      <c r="MYY129" s="70">
        <v>0</v>
      </c>
      <c r="MYZ129" s="70">
        <v>0</v>
      </c>
      <c r="MZA129" s="70">
        <v>0</v>
      </c>
      <c r="MZB129" s="70">
        <v>0</v>
      </c>
      <c r="MZC129" s="70">
        <v>0</v>
      </c>
      <c r="MZD129" s="70">
        <v>0</v>
      </c>
      <c r="MZE129" s="70">
        <v>0</v>
      </c>
      <c r="MZF129" s="70">
        <v>0</v>
      </c>
      <c r="MZG129" s="70">
        <v>0</v>
      </c>
      <c r="MZH129" s="70">
        <v>0</v>
      </c>
      <c r="MZI129" s="70">
        <v>0</v>
      </c>
      <c r="MZJ129" s="70">
        <v>0</v>
      </c>
      <c r="MZK129" s="70">
        <v>0</v>
      </c>
      <c r="MZL129" s="70">
        <v>0</v>
      </c>
      <c r="MZM129" s="70">
        <v>0</v>
      </c>
      <c r="MZN129" s="70">
        <v>0</v>
      </c>
      <c r="MZO129" s="70">
        <v>0</v>
      </c>
      <c r="MZP129" s="70">
        <v>0</v>
      </c>
      <c r="MZQ129" s="70">
        <v>0</v>
      </c>
      <c r="MZR129" s="70">
        <v>0</v>
      </c>
      <c r="MZS129" s="70">
        <v>0</v>
      </c>
      <c r="MZT129" s="70">
        <v>0</v>
      </c>
      <c r="MZU129" s="70">
        <v>0</v>
      </c>
      <c r="MZV129" s="70">
        <v>0</v>
      </c>
      <c r="MZW129" s="70">
        <v>0</v>
      </c>
      <c r="MZX129" s="70">
        <v>0</v>
      </c>
      <c r="MZY129" s="70">
        <v>0</v>
      </c>
      <c r="MZZ129" s="70">
        <v>0</v>
      </c>
      <c r="NAA129" s="70">
        <v>0</v>
      </c>
      <c r="NAB129" s="70">
        <v>0</v>
      </c>
      <c r="NAC129" s="70">
        <v>0</v>
      </c>
      <c r="NAD129" s="70">
        <v>0</v>
      </c>
      <c r="NAE129" s="70">
        <v>0</v>
      </c>
      <c r="NAF129" s="70">
        <v>0</v>
      </c>
      <c r="NAG129" s="70">
        <v>0</v>
      </c>
      <c r="NAH129" s="70">
        <v>0</v>
      </c>
      <c r="NAI129" s="70">
        <v>0</v>
      </c>
      <c r="NAJ129" s="70">
        <v>0</v>
      </c>
      <c r="NAK129" s="70">
        <v>0</v>
      </c>
      <c r="NAL129" s="70">
        <v>0</v>
      </c>
      <c r="NAM129" s="70">
        <v>0</v>
      </c>
      <c r="NAN129" s="70">
        <v>0</v>
      </c>
      <c r="NAO129" s="70">
        <v>0</v>
      </c>
      <c r="NAP129" s="70">
        <v>0</v>
      </c>
      <c r="NAQ129" s="70">
        <v>0</v>
      </c>
      <c r="NAR129" s="70">
        <v>0</v>
      </c>
      <c r="NAS129" s="70">
        <v>0</v>
      </c>
      <c r="NAT129" s="70">
        <v>0</v>
      </c>
      <c r="NAU129" s="70">
        <v>0</v>
      </c>
      <c r="NAV129" s="70">
        <v>0</v>
      </c>
      <c r="NAW129" s="70">
        <v>0</v>
      </c>
      <c r="NAX129" s="70">
        <v>0</v>
      </c>
      <c r="NAY129" s="70">
        <v>0</v>
      </c>
      <c r="NAZ129" s="70">
        <v>0</v>
      </c>
      <c r="NBA129" s="70">
        <v>0</v>
      </c>
      <c r="NBB129" s="70">
        <v>0</v>
      </c>
      <c r="NBC129" s="70">
        <v>0</v>
      </c>
      <c r="NBD129" s="70">
        <v>0</v>
      </c>
      <c r="NBE129" s="70">
        <v>0</v>
      </c>
      <c r="NBF129" s="70">
        <v>0</v>
      </c>
      <c r="NBG129" s="70">
        <v>0</v>
      </c>
      <c r="NBH129" s="70">
        <v>0</v>
      </c>
      <c r="NBI129" s="70">
        <v>0</v>
      </c>
      <c r="NBJ129" s="70">
        <v>0</v>
      </c>
      <c r="NBK129" s="70">
        <v>0</v>
      </c>
      <c r="NBL129" s="70">
        <v>0</v>
      </c>
      <c r="NBM129" s="70">
        <v>0</v>
      </c>
      <c r="NBN129" s="70">
        <v>0</v>
      </c>
      <c r="NBO129" s="70">
        <v>0</v>
      </c>
      <c r="NBP129" s="70">
        <v>0</v>
      </c>
      <c r="NBQ129" s="70">
        <v>0</v>
      </c>
      <c r="NBR129" s="70">
        <v>0</v>
      </c>
      <c r="NBS129" s="70">
        <v>0</v>
      </c>
      <c r="NBT129" s="70">
        <v>0</v>
      </c>
      <c r="NBU129" s="70">
        <v>0</v>
      </c>
      <c r="NBV129" s="70">
        <v>0</v>
      </c>
      <c r="NBW129" s="70">
        <v>0</v>
      </c>
      <c r="NBX129" s="70">
        <v>0</v>
      </c>
      <c r="NBY129" s="70">
        <v>0</v>
      </c>
      <c r="NBZ129" s="70">
        <v>0</v>
      </c>
      <c r="NCA129" s="70">
        <v>0</v>
      </c>
      <c r="NCB129" s="70">
        <v>0</v>
      </c>
      <c r="NCC129" s="70">
        <v>0</v>
      </c>
      <c r="NCD129" s="70">
        <v>0</v>
      </c>
      <c r="NCE129" s="70">
        <v>0</v>
      </c>
      <c r="NCF129" s="70">
        <v>0</v>
      </c>
      <c r="NCG129" s="70">
        <v>0</v>
      </c>
      <c r="NCH129" s="70">
        <v>0</v>
      </c>
      <c r="NCI129" s="70">
        <v>0</v>
      </c>
      <c r="NCJ129" s="70">
        <v>0</v>
      </c>
      <c r="NCK129" s="70">
        <v>0</v>
      </c>
      <c r="NCL129" s="70">
        <v>0</v>
      </c>
      <c r="NCM129" s="70">
        <v>0</v>
      </c>
      <c r="NCN129" s="70">
        <v>0</v>
      </c>
      <c r="NCO129" s="70">
        <v>0</v>
      </c>
      <c r="NCP129" s="70">
        <v>0</v>
      </c>
      <c r="NCQ129" s="70">
        <v>0</v>
      </c>
      <c r="NCR129" s="70">
        <v>0</v>
      </c>
      <c r="NCS129" s="70">
        <v>0</v>
      </c>
      <c r="NCT129" s="70">
        <v>0</v>
      </c>
      <c r="NCU129" s="70">
        <v>0</v>
      </c>
      <c r="NCV129" s="70">
        <v>0</v>
      </c>
      <c r="NCW129" s="70">
        <v>0</v>
      </c>
      <c r="NCX129" s="70">
        <v>0</v>
      </c>
      <c r="NCY129" s="70">
        <v>0</v>
      </c>
      <c r="NCZ129" s="70">
        <v>0</v>
      </c>
      <c r="NDA129" s="70">
        <v>0</v>
      </c>
      <c r="NDB129" s="70">
        <v>0</v>
      </c>
      <c r="NDC129" s="70">
        <v>0</v>
      </c>
      <c r="NDD129" s="70">
        <v>0</v>
      </c>
      <c r="NDE129" s="70">
        <v>0</v>
      </c>
      <c r="NDF129" s="70">
        <v>0</v>
      </c>
      <c r="NDG129" s="70">
        <v>0</v>
      </c>
      <c r="NDH129" s="70">
        <v>0</v>
      </c>
      <c r="NDI129" s="70">
        <v>0</v>
      </c>
      <c r="NDJ129" s="70">
        <v>0</v>
      </c>
      <c r="NDK129" s="70">
        <v>0</v>
      </c>
      <c r="NDL129" s="70">
        <v>0</v>
      </c>
      <c r="NDM129" s="70">
        <v>0</v>
      </c>
      <c r="NDN129" s="70">
        <v>0</v>
      </c>
      <c r="NDO129" s="70">
        <v>0</v>
      </c>
      <c r="NDP129" s="70">
        <v>0</v>
      </c>
      <c r="NDQ129" s="70">
        <v>0</v>
      </c>
      <c r="NDR129" s="70">
        <v>0</v>
      </c>
      <c r="NDS129" s="70">
        <v>0</v>
      </c>
      <c r="NDT129" s="70">
        <v>0</v>
      </c>
      <c r="NDU129" s="70">
        <v>0</v>
      </c>
      <c r="NDV129" s="70">
        <v>0</v>
      </c>
      <c r="NDW129" s="70">
        <v>0</v>
      </c>
      <c r="NDX129" s="70">
        <v>0</v>
      </c>
      <c r="NDY129" s="70">
        <v>0</v>
      </c>
      <c r="NDZ129" s="70">
        <v>0</v>
      </c>
      <c r="NEA129" s="70">
        <v>0</v>
      </c>
      <c r="NEB129" s="70">
        <v>0</v>
      </c>
      <c r="NEC129" s="70">
        <v>0</v>
      </c>
      <c r="NED129" s="70">
        <v>0</v>
      </c>
      <c r="NEE129" s="70">
        <v>0</v>
      </c>
      <c r="NEF129" s="70">
        <v>0</v>
      </c>
      <c r="NEG129" s="70">
        <v>0</v>
      </c>
      <c r="NEH129" s="70">
        <v>0</v>
      </c>
      <c r="NEI129" s="70">
        <v>0</v>
      </c>
      <c r="NEJ129" s="70">
        <v>0</v>
      </c>
      <c r="NEK129" s="70">
        <v>0</v>
      </c>
      <c r="NEL129" s="70">
        <v>0</v>
      </c>
      <c r="NEM129" s="70">
        <v>0</v>
      </c>
      <c r="NEN129" s="70">
        <v>0</v>
      </c>
      <c r="NEO129" s="70">
        <v>0</v>
      </c>
      <c r="NEP129" s="70">
        <v>0</v>
      </c>
      <c r="NEQ129" s="70">
        <v>0</v>
      </c>
      <c r="NER129" s="70">
        <v>0</v>
      </c>
      <c r="NES129" s="70">
        <v>0</v>
      </c>
      <c r="NET129" s="70">
        <v>0</v>
      </c>
      <c r="NEU129" s="70">
        <v>0</v>
      </c>
      <c r="NEV129" s="70">
        <v>0</v>
      </c>
      <c r="NEW129" s="70">
        <v>0</v>
      </c>
      <c r="NEX129" s="70">
        <v>0</v>
      </c>
      <c r="NEY129" s="70">
        <v>0</v>
      </c>
      <c r="NEZ129" s="70">
        <v>0</v>
      </c>
      <c r="NFA129" s="70">
        <v>0</v>
      </c>
      <c r="NFB129" s="70">
        <v>0</v>
      </c>
      <c r="NFC129" s="70">
        <v>0</v>
      </c>
      <c r="NFD129" s="70">
        <v>0</v>
      </c>
      <c r="NFE129" s="70">
        <v>0</v>
      </c>
      <c r="NFF129" s="70">
        <v>0</v>
      </c>
      <c r="NFG129" s="70">
        <v>0</v>
      </c>
      <c r="NFH129" s="70">
        <v>0</v>
      </c>
      <c r="NFI129" s="70">
        <v>0</v>
      </c>
      <c r="NFJ129" s="70">
        <v>0</v>
      </c>
      <c r="NFK129" s="70">
        <v>0</v>
      </c>
      <c r="NFL129" s="70">
        <v>0</v>
      </c>
      <c r="NFM129" s="70">
        <v>0</v>
      </c>
      <c r="NFN129" s="70">
        <v>0</v>
      </c>
      <c r="NFO129" s="70">
        <v>0</v>
      </c>
      <c r="NFP129" s="70">
        <v>0</v>
      </c>
      <c r="NFQ129" s="70">
        <v>0</v>
      </c>
      <c r="NFR129" s="70">
        <v>0</v>
      </c>
      <c r="NFS129" s="70">
        <v>0</v>
      </c>
      <c r="NFT129" s="70">
        <v>0</v>
      </c>
      <c r="NFU129" s="70">
        <v>0</v>
      </c>
      <c r="NFV129" s="70">
        <v>0</v>
      </c>
      <c r="NFW129" s="70">
        <v>0</v>
      </c>
      <c r="NFX129" s="70">
        <v>0</v>
      </c>
      <c r="NFY129" s="70">
        <v>0</v>
      </c>
      <c r="NFZ129" s="70">
        <v>0</v>
      </c>
      <c r="NGA129" s="70">
        <v>0</v>
      </c>
      <c r="NGB129" s="70">
        <v>0</v>
      </c>
      <c r="NGC129" s="70">
        <v>0</v>
      </c>
      <c r="NGD129" s="70">
        <v>0</v>
      </c>
      <c r="NGE129" s="70">
        <v>0</v>
      </c>
      <c r="NGF129" s="70">
        <v>0</v>
      </c>
      <c r="NGG129" s="70">
        <v>0</v>
      </c>
      <c r="NGH129" s="70">
        <v>0</v>
      </c>
      <c r="NGI129" s="70">
        <v>0</v>
      </c>
      <c r="NGJ129" s="70">
        <v>0</v>
      </c>
      <c r="NGK129" s="70">
        <v>0</v>
      </c>
      <c r="NGL129" s="70">
        <v>0</v>
      </c>
      <c r="NGM129" s="70">
        <v>0</v>
      </c>
      <c r="NGN129" s="70">
        <v>0</v>
      </c>
      <c r="NGO129" s="70">
        <v>0</v>
      </c>
      <c r="NGP129" s="70">
        <v>0</v>
      </c>
      <c r="NGQ129" s="70">
        <v>0</v>
      </c>
      <c r="NGR129" s="70">
        <v>0</v>
      </c>
      <c r="NGS129" s="70">
        <v>0</v>
      </c>
      <c r="NGT129" s="70">
        <v>0</v>
      </c>
      <c r="NGU129" s="70">
        <v>0</v>
      </c>
      <c r="NGV129" s="70">
        <v>0</v>
      </c>
      <c r="NGW129" s="70">
        <v>0</v>
      </c>
      <c r="NGX129" s="70">
        <v>0</v>
      </c>
      <c r="NGY129" s="70">
        <v>0</v>
      </c>
      <c r="NGZ129" s="70">
        <v>0</v>
      </c>
      <c r="NHA129" s="70">
        <v>0</v>
      </c>
      <c r="NHB129" s="70">
        <v>0</v>
      </c>
      <c r="NHC129" s="70">
        <v>0</v>
      </c>
      <c r="NHD129" s="70">
        <v>0</v>
      </c>
      <c r="NHE129" s="70">
        <v>0</v>
      </c>
      <c r="NHF129" s="70">
        <v>0</v>
      </c>
      <c r="NHG129" s="70">
        <v>0</v>
      </c>
      <c r="NHH129" s="70">
        <v>0</v>
      </c>
      <c r="NHI129" s="70">
        <v>0</v>
      </c>
      <c r="NHJ129" s="70">
        <v>0</v>
      </c>
      <c r="NHK129" s="70">
        <v>0</v>
      </c>
      <c r="NHL129" s="70">
        <v>0</v>
      </c>
      <c r="NHM129" s="70">
        <v>0</v>
      </c>
      <c r="NHN129" s="70">
        <v>0</v>
      </c>
      <c r="NHO129" s="70">
        <v>0</v>
      </c>
      <c r="NHP129" s="70">
        <v>0</v>
      </c>
      <c r="NHQ129" s="70">
        <v>0</v>
      </c>
      <c r="NHR129" s="70">
        <v>0</v>
      </c>
      <c r="NHS129" s="70">
        <v>0</v>
      </c>
      <c r="NHT129" s="70">
        <v>0</v>
      </c>
      <c r="NHU129" s="70">
        <v>0</v>
      </c>
      <c r="NHV129" s="70">
        <v>0</v>
      </c>
      <c r="NHW129" s="70">
        <v>0</v>
      </c>
      <c r="NHX129" s="70">
        <v>0</v>
      </c>
      <c r="NHY129" s="70">
        <v>0</v>
      </c>
      <c r="NHZ129" s="70">
        <v>0</v>
      </c>
      <c r="NIA129" s="70">
        <v>0</v>
      </c>
      <c r="NIB129" s="70">
        <v>0</v>
      </c>
      <c r="NIC129" s="70">
        <v>0</v>
      </c>
      <c r="NID129" s="70">
        <v>0</v>
      </c>
      <c r="NIE129" s="70">
        <v>0</v>
      </c>
      <c r="NIF129" s="70">
        <v>0</v>
      </c>
      <c r="NIG129" s="70">
        <v>0</v>
      </c>
      <c r="NIH129" s="70">
        <v>0</v>
      </c>
      <c r="NII129" s="70">
        <v>0</v>
      </c>
      <c r="NIJ129" s="70">
        <v>0</v>
      </c>
      <c r="NIK129" s="70">
        <v>0</v>
      </c>
      <c r="NIL129" s="70">
        <v>0</v>
      </c>
      <c r="NIM129" s="70">
        <v>0</v>
      </c>
      <c r="NIN129" s="70">
        <v>0</v>
      </c>
      <c r="NIO129" s="70">
        <v>0</v>
      </c>
      <c r="NIP129" s="70">
        <v>0</v>
      </c>
      <c r="NIQ129" s="70">
        <v>0</v>
      </c>
      <c r="NIR129" s="70">
        <v>0</v>
      </c>
      <c r="NIS129" s="70">
        <v>0</v>
      </c>
      <c r="NIT129" s="70">
        <v>0</v>
      </c>
      <c r="NIU129" s="70">
        <v>0</v>
      </c>
      <c r="NIV129" s="70">
        <v>0</v>
      </c>
      <c r="NIW129" s="70">
        <v>0</v>
      </c>
      <c r="NIX129" s="70">
        <v>0</v>
      </c>
      <c r="NIY129" s="70">
        <v>0</v>
      </c>
      <c r="NIZ129" s="70">
        <v>0</v>
      </c>
      <c r="NJA129" s="70">
        <v>0</v>
      </c>
      <c r="NJB129" s="70">
        <v>0</v>
      </c>
      <c r="NJC129" s="70">
        <v>0</v>
      </c>
      <c r="NJD129" s="70">
        <v>0</v>
      </c>
      <c r="NJE129" s="70">
        <v>0</v>
      </c>
      <c r="NJF129" s="70">
        <v>0</v>
      </c>
      <c r="NJG129" s="70">
        <v>0</v>
      </c>
      <c r="NJH129" s="70">
        <v>0</v>
      </c>
      <c r="NJI129" s="70">
        <v>0</v>
      </c>
      <c r="NJJ129" s="70">
        <v>0</v>
      </c>
      <c r="NJK129" s="70">
        <v>0</v>
      </c>
      <c r="NJL129" s="70">
        <v>0</v>
      </c>
      <c r="NJM129" s="70">
        <v>0</v>
      </c>
      <c r="NJN129" s="70">
        <v>0</v>
      </c>
      <c r="NJO129" s="70">
        <v>0</v>
      </c>
      <c r="NJP129" s="70">
        <v>0</v>
      </c>
      <c r="NJQ129" s="70">
        <v>0</v>
      </c>
      <c r="NJR129" s="70">
        <v>0</v>
      </c>
      <c r="NJS129" s="70">
        <v>0</v>
      </c>
      <c r="NJT129" s="70">
        <v>0</v>
      </c>
      <c r="NJU129" s="70">
        <v>0</v>
      </c>
      <c r="NJV129" s="70">
        <v>0</v>
      </c>
      <c r="NJW129" s="70">
        <v>0</v>
      </c>
      <c r="NJX129" s="70">
        <v>0</v>
      </c>
      <c r="NJY129" s="70">
        <v>0</v>
      </c>
      <c r="NJZ129" s="70">
        <v>0</v>
      </c>
      <c r="NKA129" s="70">
        <v>0</v>
      </c>
      <c r="NKB129" s="70">
        <v>0</v>
      </c>
      <c r="NKC129" s="70">
        <v>0</v>
      </c>
      <c r="NKD129" s="70">
        <v>0</v>
      </c>
      <c r="NKE129" s="70">
        <v>0</v>
      </c>
      <c r="NKF129" s="70">
        <v>0</v>
      </c>
      <c r="NKG129" s="70">
        <v>0</v>
      </c>
      <c r="NKH129" s="70">
        <v>0</v>
      </c>
      <c r="NKI129" s="70">
        <v>0</v>
      </c>
      <c r="NKJ129" s="70">
        <v>0</v>
      </c>
      <c r="NKK129" s="70">
        <v>0</v>
      </c>
      <c r="NKL129" s="70">
        <v>0</v>
      </c>
      <c r="NKM129" s="70">
        <v>0</v>
      </c>
      <c r="NKN129" s="70">
        <v>0</v>
      </c>
      <c r="NKO129" s="70">
        <v>0</v>
      </c>
      <c r="NKP129" s="70">
        <v>0</v>
      </c>
      <c r="NKQ129" s="70">
        <v>0</v>
      </c>
      <c r="NKR129" s="70">
        <v>0</v>
      </c>
      <c r="NKS129" s="70">
        <v>0</v>
      </c>
      <c r="NKT129" s="70">
        <v>0</v>
      </c>
      <c r="NKU129" s="70">
        <v>0</v>
      </c>
      <c r="NKV129" s="70">
        <v>0</v>
      </c>
      <c r="NKW129" s="70">
        <v>0</v>
      </c>
      <c r="NKX129" s="70">
        <v>0</v>
      </c>
      <c r="NKY129" s="70">
        <v>0</v>
      </c>
      <c r="NKZ129" s="70">
        <v>0</v>
      </c>
      <c r="NLA129" s="70">
        <v>0</v>
      </c>
      <c r="NLB129" s="70">
        <v>0</v>
      </c>
      <c r="NLC129" s="70">
        <v>0</v>
      </c>
      <c r="NLD129" s="70">
        <v>0</v>
      </c>
      <c r="NLE129" s="70">
        <v>0</v>
      </c>
      <c r="NLF129" s="70">
        <v>0</v>
      </c>
      <c r="NLG129" s="70">
        <v>0</v>
      </c>
      <c r="NLH129" s="70">
        <v>0</v>
      </c>
      <c r="NLI129" s="70">
        <v>0</v>
      </c>
      <c r="NLJ129" s="70">
        <v>0</v>
      </c>
      <c r="NLK129" s="70">
        <v>0</v>
      </c>
      <c r="NLL129" s="70">
        <v>0</v>
      </c>
      <c r="NLM129" s="70">
        <v>0</v>
      </c>
      <c r="NLN129" s="70">
        <v>0</v>
      </c>
      <c r="NLO129" s="70">
        <v>0</v>
      </c>
      <c r="NLP129" s="70">
        <v>0</v>
      </c>
      <c r="NLQ129" s="70">
        <v>0</v>
      </c>
      <c r="NLR129" s="70">
        <v>0</v>
      </c>
      <c r="NLS129" s="70">
        <v>0</v>
      </c>
      <c r="NLT129" s="70">
        <v>0</v>
      </c>
      <c r="NLU129" s="70">
        <v>0</v>
      </c>
      <c r="NLV129" s="70">
        <v>0</v>
      </c>
      <c r="NLW129" s="70">
        <v>0</v>
      </c>
      <c r="NLX129" s="70">
        <v>0</v>
      </c>
      <c r="NLY129" s="70">
        <v>0</v>
      </c>
      <c r="NLZ129" s="70">
        <v>0</v>
      </c>
      <c r="NMA129" s="70">
        <v>0</v>
      </c>
      <c r="NMB129" s="70">
        <v>0</v>
      </c>
      <c r="NMC129" s="70">
        <v>0</v>
      </c>
      <c r="NMD129" s="70">
        <v>0</v>
      </c>
      <c r="NME129" s="70">
        <v>0</v>
      </c>
      <c r="NMF129" s="70">
        <v>0</v>
      </c>
      <c r="NMG129" s="70">
        <v>0</v>
      </c>
      <c r="NMH129" s="70">
        <v>0</v>
      </c>
      <c r="NMI129" s="70">
        <v>0</v>
      </c>
      <c r="NMJ129" s="70">
        <v>0</v>
      </c>
      <c r="NMK129" s="70">
        <v>0</v>
      </c>
      <c r="NML129" s="70">
        <v>0</v>
      </c>
      <c r="NMM129" s="70">
        <v>0</v>
      </c>
      <c r="NMN129" s="70">
        <v>0</v>
      </c>
      <c r="NMO129" s="70">
        <v>0</v>
      </c>
      <c r="NMP129" s="70">
        <v>0</v>
      </c>
      <c r="NMQ129" s="70">
        <v>0</v>
      </c>
      <c r="NMR129" s="70">
        <v>0</v>
      </c>
      <c r="NMS129" s="70">
        <v>0</v>
      </c>
      <c r="NMT129" s="70">
        <v>0</v>
      </c>
      <c r="NMU129" s="70">
        <v>0</v>
      </c>
      <c r="NMV129" s="70">
        <v>0</v>
      </c>
      <c r="NMW129" s="70">
        <v>0</v>
      </c>
      <c r="NMX129" s="70">
        <v>0</v>
      </c>
      <c r="NMY129" s="70">
        <v>0</v>
      </c>
      <c r="NMZ129" s="70">
        <v>0</v>
      </c>
      <c r="NNA129" s="70">
        <v>0</v>
      </c>
      <c r="NNB129" s="70">
        <v>0</v>
      </c>
      <c r="NNC129" s="70">
        <v>0</v>
      </c>
      <c r="NND129" s="70">
        <v>0</v>
      </c>
      <c r="NNE129" s="70">
        <v>0</v>
      </c>
      <c r="NNF129" s="70">
        <v>0</v>
      </c>
      <c r="NNG129" s="70">
        <v>0</v>
      </c>
      <c r="NNH129" s="70">
        <v>0</v>
      </c>
      <c r="NNI129" s="70">
        <v>0</v>
      </c>
      <c r="NNJ129" s="70">
        <v>0</v>
      </c>
      <c r="NNK129" s="70">
        <v>0</v>
      </c>
      <c r="NNL129" s="70">
        <v>0</v>
      </c>
      <c r="NNM129" s="70">
        <v>0</v>
      </c>
      <c r="NNN129" s="70">
        <v>0</v>
      </c>
      <c r="NNO129" s="70">
        <v>0</v>
      </c>
      <c r="NNP129" s="70">
        <v>0</v>
      </c>
      <c r="NNQ129" s="70">
        <v>0</v>
      </c>
      <c r="NNR129" s="70">
        <v>0</v>
      </c>
      <c r="NNS129" s="70">
        <v>0</v>
      </c>
      <c r="NNT129" s="70">
        <v>0</v>
      </c>
      <c r="NNU129" s="70">
        <v>0</v>
      </c>
      <c r="NNV129" s="70">
        <v>0</v>
      </c>
      <c r="NNW129" s="70">
        <v>0</v>
      </c>
      <c r="NNX129" s="70">
        <v>0</v>
      </c>
      <c r="NNY129" s="70">
        <v>0</v>
      </c>
      <c r="NNZ129" s="70">
        <v>0</v>
      </c>
      <c r="NOA129" s="70">
        <v>0</v>
      </c>
      <c r="NOB129" s="70">
        <v>0</v>
      </c>
      <c r="NOC129" s="70">
        <v>0</v>
      </c>
      <c r="NOD129" s="70">
        <v>0</v>
      </c>
      <c r="NOE129" s="70">
        <v>0</v>
      </c>
      <c r="NOF129" s="70">
        <v>0</v>
      </c>
      <c r="NOG129" s="70">
        <v>0</v>
      </c>
      <c r="NOH129" s="70">
        <v>0</v>
      </c>
      <c r="NOI129" s="70">
        <v>0</v>
      </c>
      <c r="NOJ129" s="70">
        <v>0</v>
      </c>
      <c r="NOK129" s="70">
        <v>0</v>
      </c>
      <c r="NOL129" s="70">
        <v>0</v>
      </c>
      <c r="NOM129" s="70">
        <v>0</v>
      </c>
      <c r="NON129" s="70">
        <v>0</v>
      </c>
      <c r="NOO129" s="70">
        <v>0</v>
      </c>
      <c r="NOP129" s="70">
        <v>0</v>
      </c>
      <c r="NOQ129" s="70">
        <v>0</v>
      </c>
      <c r="NOR129" s="70">
        <v>0</v>
      </c>
      <c r="NOS129" s="70">
        <v>0</v>
      </c>
      <c r="NOT129" s="70">
        <v>0</v>
      </c>
      <c r="NOU129" s="70">
        <v>0</v>
      </c>
      <c r="NOV129" s="70">
        <v>0</v>
      </c>
      <c r="NOW129" s="70">
        <v>0</v>
      </c>
      <c r="NOX129" s="70">
        <v>0</v>
      </c>
      <c r="NOY129" s="70">
        <v>0</v>
      </c>
      <c r="NOZ129" s="70">
        <v>0</v>
      </c>
      <c r="NPA129" s="70">
        <v>0</v>
      </c>
      <c r="NPB129" s="70">
        <v>0</v>
      </c>
      <c r="NPC129" s="70">
        <v>0</v>
      </c>
      <c r="NPD129" s="70">
        <v>0</v>
      </c>
      <c r="NPE129" s="70">
        <v>0</v>
      </c>
      <c r="NPF129" s="70">
        <v>0</v>
      </c>
      <c r="NPG129" s="70">
        <v>0</v>
      </c>
      <c r="NPH129" s="70">
        <v>0</v>
      </c>
      <c r="NPI129" s="70">
        <v>0</v>
      </c>
      <c r="NPJ129" s="70">
        <v>0</v>
      </c>
      <c r="NPK129" s="70">
        <v>0</v>
      </c>
      <c r="NPL129" s="70">
        <v>0</v>
      </c>
      <c r="NPM129" s="70">
        <v>0</v>
      </c>
      <c r="NPN129" s="70">
        <v>0</v>
      </c>
      <c r="NPO129" s="70">
        <v>0</v>
      </c>
      <c r="NPP129" s="70">
        <v>0</v>
      </c>
      <c r="NPQ129" s="70">
        <v>0</v>
      </c>
      <c r="NPR129" s="70">
        <v>0</v>
      </c>
      <c r="NPS129" s="70">
        <v>0</v>
      </c>
      <c r="NPT129" s="70">
        <v>0</v>
      </c>
      <c r="NPU129" s="70">
        <v>0</v>
      </c>
      <c r="NPV129" s="70">
        <v>0</v>
      </c>
      <c r="NPW129" s="70">
        <v>0</v>
      </c>
      <c r="NPX129" s="70">
        <v>0</v>
      </c>
      <c r="NPY129" s="70">
        <v>0</v>
      </c>
      <c r="NPZ129" s="70">
        <v>0</v>
      </c>
      <c r="NQA129" s="70">
        <v>0</v>
      </c>
      <c r="NQB129" s="70">
        <v>0</v>
      </c>
      <c r="NQC129" s="70">
        <v>0</v>
      </c>
      <c r="NQD129" s="70">
        <v>0</v>
      </c>
      <c r="NQE129" s="70">
        <v>0</v>
      </c>
      <c r="NQF129" s="70">
        <v>0</v>
      </c>
      <c r="NQG129" s="70">
        <v>0</v>
      </c>
      <c r="NQH129" s="70">
        <v>0</v>
      </c>
      <c r="NQI129" s="70">
        <v>0</v>
      </c>
      <c r="NQJ129" s="70">
        <v>0</v>
      </c>
      <c r="NQK129" s="70">
        <v>0</v>
      </c>
      <c r="NQL129" s="70">
        <v>0</v>
      </c>
      <c r="NQM129" s="70">
        <v>0</v>
      </c>
      <c r="NQN129" s="70">
        <v>0</v>
      </c>
      <c r="NQO129" s="70">
        <v>0</v>
      </c>
      <c r="NQP129" s="70">
        <v>0</v>
      </c>
      <c r="NQQ129" s="70">
        <v>0</v>
      </c>
      <c r="NQR129" s="70">
        <v>0</v>
      </c>
      <c r="NQS129" s="70">
        <v>0</v>
      </c>
      <c r="NQT129" s="70">
        <v>0</v>
      </c>
      <c r="NQU129" s="70">
        <v>0</v>
      </c>
      <c r="NQV129" s="70">
        <v>0</v>
      </c>
      <c r="NQW129" s="70">
        <v>0</v>
      </c>
      <c r="NQX129" s="70">
        <v>0</v>
      </c>
      <c r="NQY129" s="70">
        <v>0</v>
      </c>
      <c r="NQZ129" s="70">
        <v>0</v>
      </c>
      <c r="NRA129" s="70">
        <v>0</v>
      </c>
      <c r="NRB129" s="70">
        <v>0</v>
      </c>
      <c r="NRC129" s="70">
        <v>0</v>
      </c>
      <c r="NRD129" s="70">
        <v>0</v>
      </c>
      <c r="NRE129" s="70">
        <v>0</v>
      </c>
      <c r="NRF129" s="70">
        <v>0</v>
      </c>
      <c r="NRG129" s="70">
        <v>0</v>
      </c>
      <c r="NRH129" s="70">
        <v>0</v>
      </c>
      <c r="NRI129" s="70">
        <v>0</v>
      </c>
      <c r="NRJ129" s="70">
        <v>0</v>
      </c>
      <c r="NRK129" s="70">
        <v>0</v>
      </c>
      <c r="NRL129" s="70">
        <v>0</v>
      </c>
      <c r="NRM129" s="70">
        <v>0</v>
      </c>
      <c r="NRN129" s="70">
        <v>0</v>
      </c>
      <c r="NRO129" s="70">
        <v>0</v>
      </c>
      <c r="NRP129" s="70">
        <v>0</v>
      </c>
      <c r="NRQ129" s="70">
        <v>0</v>
      </c>
      <c r="NRR129" s="70">
        <v>0</v>
      </c>
      <c r="NRS129" s="70">
        <v>0</v>
      </c>
      <c r="NRT129" s="70">
        <v>0</v>
      </c>
      <c r="NRU129" s="70">
        <v>0</v>
      </c>
      <c r="NRV129" s="70">
        <v>0</v>
      </c>
      <c r="NRW129" s="70">
        <v>0</v>
      </c>
      <c r="NRX129" s="70">
        <v>0</v>
      </c>
      <c r="NRY129" s="70">
        <v>0</v>
      </c>
      <c r="NRZ129" s="70">
        <v>0</v>
      </c>
      <c r="NSA129" s="70">
        <v>0</v>
      </c>
      <c r="NSB129" s="70">
        <v>0</v>
      </c>
      <c r="NSC129" s="70">
        <v>0</v>
      </c>
      <c r="NSD129" s="70">
        <v>0</v>
      </c>
      <c r="NSE129" s="70">
        <v>0</v>
      </c>
      <c r="NSF129" s="70">
        <v>0</v>
      </c>
      <c r="NSG129" s="70">
        <v>0</v>
      </c>
      <c r="NSH129" s="70">
        <v>0</v>
      </c>
      <c r="NSI129" s="70">
        <v>0</v>
      </c>
      <c r="NSJ129" s="70">
        <v>0</v>
      </c>
      <c r="NSK129" s="70">
        <v>0</v>
      </c>
      <c r="NSL129" s="70">
        <v>0</v>
      </c>
      <c r="NSM129" s="70">
        <v>0</v>
      </c>
      <c r="NSN129" s="70">
        <v>0</v>
      </c>
      <c r="NSO129" s="70">
        <v>0</v>
      </c>
      <c r="NSP129" s="70">
        <v>0</v>
      </c>
      <c r="NSQ129" s="70">
        <v>0</v>
      </c>
      <c r="NSR129" s="70">
        <v>0</v>
      </c>
      <c r="NSS129" s="70">
        <v>0</v>
      </c>
      <c r="NST129" s="70">
        <v>0</v>
      </c>
      <c r="NSU129" s="70">
        <v>0</v>
      </c>
      <c r="NSV129" s="70">
        <v>0</v>
      </c>
      <c r="NSW129" s="70">
        <v>0</v>
      </c>
      <c r="NSX129" s="70">
        <v>0</v>
      </c>
      <c r="NSY129" s="70">
        <v>0</v>
      </c>
      <c r="NSZ129" s="70">
        <v>0</v>
      </c>
      <c r="NTA129" s="70">
        <v>0</v>
      </c>
      <c r="NTB129" s="70">
        <v>0</v>
      </c>
      <c r="NTC129" s="70">
        <v>0</v>
      </c>
      <c r="NTD129" s="70">
        <v>0</v>
      </c>
      <c r="NTE129" s="70">
        <v>0</v>
      </c>
      <c r="NTF129" s="70">
        <v>0</v>
      </c>
      <c r="NTG129" s="70">
        <v>0</v>
      </c>
      <c r="NTH129" s="70">
        <v>0</v>
      </c>
      <c r="NTI129" s="70">
        <v>0</v>
      </c>
      <c r="NTJ129" s="70">
        <v>0</v>
      </c>
      <c r="NTK129" s="70">
        <v>0</v>
      </c>
      <c r="NTL129" s="70">
        <v>0</v>
      </c>
      <c r="NTM129" s="70">
        <v>0</v>
      </c>
      <c r="NTN129" s="70">
        <v>0</v>
      </c>
      <c r="NTO129" s="70">
        <v>0</v>
      </c>
      <c r="NTP129" s="70">
        <v>0</v>
      </c>
      <c r="NTQ129" s="70">
        <v>0</v>
      </c>
      <c r="NTR129" s="70">
        <v>0</v>
      </c>
      <c r="NTS129" s="70">
        <v>0</v>
      </c>
      <c r="NTT129" s="70">
        <v>0</v>
      </c>
      <c r="NTU129" s="70">
        <v>0</v>
      </c>
      <c r="NTV129" s="70">
        <v>0</v>
      </c>
      <c r="NTW129" s="70">
        <v>0</v>
      </c>
      <c r="NTX129" s="70">
        <v>0</v>
      </c>
      <c r="NTY129" s="70">
        <v>0</v>
      </c>
      <c r="NTZ129" s="70">
        <v>0</v>
      </c>
      <c r="NUA129" s="70">
        <v>0</v>
      </c>
      <c r="NUB129" s="70">
        <v>0</v>
      </c>
      <c r="NUC129" s="70">
        <v>0</v>
      </c>
      <c r="NUD129" s="70">
        <v>0</v>
      </c>
      <c r="NUE129" s="70">
        <v>0</v>
      </c>
      <c r="NUF129" s="70">
        <v>0</v>
      </c>
      <c r="NUG129" s="70">
        <v>0</v>
      </c>
      <c r="NUH129" s="70">
        <v>0</v>
      </c>
      <c r="NUI129" s="70">
        <v>0</v>
      </c>
      <c r="NUJ129" s="70">
        <v>0</v>
      </c>
      <c r="NUK129" s="70">
        <v>0</v>
      </c>
      <c r="NUL129" s="70">
        <v>0</v>
      </c>
      <c r="NUM129" s="70">
        <v>0</v>
      </c>
      <c r="NUN129" s="70">
        <v>0</v>
      </c>
      <c r="NUO129" s="70">
        <v>0</v>
      </c>
      <c r="NUP129" s="70">
        <v>0</v>
      </c>
      <c r="NUQ129" s="70">
        <v>0</v>
      </c>
      <c r="NUR129" s="70">
        <v>0</v>
      </c>
      <c r="NUS129" s="70">
        <v>0</v>
      </c>
      <c r="NUT129" s="70">
        <v>0</v>
      </c>
      <c r="NUU129" s="70">
        <v>0</v>
      </c>
      <c r="NUV129" s="70">
        <v>0</v>
      </c>
      <c r="NUW129" s="70">
        <v>0</v>
      </c>
      <c r="NUX129" s="70">
        <v>0</v>
      </c>
      <c r="NUY129" s="70">
        <v>0</v>
      </c>
      <c r="NUZ129" s="70">
        <v>0</v>
      </c>
      <c r="NVA129" s="70">
        <v>0</v>
      </c>
      <c r="NVB129" s="70">
        <v>0</v>
      </c>
      <c r="NVC129" s="70">
        <v>0</v>
      </c>
      <c r="NVD129" s="70">
        <v>0</v>
      </c>
      <c r="NVE129" s="70">
        <v>0</v>
      </c>
      <c r="NVF129" s="70">
        <v>0</v>
      </c>
      <c r="NVG129" s="70">
        <v>0</v>
      </c>
      <c r="NVH129" s="70">
        <v>0</v>
      </c>
      <c r="NVI129" s="70">
        <v>0</v>
      </c>
      <c r="NVJ129" s="70">
        <v>0</v>
      </c>
      <c r="NVK129" s="70">
        <v>0</v>
      </c>
      <c r="NVL129" s="70">
        <v>0</v>
      </c>
      <c r="NVM129" s="70">
        <v>0</v>
      </c>
      <c r="NVN129" s="70">
        <v>0</v>
      </c>
      <c r="NVO129" s="70">
        <v>0</v>
      </c>
      <c r="NVP129" s="70">
        <v>0</v>
      </c>
      <c r="NVQ129" s="70">
        <v>0</v>
      </c>
      <c r="NVR129" s="70">
        <v>0</v>
      </c>
      <c r="NVS129" s="70">
        <v>0</v>
      </c>
      <c r="NVT129" s="70">
        <v>0</v>
      </c>
      <c r="NVU129" s="70">
        <v>0</v>
      </c>
      <c r="NVV129" s="70">
        <v>0</v>
      </c>
      <c r="NVW129" s="70">
        <v>0</v>
      </c>
      <c r="NVX129" s="70">
        <v>0</v>
      </c>
      <c r="NVY129" s="70">
        <v>0</v>
      </c>
      <c r="NVZ129" s="70">
        <v>0</v>
      </c>
      <c r="NWA129" s="70">
        <v>0</v>
      </c>
      <c r="NWB129" s="70">
        <v>0</v>
      </c>
      <c r="NWC129" s="70">
        <v>0</v>
      </c>
      <c r="NWD129" s="70">
        <v>0</v>
      </c>
      <c r="NWE129" s="70">
        <v>0</v>
      </c>
      <c r="NWF129" s="70">
        <v>0</v>
      </c>
      <c r="NWG129" s="70">
        <v>0</v>
      </c>
      <c r="NWH129" s="70">
        <v>0</v>
      </c>
      <c r="NWI129" s="70">
        <v>0</v>
      </c>
      <c r="NWJ129" s="70">
        <v>0</v>
      </c>
      <c r="NWK129" s="70">
        <v>0</v>
      </c>
      <c r="NWL129" s="70">
        <v>0</v>
      </c>
      <c r="NWM129" s="70">
        <v>0</v>
      </c>
      <c r="NWN129" s="70">
        <v>0</v>
      </c>
      <c r="NWO129" s="70">
        <v>0</v>
      </c>
      <c r="NWP129" s="70">
        <v>0</v>
      </c>
      <c r="NWQ129" s="70">
        <v>0</v>
      </c>
      <c r="NWR129" s="70">
        <v>0</v>
      </c>
      <c r="NWS129" s="70">
        <v>0</v>
      </c>
      <c r="NWT129" s="70">
        <v>0</v>
      </c>
      <c r="NWU129" s="70">
        <v>0</v>
      </c>
      <c r="NWV129" s="70">
        <v>0</v>
      </c>
      <c r="NWW129" s="70">
        <v>0</v>
      </c>
      <c r="NWX129" s="70">
        <v>0</v>
      </c>
      <c r="NWY129" s="70">
        <v>0</v>
      </c>
      <c r="NWZ129" s="70">
        <v>0</v>
      </c>
      <c r="NXA129" s="70">
        <v>0</v>
      </c>
      <c r="NXB129" s="70">
        <v>0</v>
      </c>
      <c r="NXC129" s="70">
        <v>0</v>
      </c>
      <c r="NXD129" s="70">
        <v>0</v>
      </c>
      <c r="NXE129" s="70">
        <v>0</v>
      </c>
      <c r="NXF129" s="70">
        <v>0</v>
      </c>
      <c r="NXG129" s="70">
        <v>0</v>
      </c>
      <c r="NXH129" s="70">
        <v>0</v>
      </c>
      <c r="NXI129" s="70">
        <v>0</v>
      </c>
      <c r="NXJ129" s="70">
        <v>0</v>
      </c>
      <c r="NXK129" s="70">
        <v>0</v>
      </c>
      <c r="NXL129" s="70">
        <v>0</v>
      </c>
      <c r="NXM129" s="70">
        <v>0</v>
      </c>
      <c r="NXN129" s="70">
        <v>0</v>
      </c>
      <c r="NXO129" s="70">
        <v>0</v>
      </c>
      <c r="NXP129" s="70">
        <v>0</v>
      </c>
      <c r="NXQ129" s="70">
        <v>0</v>
      </c>
      <c r="NXR129" s="70">
        <v>0</v>
      </c>
      <c r="NXS129" s="70">
        <v>0</v>
      </c>
      <c r="NXT129" s="70">
        <v>0</v>
      </c>
      <c r="NXU129" s="70">
        <v>0</v>
      </c>
      <c r="NXV129" s="70">
        <v>0</v>
      </c>
      <c r="NXW129" s="70">
        <v>0</v>
      </c>
      <c r="NXX129" s="70">
        <v>0</v>
      </c>
      <c r="NXY129" s="70">
        <v>0</v>
      </c>
      <c r="NXZ129" s="70">
        <v>0</v>
      </c>
      <c r="NYA129" s="70">
        <v>0</v>
      </c>
      <c r="NYB129" s="70">
        <v>0</v>
      </c>
      <c r="NYC129" s="70">
        <v>0</v>
      </c>
      <c r="NYD129" s="70">
        <v>0</v>
      </c>
      <c r="NYE129" s="70">
        <v>0</v>
      </c>
      <c r="NYF129" s="70">
        <v>0</v>
      </c>
      <c r="NYG129" s="70">
        <v>0</v>
      </c>
      <c r="NYH129" s="70">
        <v>0</v>
      </c>
      <c r="NYI129" s="70">
        <v>0</v>
      </c>
      <c r="NYJ129" s="70">
        <v>0</v>
      </c>
      <c r="NYK129" s="70">
        <v>0</v>
      </c>
      <c r="NYL129" s="70">
        <v>0</v>
      </c>
      <c r="NYM129" s="70">
        <v>0</v>
      </c>
      <c r="NYN129" s="70">
        <v>0</v>
      </c>
      <c r="NYO129" s="70">
        <v>0</v>
      </c>
      <c r="NYP129" s="70">
        <v>0</v>
      </c>
      <c r="NYQ129" s="70">
        <v>0</v>
      </c>
      <c r="NYR129" s="70">
        <v>0</v>
      </c>
      <c r="NYS129" s="70">
        <v>0</v>
      </c>
      <c r="NYT129" s="70">
        <v>0</v>
      </c>
      <c r="NYU129" s="70">
        <v>0</v>
      </c>
      <c r="NYV129" s="70">
        <v>0</v>
      </c>
      <c r="NYW129" s="70">
        <v>0</v>
      </c>
      <c r="NYX129" s="70">
        <v>0</v>
      </c>
      <c r="NYY129" s="70">
        <v>0</v>
      </c>
      <c r="NYZ129" s="70">
        <v>0</v>
      </c>
      <c r="NZA129" s="70">
        <v>0</v>
      </c>
      <c r="NZB129" s="70">
        <v>0</v>
      </c>
      <c r="NZC129" s="70">
        <v>0</v>
      </c>
      <c r="NZD129" s="70">
        <v>0</v>
      </c>
      <c r="NZE129" s="70">
        <v>0</v>
      </c>
      <c r="NZF129" s="70">
        <v>0</v>
      </c>
      <c r="NZG129" s="70">
        <v>0</v>
      </c>
      <c r="NZH129" s="70">
        <v>0</v>
      </c>
      <c r="NZI129" s="70">
        <v>0</v>
      </c>
      <c r="NZJ129" s="70">
        <v>0</v>
      </c>
      <c r="NZK129" s="70">
        <v>0</v>
      </c>
      <c r="NZL129" s="70">
        <v>0</v>
      </c>
      <c r="NZM129" s="70">
        <v>0</v>
      </c>
      <c r="NZN129" s="70">
        <v>0</v>
      </c>
      <c r="NZO129" s="70">
        <v>0</v>
      </c>
      <c r="NZP129" s="70">
        <v>0</v>
      </c>
      <c r="NZQ129" s="70">
        <v>0</v>
      </c>
      <c r="NZR129" s="70">
        <v>0</v>
      </c>
      <c r="NZS129" s="70">
        <v>0</v>
      </c>
      <c r="NZT129" s="70">
        <v>0</v>
      </c>
      <c r="NZU129" s="70">
        <v>0</v>
      </c>
      <c r="NZV129" s="70">
        <v>0</v>
      </c>
      <c r="NZW129" s="70">
        <v>0</v>
      </c>
      <c r="NZX129" s="70">
        <v>0</v>
      </c>
      <c r="NZY129" s="70">
        <v>0</v>
      </c>
      <c r="NZZ129" s="70">
        <v>0</v>
      </c>
      <c r="OAA129" s="70">
        <v>0</v>
      </c>
      <c r="OAB129" s="70">
        <v>0</v>
      </c>
      <c r="OAC129" s="70">
        <v>0</v>
      </c>
      <c r="OAD129" s="70">
        <v>0</v>
      </c>
      <c r="OAE129" s="70">
        <v>0</v>
      </c>
      <c r="OAF129" s="70">
        <v>0</v>
      </c>
      <c r="OAG129" s="70">
        <v>0</v>
      </c>
      <c r="OAH129" s="70">
        <v>0</v>
      </c>
      <c r="OAI129" s="70">
        <v>0</v>
      </c>
      <c r="OAJ129" s="70">
        <v>0</v>
      </c>
      <c r="OAK129" s="70">
        <v>0</v>
      </c>
      <c r="OAL129" s="70">
        <v>0</v>
      </c>
      <c r="OAM129" s="70">
        <v>0</v>
      </c>
      <c r="OAN129" s="70">
        <v>0</v>
      </c>
      <c r="OAO129" s="70">
        <v>0</v>
      </c>
      <c r="OAP129" s="70">
        <v>0</v>
      </c>
      <c r="OAQ129" s="70">
        <v>0</v>
      </c>
      <c r="OAR129" s="70">
        <v>0</v>
      </c>
      <c r="OAS129" s="70">
        <v>0</v>
      </c>
      <c r="OAT129" s="70">
        <v>0</v>
      </c>
      <c r="OAU129" s="70">
        <v>0</v>
      </c>
      <c r="OAV129" s="70">
        <v>0</v>
      </c>
      <c r="OAW129" s="70">
        <v>0</v>
      </c>
      <c r="OAX129" s="70">
        <v>0</v>
      </c>
      <c r="OAY129" s="70">
        <v>0</v>
      </c>
      <c r="OAZ129" s="70">
        <v>0</v>
      </c>
      <c r="OBA129" s="70">
        <v>0</v>
      </c>
      <c r="OBB129" s="70">
        <v>0</v>
      </c>
      <c r="OBC129" s="70">
        <v>0</v>
      </c>
      <c r="OBD129" s="70">
        <v>0</v>
      </c>
      <c r="OBE129" s="70">
        <v>0</v>
      </c>
      <c r="OBF129" s="70">
        <v>0</v>
      </c>
      <c r="OBG129" s="70">
        <v>0</v>
      </c>
      <c r="OBH129" s="70">
        <v>0</v>
      </c>
      <c r="OBI129" s="70">
        <v>0</v>
      </c>
      <c r="OBJ129" s="70">
        <v>0</v>
      </c>
      <c r="OBK129" s="70">
        <v>0</v>
      </c>
      <c r="OBL129" s="70">
        <v>0</v>
      </c>
      <c r="OBM129" s="70">
        <v>0</v>
      </c>
      <c r="OBN129" s="70">
        <v>0</v>
      </c>
      <c r="OBO129" s="70">
        <v>0</v>
      </c>
      <c r="OBP129" s="70">
        <v>0</v>
      </c>
      <c r="OBQ129" s="70">
        <v>0</v>
      </c>
      <c r="OBR129" s="70">
        <v>0</v>
      </c>
      <c r="OBS129" s="70">
        <v>0</v>
      </c>
      <c r="OBT129" s="70">
        <v>0</v>
      </c>
      <c r="OBU129" s="70">
        <v>0</v>
      </c>
      <c r="OBV129" s="70">
        <v>0</v>
      </c>
      <c r="OBW129" s="70">
        <v>0</v>
      </c>
      <c r="OBX129" s="70">
        <v>0</v>
      </c>
      <c r="OBY129" s="70">
        <v>0</v>
      </c>
      <c r="OBZ129" s="70">
        <v>0</v>
      </c>
      <c r="OCA129" s="70">
        <v>0</v>
      </c>
      <c r="OCB129" s="70">
        <v>0</v>
      </c>
      <c r="OCC129" s="70">
        <v>0</v>
      </c>
      <c r="OCD129" s="70">
        <v>0</v>
      </c>
      <c r="OCE129" s="70">
        <v>0</v>
      </c>
      <c r="OCF129" s="70">
        <v>0</v>
      </c>
      <c r="OCG129" s="70">
        <v>0</v>
      </c>
      <c r="OCH129" s="70">
        <v>0</v>
      </c>
      <c r="OCI129" s="70">
        <v>0</v>
      </c>
      <c r="OCJ129" s="70">
        <v>0</v>
      </c>
      <c r="OCK129" s="70">
        <v>0</v>
      </c>
      <c r="OCL129" s="70">
        <v>0</v>
      </c>
      <c r="OCM129" s="70">
        <v>0</v>
      </c>
      <c r="OCN129" s="70">
        <v>0</v>
      </c>
      <c r="OCO129" s="70">
        <v>0</v>
      </c>
      <c r="OCP129" s="70">
        <v>0</v>
      </c>
      <c r="OCQ129" s="70">
        <v>0</v>
      </c>
      <c r="OCR129" s="70">
        <v>0</v>
      </c>
      <c r="OCS129" s="70">
        <v>0</v>
      </c>
      <c r="OCT129" s="70">
        <v>0</v>
      </c>
      <c r="OCU129" s="70">
        <v>0</v>
      </c>
      <c r="OCV129" s="70">
        <v>0</v>
      </c>
      <c r="OCW129" s="70">
        <v>0</v>
      </c>
      <c r="OCX129" s="70">
        <v>0</v>
      </c>
      <c r="OCY129" s="70">
        <v>0</v>
      </c>
      <c r="OCZ129" s="70">
        <v>0</v>
      </c>
      <c r="ODA129" s="70">
        <v>0</v>
      </c>
      <c r="ODB129" s="70">
        <v>0</v>
      </c>
      <c r="ODC129" s="70">
        <v>0</v>
      </c>
      <c r="ODD129" s="70">
        <v>0</v>
      </c>
      <c r="ODE129" s="70">
        <v>0</v>
      </c>
      <c r="ODF129" s="70">
        <v>0</v>
      </c>
      <c r="ODG129" s="70">
        <v>0</v>
      </c>
      <c r="ODH129" s="70">
        <v>0</v>
      </c>
      <c r="ODI129" s="70">
        <v>0</v>
      </c>
      <c r="ODJ129" s="70">
        <v>0</v>
      </c>
      <c r="ODK129" s="70">
        <v>0</v>
      </c>
      <c r="ODL129" s="70">
        <v>0</v>
      </c>
      <c r="ODM129" s="70">
        <v>0</v>
      </c>
      <c r="ODN129" s="70">
        <v>0</v>
      </c>
      <c r="ODO129" s="70">
        <v>0</v>
      </c>
      <c r="ODP129" s="70">
        <v>0</v>
      </c>
      <c r="ODQ129" s="70">
        <v>0</v>
      </c>
      <c r="ODR129" s="70">
        <v>0</v>
      </c>
      <c r="ODS129" s="70">
        <v>0</v>
      </c>
      <c r="ODT129" s="70">
        <v>0</v>
      </c>
      <c r="ODU129" s="70">
        <v>0</v>
      </c>
      <c r="ODV129" s="70">
        <v>0</v>
      </c>
      <c r="ODW129" s="70">
        <v>0</v>
      </c>
      <c r="ODX129" s="70">
        <v>0</v>
      </c>
      <c r="ODY129" s="70">
        <v>0</v>
      </c>
      <c r="ODZ129" s="70">
        <v>0</v>
      </c>
      <c r="OEA129" s="70">
        <v>0</v>
      </c>
      <c r="OEB129" s="70">
        <v>0</v>
      </c>
      <c r="OEC129" s="70">
        <v>0</v>
      </c>
      <c r="OED129" s="70">
        <v>0</v>
      </c>
      <c r="OEE129" s="70">
        <v>0</v>
      </c>
      <c r="OEF129" s="70">
        <v>0</v>
      </c>
      <c r="OEG129" s="70">
        <v>0</v>
      </c>
      <c r="OEH129" s="70">
        <v>0</v>
      </c>
      <c r="OEI129" s="70">
        <v>0</v>
      </c>
      <c r="OEJ129" s="70">
        <v>0</v>
      </c>
      <c r="OEK129" s="70">
        <v>0</v>
      </c>
      <c r="OEL129" s="70">
        <v>0</v>
      </c>
      <c r="OEM129" s="70">
        <v>0</v>
      </c>
      <c r="OEN129" s="70">
        <v>0</v>
      </c>
      <c r="OEO129" s="70">
        <v>0</v>
      </c>
      <c r="OEP129" s="70">
        <v>0</v>
      </c>
      <c r="OEQ129" s="70">
        <v>0</v>
      </c>
      <c r="OER129" s="70">
        <v>0</v>
      </c>
      <c r="OES129" s="70">
        <v>0</v>
      </c>
      <c r="OET129" s="70">
        <v>0</v>
      </c>
      <c r="OEU129" s="70">
        <v>0</v>
      </c>
      <c r="OEV129" s="70">
        <v>0</v>
      </c>
      <c r="OEW129" s="70">
        <v>0</v>
      </c>
      <c r="OEX129" s="70">
        <v>0</v>
      </c>
      <c r="OEY129" s="70">
        <v>0</v>
      </c>
      <c r="OEZ129" s="70">
        <v>0</v>
      </c>
      <c r="OFA129" s="70">
        <v>0</v>
      </c>
      <c r="OFB129" s="70">
        <v>0</v>
      </c>
      <c r="OFC129" s="70">
        <v>0</v>
      </c>
      <c r="OFD129" s="70">
        <v>0</v>
      </c>
      <c r="OFE129" s="70">
        <v>0</v>
      </c>
      <c r="OFF129" s="70">
        <v>0</v>
      </c>
      <c r="OFG129" s="70">
        <v>0</v>
      </c>
      <c r="OFH129" s="70">
        <v>0</v>
      </c>
      <c r="OFI129" s="70">
        <v>0</v>
      </c>
      <c r="OFJ129" s="70">
        <v>0</v>
      </c>
      <c r="OFK129" s="70">
        <v>0</v>
      </c>
      <c r="OFL129" s="70">
        <v>0</v>
      </c>
      <c r="OFM129" s="70">
        <v>0</v>
      </c>
      <c r="OFN129" s="70">
        <v>0</v>
      </c>
      <c r="OFO129" s="70">
        <v>0</v>
      </c>
      <c r="OFP129" s="70">
        <v>0</v>
      </c>
      <c r="OFQ129" s="70">
        <v>0</v>
      </c>
      <c r="OFR129" s="70">
        <v>0</v>
      </c>
      <c r="OFS129" s="70">
        <v>0</v>
      </c>
      <c r="OFT129" s="70">
        <v>0</v>
      </c>
      <c r="OFU129" s="70">
        <v>0</v>
      </c>
      <c r="OFV129" s="70">
        <v>0</v>
      </c>
      <c r="OFW129" s="70">
        <v>0</v>
      </c>
      <c r="OFX129" s="70">
        <v>0</v>
      </c>
      <c r="OFY129" s="70">
        <v>0</v>
      </c>
      <c r="OFZ129" s="70">
        <v>0</v>
      </c>
      <c r="OGA129" s="70">
        <v>0</v>
      </c>
      <c r="OGB129" s="70">
        <v>0</v>
      </c>
      <c r="OGC129" s="70">
        <v>0</v>
      </c>
      <c r="OGD129" s="70">
        <v>0</v>
      </c>
      <c r="OGE129" s="70">
        <v>0</v>
      </c>
      <c r="OGF129" s="70">
        <v>0</v>
      </c>
      <c r="OGG129" s="70">
        <v>0</v>
      </c>
      <c r="OGH129" s="70">
        <v>0</v>
      </c>
      <c r="OGI129" s="70">
        <v>0</v>
      </c>
      <c r="OGJ129" s="70">
        <v>0</v>
      </c>
      <c r="OGK129" s="70">
        <v>0</v>
      </c>
      <c r="OGL129" s="70">
        <v>0</v>
      </c>
      <c r="OGM129" s="70">
        <v>0</v>
      </c>
      <c r="OGN129" s="70">
        <v>0</v>
      </c>
      <c r="OGO129" s="70">
        <v>0</v>
      </c>
      <c r="OGP129" s="70">
        <v>0</v>
      </c>
      <c r="OGQ129" s="70">
        <v>0</v>
      </c>
      <c r="OGR129" s="70">
        <v>0</v>
      </c>
      <c r="OGS129" s="70">
        <v>0</v>
      </c>
      <c r="OGT129" s="70">
        <v>0</v>
      </c>
      <c r="OGU129" s="70">
        <v>0</v>
      </c>
      <c r="OGV129" s="70">
        <v>0</v>
      </c>
      <c r="OGW129" s="70">
        <v>0</v>
      </c>
      <c r="OGX129" s="70">
        <v>0</v>
      </c>
      <c r="OGY129" s="70">
        <v>0</v>
      </c>
      <c r="OGZ129" s="70">
        <v>0</v>
      </c>
      <c r="OHA129" s="70">
        <v>0</v>
      </c>
      <c r="OHB129" s="70">
        <v>0</v>
      </c>
      <c r="OHC129" s="70">
        <v>0</v>
      </c>
      <c r="OHD129" s="70">
        <v>0</v>
      </c>
      <c r="OHE129" s="70">
        <v>0</v>
      </c>
      <c r="OHF129" s="70">
        <v>0</v>
      </c>
      <c r="OHG129" s="70">
        <v>0</v>
      </c>
      <c r="OHH129" s="70">
        <v>0</v>
      </c>
      <c r="OHI129" s="70">
        <v>0</v>
      </c>
      <c r="OHJ129" s="70">
        <v>0</v>
      </c>
      <c r="OHK129" s="70">
        <v>0</v>
      </c>
      <c r="OHL129" s="70">
        <v>0</v>
      </c>
      <c r="OHM129" s="70">
        <v>0</v>
      </c>
      <c r="OHN129" s="70">
        <v>0</v>
      </c>
      <c r="OHO129" s="70">
        <v>0</v>
      </c>
      <c r="OHP129" s="70">
        <v>0</v>
      </c>
      <c r="OHQ129" s="70">
        <v>0</v>
      </c>
      <c r="OHR129" s="70">
        <v>0</v>
      </c>
      <c r="OHS129" s="70">
        <v>0</v>
      </c>
      <c r="OHT129" s="70">
        <v>0</v>
      </c>
      <c r="OHU129" s="70">
        <v>0</v>
      </c>
      <c r="OHV129" s="70">
        <v>0</v>
      </c>
      <c r="OHW129" s="70">
        <v>0</v>
      </c>
      <c r="OHX129" s="70">
        <v>0</v>
      </c>
      <c r="OHY129" s="70">
        <v>0</v>
      </c>
      <c r="OHZ129" s="70">
        <v>0</v>
      </c>
      <c r="OIA129" s="70">
        <v>0</v>
      </c>
      <c r="OIB129" s="70">
        <v>0</v>
      </c>
      <c r="OIC129" s="70">
        <v>0</v>
      </c>
      <c r="OID129" s="70">
        <v>0</v>
      </c>
      <c r="OIE129" s="70">
        <v>0</v>
      </c>
      <c r="OIF129" s="70">
        <v>0</v>
      </c>
      <c r="OIG129" s="70">
        <v>0</v>
      </c>
      <c r="OIH129" s="70">
        <v>0</v>
      </c>
      <c r="OII129" s="70">
        <v>0</v>
      </c>
      <c r="OIJ129" s="70">
        <v>0</v>
      </c>
      <c r="OIK129" s="70">
        <v>0</v>
      </c>
      <c r="OIL129" s="70">
        <v>0</v>
      </c>
      <c r="OIM129" s="70">
        <v>0</v>
      </c>
      <c r="OIN129" s="70">
        <v>0</v>
      </c>
      <c r="OIO129" s="70">
        <v>0</v>
      </c>
      <c r="OIP129" s="70">
        <v>0</v>
      </c>
      <c r="OIQ129" s="70">
        <v>0</v>
      </c>
      <c r="OIR129" s="70">
        <v>0</v>
      </c>
      <c r="OIS129" s="70">
        <v>0</v>
      </c>
      <c r="OIT129" s="70">
        <v>0</v>
      </c>
      <c r="OIU129" s="70">
        <v>0</v>
      </c>
      <c r="OIV129" s="70">
        <v>0</v>
      </c>
      <c r="OIW129" s="70">
        <v>0</v>
      </c>
      <c r="OIX129" s="70">
        <v>0</v>
      </c>
      <c r="OIY129" s="70">
        <v>0</v>
      </c>
      <c r="OIZ129" s="70">
        <v>0</v>
      </c>
      <c r="OJA129" s="70">
        <v>0</v>
      </c>
      <c r="OJB129" s="70">
        <v>0</v>
      </c>
      <c r="OJC129" s="70">
        <v>0</v>
      </c>
      <c r="OJD129" s="70">
        <v>0</v>
      </c>
      <c r="OJE129" s="70">
        <v>0</v>
      </c>
      <c r="OJF129" s="70">
        <v>0</v>
      </c>
      <c r="OJG129" s="70">
        <v>0</v>
      </c>
      <c r="OJH129" s="70">
        <v>0</v>
      </c>
      <c r="OJI129" s="70">
        <v>0</v>
      </c>
      <c r="OJJ129" s="70">
        <v>0</v>
      </c>
      <c r="OJK129" s="70">
        <v>0</v>
      </c>
      <c r="OJL129" s="70">
        <v>0</v>
      </c>
      <c r="OJM129" s="70">
        <v>0</v>
      </c>
      <c r="OJN129" s="70">
        <v>0</v>
      </c>
      <c r="OJO129" s="70">
        <v>0</v>
      </c>
      <c r="OJP129" s="70">
        <v>0</v>
      </c>
      <c r="OJQ129" s="70">
        <v>0</v>
      </c>
      <c r="OJR129" s="70">
        <v>0</v>
      </c>
      <c r="OJS129" s="70">
        <v>0</v>
      </c>
      <c r="OJT129" s="70">
        <v>0</v>
      </c>
      <c r="OJU129" s="70">
        <v>0</v>
      </c>
      <c r="OJV129" s="70">
        <v>0</v>
      </c>
      <c r="OJW129" s="70">
        <v>0</v>
      </c>
      <c r="OJX129" s="70">
        <v>0</v>
      </c>
      <c r="OJY129" s="70">
        <v>0</v>
      </c>
      <c r="OJZ129" s="70">
        <v>0</v>
      </c>
      <c r="OKA129" s="70">
        <v>0</v>
      </c>
      <c r="OKB129" s="70">
        <v>0</v>
      </c>
      <c r="OKC129" s="70">
        <v>0</v>
      </c>
      <c r="OKD129" s="70">
        <v>0</v>
      </c>
      <c r="OKE129" s="70">
        <v>0</v>
      </c>
      <c r="OKF129" s="70">
        <v>0</v>
      </c>
      <c r="OKG129" s="70">
        <v>0</v>
      </c>
      <c r="OKH129" s="70">
        <v>0</v>
      </c>
      <c r="OKI129" s="70">
        <v>0</v>
      </c>
      <c r="OKJ129" s="70">
        <v>0</v>
      </c>
      <c r="OKK129" s="70">
        <v>0</v>
      </c>
      <c r="OKL129" s="70">
        <v>0</v>
      </c>
      <c r="OKM129" s="70">
        <v>0</v>
      </c>
      <c r="OKN129" s="70">
        <v>0</v>
      </c>
      <c r="OKO129" s="70">
        <v>0</v>
      </c>
      <c r="OKP129" s="70">
        <v>0</v>
      </c>
      <c r="OKQ129" s="70">
        <v>0</v>
      </c>
      <c r="OKR129" s="70">
        <v>0</v>
      </c>
      <c r="OKS129" s="70">
        <v>0</v>
      </c>
      <c r="OKT129" s="70">
        <v>0</v>
      </c>
      <c r="OKU129" s="70">
        <v>0</v>
      </c>
      <c r="OKV129" s="70">
        <v>0</v>
      </c>
      <c r="OKW129" s="70">
        <v>0</v>
      </c>
      <c r="OKX129" s="70">
        <v>0</v>
      </c>
      <c r="OKY129" s="70">
        <v>0</v>
      </c>
      <c r="OKZ129" s="70">
        <v>0</v>
      </c>
      <c r="OLA129" s="70">
        <v>0</v>
      </c>
      <c r="OLB129" s="70">
        <v>0</v>
      </c>
      <c r="OLC129" s="70">
        <v>0</v>
      </c>
      <c r="OLD129" s="70">
        <v>0</v>
      </c>
      <c r="OLE129" s="70">
        <v>0</v>
      </c>
      <c r="OLF129" s="70">
        <v>0</v>
      </c>
      <c r="OLG129" s="70">
        <v>0</v>
      </c>
      <c r="OLH129" s="70">
        <v>0</v>
      </c>
      <c r="OLI129" s="70">
        <v>0</v>
      </c>
      <c r="OLJ129" s="70">
        <v>0</v>
      </c>
      <c r="OLK129" s="70">
        <v>0</v>
      </c>
      <c r="OLL129" s="70">
        <v>0</v>
      </c>
      <c r="OLM129" s="70">
        <v>0</v>
      </c>
      <c r="OLN129" s="70">
        <v>0</v>
      </c>
      <c r="OLO129" s="70">
        <v>0</v>
      </c>
      <c r="OLP129" s="70">
        <v>0</v>
      </c>
      <c r="OLQ129" s="70">
        <v>0</v>
      </c>
      <c r="OLR129" s="70">
        <v>0</v>
      </c>
      <c r="OLS129" s="70">
        <v>0</v>
      </c>
      <c r="OLT129" s="70">
        <v>0</v>
      </c>
      <c r="OLU129" s="70">
        <v>0</v>
      </c>
      <c r="OLV129" s="70">
        <v>0</v>
      </c>
      <c r="OLW129" s="70">
        <v>0</v>
      </c>
      <c r="OLX129" s="70">
        <v>0</v>
      </c>
      <c r="OLY129" s="70">
        <v>0</v>
      </c>
      <c r="OLZ129" s="70">
        <v>0</v>
      </c>
      <c r="OMA129" s="70">
        <v>0</v>
      </c>
      <c r="OMB129" s="70">
        <v>0</v>
      </c>
      <c r="OMC129" s="70">
        <v>0</v>
      </c>
      <c r="OMD129" s="70">
        <v>0</v>
      </c>
      <c r="OME129" s="70">
        <v>0</v>
      </c>
      <c r="OMF129" s="70">
        <v>0</v>
      </c>
      <c r="OMG129" s="70">
        <v>0</v>
      </c>
      <c r="OMH129" s="70">
        <v>0</v>
      </c>
      <c r="OMI129" s="70">
        <v>0</v>
      </c>
      <c r="OMJ129" s="70">
        <v>0</v>
      </c>
      <c r="OMK129" s="70">
        <v>0</v>
      </c>
      <c r="OML129" s="70">
        <v>0</v>
      </c>
      <c r="OMM129" s="70">
        <v>0</v>
      </c>
      <c r="OMN129" s="70">
        <v>0</v>
      </c>
      <c r="OMO129" s="70">
        <v>0</v>
      </c>
      <c r="OMP129" s="70">
        <v>0</v>
      </c>
      <c r="OMQ129" s="70">
        <v>0</v>
      </c>
      <c r="OMR129" s="70">
        <v>0</v>
      </c>
      <c r="OMS129" s="70">
        <v>0</v>
      </c>
      <c r="OMT129" s="70">
        <v>0</v>
      </c>
      <c r="OMU129" s="70">
        <v>0</v>
      </c>
      <c r="OMV129" s="70">
        <v>0</v>
      </c>
      <c r="OMW129" s="70">
        <v>0</v>
      </c>
      <c r="OMX129" s="70">
        <v>0</v>
      </c>
      <c r="OMY129" s="70">
        <v>0</v>
      </c>
      <c r="OMZ129" s="70">
        <v>0</v>
      </c>
      <c r="ONA129" s="70">
        <v>0</v>
      </c>
      <c r="ONB129" s="70">
        <v>0</v>
      </c>
      <c r="ONC129" s="70">
        <v>0</v>
      </c>
      <c r="OND129" s="70">
        <v>0</v>
      </c>
      <c r="ONE129" s="70">
        <v>0</v>
      </c>
      <c r="ONF129" s="70">
        <v>0</v>
      </c>
      <c r="ONG129" s="70">
        <v>0</v>
      </c>
      <c r="ONH129" s="70">
        <v>0</v>
      </c>
      <c r="ONI129" s="70">
        <v>0</v>
      </c>
      <c r="ONJ129" s="70">
        <v>0</v>
      </c>
      <c r="ONK129" s="70">
        <v>0</v>
      </c>
      <c r="ONL129" s="70">
        <v>0</v>
      </c>
      <c r="ONM129" s="70">
        <v>0</v>
      </c>
      <c r="ONN129" s="70">
        <v>0</v>
      </c>
      <c r="ONO129" s="70">
        <v>0</v>
      </c>
      <c r="ONP129" s="70">
        <v>0</v>
      </c>
      <c r="ONQ129" s="70">
        <v>0</v>
      </c>
      <c r="ONR129" s="70">
        <v>0</v>
      </c>
      <c r="ONS129" s="70">
        <v>0</v>
      </c>
      <c r="ONT129" s="70">
        <v>0</v>
      </c>
      <c r="ONU129" s="70">
        <v>0</v>
      </c>
      <c r="ONV129" s="70">
        <v>0</v>
      </c>
      <c r="ONW129" s="70">
        <v>0</v>
      </c>
      <c r="ONX129" s="70">
        <v>0</v>
      </c>
      <c r="ONY129" s="70">
        <v>0</v>
      </c>
      <c r="ONZ129" s="70">
        <v>0</v>
      </c>
      <c r="OOA129" s="70">
        <v>0</v>
      </c>
      <c r="OOB129" s="70">
        <v>0</v>
      </c>
      <c r="OOC129" s="70">
        <v>0</v>
      </c>
      <c r="OOD129" s="70">
        <v>0</v>
      </c>
      <c r="OOE129" s="70">
        <v>0</v>
      </c>
      <c r="OOF129" s="70">
        <v>0</v>
      </c>
      <c r="OOG129" s="70">
        <v>0</v>
      </c>
      <c r="OOH129" s="70">
        <v>0</v>
      </c>
      <c r="OOI129" s="70">
        <v>0</v>
      </c>
      <c r="OOJ129" s="70">
        <v>0</v>
      </c>
      <c r="OOK129" s="70">
        <v>0</v>
      </c>
      <c r="OOL129" s="70">
        <v>0</v>
      </c>
      <c r="OOM129" s="70">
        <v>0</v>
      </c>
      <c r="OON129" s="70">
        <v>0</v>
      </c>
      <c r="OOO129" s="70">
        <v>0</v>
      </c>
      <c r="OOP129" s="70">
        <v>0</v>
      </c>
      <c r="OOQ129" s="70">
        <v>0</v>
      </c>
      <c r="OOR129" s="70">
        <v>0</v>
      </c>
      <c r="OOS129" s="70">
        <v>0</v>
      </c>
      <c r="OOT129" s="70">
        <v>0</v>
      </c>
      <c r="OOU129" s="70">
        <v>0</v>
      </c>
      <c r="OOV129" s="70">
        <v>0</v>
      </c>
      <c r="OOW129" s="70">
        <v>0</v>
      </c>
      <c r="OOX129" s="70">
        <v>0</v>
      </c>
      <c r="OOY129" s="70">
        <v>0</v>
      </c>
      <c r="OOZ129" s="70">
        <v>0</v>
      </c>
      <c r="OPA129" s="70">
        <v>0</v>
      </c>
      <c r="OPB129" s="70">
        <v>0</v>
      </c>
      <c r="OPC129" s="70">
        <v>0</v>
      </c>
      <c r="OPD129" s="70">
        <v>0</v>
      </c>
      <c r="OPE129" s="70">
        <v>0</v>
      </c>
      <c r="OPF129" s="70">
        <v>0</v>
      </c>
      <c r="OPG129" s="70">
        <v>0</v>
      </c>
      <c r="OPH129" s="70">
        <v>0</v>
      </c>
      <c r="OPI129" s="70">
        <v>0</v>
      </c>
      <c r="OPJ129" s="70">
        <v>0</v>
      </c>
      <c r="OPK129" s="70">
        <v>0</v>
      </c>
      <c r="OPL129" s="70">
        <v>0</v>
      </c>
      <c r="OPM129" s="70">
        <v>0</v>
      </c>
      <c r="OPN129" s="70">
        <v>0</v>
      </c>
      <c r="OPO129" s="70">
        <v>0</v>
      </c>
      <c r="OPP129" s="70">
        <v>0</v>
      </c>
      <c r="OPQ129" s="70">
        <v>0</v>
      </c>
      <c r="OPR129" s="70">
        <v>0</v>
      </c>
      <c r="OPS129" s="70">
        <v>0</v>
      </c>
      <c r="OPT129" s="70">
        <v>0</v>
      </c>
      <c r="OPU129" s="70">
        <v>0</v>
      </c>
      <c r="OPV129" s="70">
        <v>0</v>
      </c>
      <c r="OPW129" s="70">
        <v>0</v>
      </c>
      <c r="OPX129" s="70">
        <v>0</v>
      </c>
      <c r="OPY129" s="70">
        <v>0</v>
      </c>
      <c r="OPZ129" s="70">
        <v>0</v>
      </c>
      <c r="OQA129" s="70">
        <v>0</v>
      </c>
      <c r="OQB129" s="70">
        <v>0</v>
      </c>
      <c r="OQC129" s="70">
        <v>0</v>
      </c>
      <c r="OQD129" s="70">
        <v>0</v>
      </c>
      <c r="OQE129" s="70">
        <v>0</v>
      </c>
      <c r="OQF129" s="70">
        <v>0</v>
      </c>
      <c r="OQG129" s="70">
        <v>0</v>
      </c>
      <c r="OQH129" s="70">
        <v>0</v>
      </c>
      <c r="OQI129" s="70">
        <v>0</v>
      </c>
      <c r="OQJ129" s="70">
        <v>0</v>
      </c>
      <c r="OQK129" s="70">
        <v>0</v>
      </c>
      <c r="OQL129" s="70">
        <v>0</v>
      </c>
      <c r="OQM129" s="70">
        <v>0</v>
      </c>
      <c r="OQN129" s="70">
        <v>0</v>
      </c>
      <c r="OQO129" s="70">
        <v>0</v>
      </c>
      <c r="OQP129" s="70">
        <v>0</v>
      </c>
      <c r="OQQ129" s="70">
        <v>0</v>
      </c>
      <c r="OQR129" s="70">
        <v>0</v>
      </c>
      <c r="OQS129" s="70">
        <v>0</v>
      </c>
      <c r="OQT129" s="70">
        <v>0</v>
      </c>
      <c r="OQU129" s="70">
        <v>0</v>
      </c>
      <c r="OQV129" s="70">
        <v>0</v>
      </c>
      <c r="OQW129" s="70">
        <v>0</v>
      </c>
      <c r="OQX129" s="70">
        <v>0</v>
      </c>
      <c r="OQY129" s="70">
        <v>0</v>
      </c>
      <c r="OQZ129" s="70">
        <v>0</v>
      </c>
      <c r="ORA129" s="70">
        <v>0</v>
      </c>
      <c r="ORB129" s="70">
        <v>0</v>
      </c>
      <c r="ORC129" s="70">
        <v>0</v>
      </c>
      <c r="ORD129" s="70">
        <v>0</v>
      </c>
      <c r="ORE129" s="70">
        <v>0</v>
      </c>
      <c r="ORF129" s="70">
        <v>0</v>
      </c>
      <c r="ORG129" s="70">
        <v>0</v>
      </c>
      <c r="ORH129" s="70">
        <v>0</v>
      </c>
      <c r="ORI129" s="70">
        <v>0</v>
      </c>
      <c r="ORJ129" s="70">
        <v>0</v>
      </c>
      <c r="ORK129" s="70">
        <v>0</v>
      </c>
      <c r="ORL129" s="70">
        <v>0</v>
      </c>
      <c r="ORM129" s="70">
        <v>0</v>
      </c>
      <c r="ORN129" s="70">
        <v>0</v>
      </c>
      <c r="ORO129" s="70">
        <v>0</v>
      </c>
      <c r="ORP129" s="70">
        <v>0</v>
      </c>
      <c r="ORQ129" s="70">
        <v>0</v>
      </c>
      <c r="ORR129" s="70">
        <v>0</v>
      </c>
      <c r="ORS129" s="70">
        <v>0</v>
      </c>
      <c r="ORT129" s="70">
        <v>0</v>
      </c>
      <c r="ORU129" s="70">
        <v>0</v>
      </c>
      <c r="ORV129" s="70">
        <v>0</v>
      </c>
      <c r="ORW129" s="70">
        <v>0</v>
      </c>
      <c r="ORX129" s="70">
        <v>0</v>
      </c>
      <c r="ORY129" s="70">
        <v>0</v>
      </c>
      <c r="ORZ129" s="70">
        <v>0</v>
      </c>
      <c r="OSA129" s="70">
        <v>0</v>
      </c>
      <c r="OSB129" s="70">
        <v>0</v>
      </c>
      <c r="OSC129" s="70">
        <v>0</v>
      </c>
      <c r="OSD129" s="70">
        <v>0</v>
      </c>
      <c r="OSE129" s="70">
        <v>0</v>
      </c>
      <c r="OSF129" s="70">
        <v>0</v>
      </c>
      <c r="OSG129" s="70">
        <v>0</v>
      </c>
      <c r="OSH129" s="70">
        <v>0</v>
      </c>
      <c r="OSI129" s="70">
        <v>0</v>
      </c>
      <c r="OSJ129" s="70">
        <v>0</v>
      </c>
      <c r="OSK129" s="70">
        <v>0</v>
      </c>
      <c r="OSL129" s="70">
        <v>0</v>
      </c>
      <c r="OSM129" s="70">
        <v>0</v>
      </c>
      <c r="OSN129" s="70">
        <v>0</v>
      </c>
      <c r="OSO129" s="70">
        <v>0</v>
      </c>
      <c r="OSP129" s="70">
        <v>0</v>
      </c>
      <c r="OSQ129" s="70">
        <v>0</v>
      </c>
      <c r="OSR129" s="70">
        <v>0</v>
      </c>
      <c r="OSS129" s="70">
        <v>0</v>
      </c>
      <c r="OST129" s="70">
        <v>0</v>
      </c>
      <c r="OSU129" s="70">
        <v>0</v>
      </c>
      <c r="OSV129" s="70">
        <v>0</v>
      </c>
      <c r="OSW129" s="70">
        <v>0</v>
      </c>
      <c r="OSX129" s="70">
        <v>0</v>
      </c>
      <c r="OSY129" s="70">
        <v>0</v>
      </c>
      <c r="OSZ129" s="70">
        <v>0</v>
      </c>
      <c r="OTA129" s="70">
        <v>0</v>
      </c>
      <c r="OTB129" s="70">
        <v>0</v>
      </c>
      <c r="OTC129" s="70">
        <v>0</v>
      </c>
      <c r="OTD129" s="70">
        <v>0</v>
      </c>
      <c r="OTE129" s="70">
        <v>0</v>
      </c>
      <c r="OTF129" s="70">
        <v>0</v>
      </c>
      <c r="OTG129" s="70">
        <v>0</v>
      </c>
      <c r="OTH129" s="70">
        <v>0</v>
      </c>
      <c r="OTI129" s="70">
        <v>0</v>
      </c>
      <c r="OTJ129" s="70">
        <v>0</v>
      </c>
      <c r="OTK129" s="70">
        <v>0</v>
      </c>
      <c r="OTL129" s="70">
        <v>0</v>
      </c>
      <c r="OTM129" s="70">
        <v>0</v>
      </c>
      <c r="OTN129" s="70">
        <v>0</v>
      </c>
      <c r="OTO129" s="70">
        <v>0</v>
      </c>
      <c r="OTP129" s="70">
        <v>0</v>
      </c>
      <c r="OTQ129" s="70">
        <v>0</v>
      </c>
      <c r="OTR129" s="70">
        <v>0</v>
      </c>
      <c r="OTS129" s="70">
        <v>0</v>
      </c>
      <c r="OTT129" s="70">
        <v>0</v>
      </c>
      <c r="OTU129" s="70">
        <v>0</v>
      </c>
      <c r="OTV129" s="70">
        <v>0</v>
      </c>
      <c r="OTW129" s="70">
        <v>0</v>
      </c>
      <c r="OTX129" s="70">
        <v>0</v>
      </c>
      <c r="OTY129" s="70">
        <v>0</v>
      </c>
      <c r="OTZ129" s="70">
        <v>0</v>
      </c>
      <c r="OUA129" s="70">
        <v>0</v>
      </c>
      <c r="OUB129" s="70">
        <v>0</v>
      </c>
      <c r="OUC129" s="70">
        <v>0</v>
      </c>
      <c r="OUD129" s="70">
        <v>0</v>
      </c>
      <c r="OUE129" s="70">
        <v>0</v>
      </c>
      <c r="OUF129" s="70">
        <v>0</v>
      </c>
      <c r="OUG129" s="70">
        <v>0</v>
      </c>
      <c r="OUH129" s="70">
        <v>0</v>
      </c>
      <c r="OUI129" s="70">
        <v>0</v>
      </c>
      <c r="OUJ129" s="70">
        <v>0</v>
      </c>
      <c r="OUK129" s="70">
        <v>0</v>
      </c>
      <c r="OUL129" s="70">
        <v>0</v>
      </c>
      <c r="OUM129" s="70">
        <v>0</v>
      </c>
      <c r="OUN129" s="70">
        <v>0</v>
      </c>
      <c r="OUO129" s="70">
        <v>0</v>
      </c>
      <c r="OUP129" s="70">
        <v>0</v>
      </c>
      <c r="OUQ129" s="70">
        <v>0</v>
      </c>
      <c r="OUR129" s="70">
        <v>0</v>
      </c>
      <c r="OUS129" s="70">
        <v>0</v>
      </c>
      <c r="OUT129" s="70">
        <v>0</v>
      </c>
      <c r="OUU129" s="70">
        <v>0</v>
      </c>
      <c r="OUV129" s="70">
        <v>0</v>
      </c>
      <c r="OUW129" s="70">
        <v>0</v>
      </c>
      <c r="OUX129" s="70">
        <v>0</v>
      </c>
      <c r="OUY129" s="70">
        <v>0</v>
      </c>
      <c r="OUZ129" s="70">
        <v>0</v>
      </c>
      <c r="OVA129" s="70">
        <v>0</v>
      </c>
      <c r="OVB129" s="70">
        <v>0</v>
      </c>
      <c r="OVC129" s="70">
        <v>0</v>
      </c>
      <c r="OVD129" s="70">
        <v>0</v>
      </c>
      <c r="OVE129" s="70">
        <v>0</v>
      </c>
      <c r="OVF129" s="70">
        <v>0</v>
      </c>
      <c r="OVG129" s="70">
        <v>0</v>
      </c>
      <c r="OVH129" s="70">
        <v>0</v>
      </c>
      <c r="OVI129" s="70">
        <v>0</v>
      </c>
      <c r="OVJ129" s="70">
        <v>0</v>
      </c>
      <c r="OVK129" s="70">
        <v>0</v>
      </c>
      <c r="OVL129" s="70">
        <v>0</v>
      </c>
      <c r="OVM129" s="70">
        <v>0</v>
      </c>
      <c r="OVN129" s="70">
        <v>0</v>
      </c>
      <c r="OVO129" s="70">
        <v>0</v>
      </c>
      <c r="OVP129" s="70">
        <v>0</v>
      </c>
      <c r="OVQ129" s="70">
        <v>0</v>
      </c>
      <c r="OVR129" s="70">
        <v>0</v>
      </c>
      <c r="OVS129" s="70">
        <v>0</v>
      </c>
      <c r="OVT129" s="70">
        <v>0</v>
      </c>
      <c r="OVU129" s="70">
        <v>0</v>
      </c>
      <c r="OVV129" s="70">
        <v>0</v>
      </c>
      <c r="OVW129" s="70">
        <v>0</v>
      </c>
      <c r="OVX129" s="70">
        <v>0</v>
      </c>
      <c r="OVY129" s="70">
        <v>0</v>
      </c>
      <c r="OVZ129" s="70">
        <v>0</v>
      </c>
      <c r="OWA129" s="70">
        <v>0</v>
      </c>
      <c r="OWB129" s="70">
        <v>0</v>
      </c>
      <c r="OWC129" s="70">
        <v>0</v>
      </c>
      <c r="OWD129" s="70">
        <v>0</v>
      </c>
      <c r="OWE129" s="70">
        <v>0</v>
      </c>
      <c r="OWF129" s="70">
        <v>0</v>
      </c>
      <c r="OWG129" s="70">
        <v>0</v>
      </c>
      <c r="OWH129" s="70">
        <v>0</v>
      </c>
      <c r="OWI129" s="70">
        <v>0</v>
      </c>
      <c r="OWJ129" s="70">
        <v>0</v>
      </c>
      <c r="OWK129" s="70">
        <v>0</v>
      </c>
      <c r="OWL129" s="70">
        <v>0</v>
      </c>
      <c r="OWM129" s="70">
        <v>0</v>
      </c>
      <c r="OWN129" s="70">
        <v>0</v>
      </c>
      <c r="OWO129" s="70">
        <v>0</v>
      </c>
      <c r="OWP129" s="70">
        <v>0</v>
      </c>
      <c r="OWQ129" s="70">
        <v>0</v>
      </c>
      <c r="OWR129" s="70">
        <v>0</v>
      </c>
      <c r="OWS129" s="70">
        <v>0</v>
      </c>
      <c r="OWT129" s="70">
        <v>0</v>
      </c>
      <c r="OWU129" s="70">
        <v>0</v>
      </c>
      <c r="OWV129" s="70">
        <v>0</v>
      </c>
      <c r="OWW129" s="70">
        <v>0</v>
      </c>
      <c r="OWX129" s="70">
        <v>0</v>
      </c>
      <c r="OWY129" s="70">
        <v>0</v>
      </c>
      <c r="OWZ129" s="70">
        <v>0</v>
      </c>
      <c r="OXA129" s="70">
        <v>0</v>
      </c>
      <c r="OXB129" s="70">
        <v>0</v>
      </c>
      <c r="OXC129" s="70">
        <v>0</v>
      </c>
      <c r="OXD129" s="70">
        <v>0</v>
      </c>
      <c r="OXE129" s="70">
        <v>0</v>
      </c>
      <c r="OXF129" s="70">
        <v>0</v>
      </c>
      <c r="OXG129" s="70">
        <v>0</v>
      </c>
      <c r="OXH129" s="70">
        <v>0</v>
      </c>
      <c r="OXI129" s="70">
        <v>0</v>
      </c>
      <c r="OXJ129" s="70">
        <v>0</v>
      </c>
      <c r="OXK129" s="70">
        <v>0</v>
      </c>
      <c r="OXL129" s="70">
        <v>0</v>
      </c>
      <c r="OXM129" s="70">
        <v>0</v>
      </c>
      <c r="OXN129" s="70">
        <v>0</v>
      </c>
      <c r="OXO129" s="70">
        <v>0</v>
      </c>
      <c r="OXP129" s="70">
        <v>0</v>
      </c>
      <c r="OXQ129" s="70">
        <v>0</v>
      </c>
      <c r="OXR129" s="70">
        <v>0</v>
      </c>
      <c r="OXS129" s="70">
        <v>0</v>
      </c>
      <c r="OXT129" s="70">
        <v>0</v>
      </c>
      <c r="OXU129" s="70">
        <v>0</v>
      </c>
      <c r="OXV129" s="70">
        <v>0</v>
      </c>
      <c r="OXW129" s="70">
        <v>0</v>
      </c>
      <c r="OXX129" s="70">
        <v>0</v>
      </c>
      <c r="OXY129" s="70">
        <v>0</v>
      </c>
      <c r="OXZ129" s="70">
        <v>0</v>
      </c>
      <c r="OYA129" s="70">
        <v>0</v>
      </c>
      <c r="OYB129" s="70">
        <v>0</v>
      </c>
      <c r="OYC129" s="70">
        <v>0</v>
      </c>
      <c r="OYD129" s="70">
        <v>0</v>
      </c>
      <c r="OYE129" s="70">
        <v>0</v>
      </c>
      <c r="OYF129" s="70">
        <v>0</v>
      </c>
      <c r="OYG129" s="70">
        <v>0</v>
      </c>
      <c r="OYH129" s="70">
        <v>0</v>
      </c>
      <c r="OYI129" s="70">
        <v>0</v>
      </c>
      <c r="OYJ129" s="70">
        <v>0</v>
      </c>
      <c r="OYK129" s="70">
        <v>0</v>
      </c>
      <c r="OYL129" s="70">
        <v>0</v>
      </c>
      <c r="OYM129" s="70">
        <v>0</v>
      </c>
      <c r="OYN129" s="70">
        <v>0</v>
      </c>
      <c r="OYO129" s="70">
        <v>0</v>
      </c>
      <c r="OYP129" s="70">
        <v>0</v>
      </c>
      <c r="OYQ129" s="70">
        <v>0</v>
      </c>
      <c r="OYR129" s="70">
        <v>0</v>
      </c>
      <c r="OYS129" s="70">
        <v>0</v>
      </c>
      <c r="OYT129" s="70">
        <v>0</v>
      </c>
      <c r="OYU129" s="70">
        <v>0</v>
      </c>
      <c r="OYV129" s="70">
        <v>0</v>
      </c>
      <c r="OYW129" s="70">
        <v>0</v>
      </c>
      <c r="OYX129" s="70">
        <v>0</v>
      </c>
      <c r="OYY129" s="70">
        <v>0</v>
      </c>
      <c r="OYZ129" s="70">
        <v>0</v>
      </c>
      <c r="OZA129" s="70">
        <v>0</v>
      </c>
      <c r="OZB129" s="70">
        <v>0</v>
      </c>
      <c r="OZC129" s="70">
        <v>0</v>
      </c>
      <c r="OZD129" s="70">
        <v>0</v>
      </c>
      <c r="OZE129" s="70">
        <v>0</v>
      </c>
      <c r="OZF129" s="70">
        <v>0</v>
      </c>
      <c r="OZG129" s="70">
        <v>0</v>
      </c>
      <c r="OZH129" s="70">
        <v>0</v>
      </c>
      <c r="OZI129" s="70">
        <v>0</v>
      </c>
      <c r="OZJ129" s="70">
        <v>0</v>
      </c>
      <c r="OZK129" s="70">
        <v>0</v>
      </c>
      <c r="OZL129" s="70">
        <v>0</v>
      </c>
      <c r="OZM129" s="70">
        <v>0</v>
      </c>
      <c r="OZN129" s="70">
        <v>0</v>
      </c>
      <c r="OZO129" s="70">
        <v>0</v>
      </c>
      <c r="OZP129" s="70">
        <v>0</v>
      </c>
      <c r="OZQ129" s="70">
        <v>0</v>
      </c>
      <c r="OZR129" s="70">
        <v>0</v>
      </c>
      <c r="OZS129" s="70">
        <v>0</v>
      </c>
      <c r="OZT129" s="70">
        <v>0</v>
      </c>
      <c r="OZU129" s="70">
        <v>0</v>
      </c>
      <c r="OZV129" s="70">
        <v>0</v>
      </c>
      <c r="OZW129" s="70">
        <v>0</v>
      </c>
      <c r="OZX129" s="70">
        <v>0</v>
      </c>
      <c r="OZY129" s="70">
        <v>0</v>
      </c>
      <c r="OZZ129" s="70">
        <v>0</v>
      </c>
      <c r="PAA129" s="70">
        <v>0</v>
      </c>
      <c r="PAB129" s="70">
        <v>0</v>
      </c>
      <c r="PAC129" s="70">
        <v>0</v>
      </c>
      <c r="PAD129" s="70">
        <v>0</v>
      </c>
      <c r="PAE129" s="70">
        <v>0</v>
      </c>
      <c r="PAF129" s="70">
        <v>0</v>
      </c>
      <c r="PAG129" s="70">
        <v>0</v>
      </c>
      <c r="PAH129" s="70">
        <v>0</v>
      </c>
      <c r="PAI129" s="70">
        <v>0</v>
      </c>
      <c r="PAJ129" s="70">
        <v>0</v>
      </c>
      <c r="PAK129" s="70">
        <v>0</v>
      </c>
      <c r="PAL129" s="70">
        <v>0</v>
      </c>
      <c r="PAM129" s="70">
        <v>0</v>
      </c>
      <c r="PAN129" s="70">
        <v>0</v>
      </c>
      <c r="PAO129" s="70">
        <v>0</v>
      </c>
      <c r="PAP129" s="70">
        <v>0</v>
      </c>
      <c r="PAQ129" s="70">
        <v>0</v>
      </c>
      <c r="PAR129" s="70">
        <v>0</v>
      </c>
      <c r="PAS129" s="70">
        <v>0</v>
      </c>
      <c r="PAT129" s="70">
        <v>0</v>
      </c>
      <c r="PAU129" s="70">
        <v>0</v>
      </c>
      <c r="PAV129" s="70">
        <v>0</v>
      </c>
      <c r="PAW129" s="70">
        <v>0</v>
      </c>
      <c r="PAX129" s="70">
        <v>0</v>
      </c>
      <c r="PAY129" s="70">
        <v>0</v>
      </c>
      <c r="PAZ129" s="70">
        <v>0</v>
      </c>
      <c r="PBA129" s="70">
        <v>0</v>
      </c>
      <c r="PBB129" s="70">
        <v>0</v>
      </c>
      <c r="PBC129" s="70">
        <v>0</v>
      </c>
      <c r="PBD129" s="70">
        <v>0</v>
      </c>
      <c r="PBE129" s="70">
        <v>0</v>
      </c>
      <c r="PBF129" s="70">
        <v>0</v>
      </c>
      <c r="PBG129" s="70">
        <v>0</v>
      </c>
      <c r="PBH129" s="70">
        <v>0</v>
      </c>
      <c r="PBI129" s="70">
        <v>0</v>
      </c>
      <c r="PBJ129" s="70">
        <v>0</v>
      </c>
      <c r="PBK129" s="70">
        <v>0</v>
      </c>
      <c r="PBL129" s="70">
        <v>0</v>
      </c>
      <c r="PBM129" s="70">
        <v>0</v>
      </c>
      <c r="PBN129" s="70">
        <v>0</v>
      </c>
      <c r="PBO129" s="70">
        <v>0</v>
      </c>
      <c r="PBP129" s="70">
        <v>0</v>
      </c>
      <c r="PBQ129" s="70">
        <v>0</v>
      </c>
      <c r="PBR129" s="70">
        <v>0</v>
      </c>
      <c r="PBS129" s="70">
        <v>0</v>
      </c>
      <c r="PBT129" s="70">
        <v>0</v>
      </c>
      <c r="PBU129" s="70">
        <v>0</v>
      </c>
      <c r="PBV129" s="70">
        <v>0</v>
      </c>
      <c r="PBW129" s="70">
        <v>0</v>
      </c>
      <c r="PBX129" s="70">
        <v>0</v>
      </c>
      <c r="PBY129" s="70">
        <v>0</v>
      </c>
      <c r="PBZ129" s="70">
        <v>0</v>
      </c>
      <c r="PCA129" s="70">
        <v>0</v>
      </c>
      <c r="PCB129" s="70">
        <v>0</v>
      </c>
      <c r="PCC129" s="70">
        <v>0</v>
      </c>
      <c r="PCD129" s="70">
        <v>0</v>
      </c>
      <c r="PCE129" s="70">
        <v>0</v>
      </c>
      <c r="PCF129" s="70">
        <v>0</v>
      </c>
      <c r="PCG129" s="70">
        <v>0</v>
      </c>
      <c r="PCH129" s="70">
        <v>0</v>
      </c>
      <c r="PCI129" s="70">
        <v>0</v>
      </c>
      <c r="PCJ129" s="70">
        <v>0</v>
      </c>
      <c r="PCK129" s="70">
        <v>0</v>
      </c>
      <c r="PCL129" s="70">
        <v>0</v>
      </c>
      <c r="PCM129" s="70">
        <v>0</v>
      </c>
      <c r="PCN129" s="70">
        <v>0</v>
      </c>
      <c r="PCO129" s="70">
        <v>0</v>
      </c>
      <c r="PCP129" s="70">
        <v>0</v>
      </c>
      <c r="PCQ129" s="70">
        <v>0</v>
      </c>
      <c r="PCR129" s="70">
        <v>0</v>
      </c>
      <c r="PCS129" s="70">
        <v>0</v>
      </c>
      <c r="PCT129" s="70">
        <v>0</v>
      </c>
      <c r="PCU129" s="70">
        <v>0</v>
      </c>
      <c r="PCV129" s="70">
        <v>0</v>
      </c>
      <c r="PCW129" s="70">
        <v>0</v>
      </c>
      <c r="PCX129" s="70">
        <v>0</v>
      </c>
      <c r="PCY129" s="70">
        <v>0</v>
      </c>
      <c r="PCZ129" s="70">
        <v>0</v>
      </c>
      <c r="PDA129" s="70">
        <v>0</v>
      </c>
      <c r="PDB129" s="70">
        <v>0</v>
      </c>
      <c r="PDC129" s="70">
        <v>0</v>
      </c>
      <c r="PDD129" s="70">
        <v>0</v>
      </c>
      <c r="PDE129" s="70">
        <v>0</v>
      </c>
      <c r="PDF129" s="70">
        <v>0</v>
      </c>
      <c r="PDG129" s="70">
        <v>0</v>
      </c>
      <c r="PDH129" s="70">
        <v>0</v>
      </c>
      <c r="PDI129" s="70">
        <v>0</v>
      </c>
      <c r="PDJ129" s="70">
        <v>0</v>
      </c>
      <c r="PDK129" s="70">
        <v>0</v>
      </c>
      <c r="PDL129" s="70">
        <v>0</v>
      </c>
      <c r="PDM129" s="70">
        <v>0</v>
      </c>
      <c r="PDN129" s="70">
        <v>0</v>
      </c>
      <c r="PDO129" s="70">
        <v>0</v>
      </c>
      <c r="PDP129" s="70">
        <v>0</v>
      </c>
      <c r="PDQ129" s="70">
        <v>0</v>
      </c>
      <c r="PDR129" s="70">
        <v>0</v>
      </c>
      <c r="PDS129" s="70">
        <v>0</v>
      </c>
      <c r="PDT129" s="70">
        <v>0</v>
      </c>
      <c r="PDU129" s="70">
        <v>0</v>
      </c>
      <c r="PDV129" s="70">
        <v>0</v>
      </c>
      <c r="PDW129" s="70">
        <v>0</v>
      </c>
      <c r="PDX129" s="70">
        <v>0</v>
      </c>
      <c r="PDY129" s="70">
        <v>0</v>
      </c>
      <c r="PDZ129" s="70">
        <v>0</v>
      </c>
      <c r="PEA129" s="70">
        <v>0</v>
      </c>
      <c r="PEB129" s="70">
        <v>0</v>
      </c>
      <c r="PEC129" s="70">
        <v>0</v>
      </c>
      <c r="PED129" s="70">
        <v>0</v>
      </c>
      <c r="PEE129" s="70">
        <v>0</v>
      </c>
      <c r="PEF129" s="70">
        <v>0</v>
      </c>
      <c r="PEG129" s="70">
        <v>0</v>
      </c>
      <c r="PEH129" s="70">
        <v>0</v>
      </c>
      <c r="PEI129" s="70">
        <v>0</v>
      </c>
      <c r="PEJ129" s="70">
        <v>0</v>
      </c>
      <c r="PEK129" s="70">
        <v>0</v>
      </c>
      <c r="PEL129" s="70">
        <v>0</v>
      </c>
      <c r="PEM129" s="70">
        <v>0</v>
      </c>
      <c r="PEN129" s="70">
        <v>0</v>
      </c>
      <c r="PEO129" s="70">
        <v>0</v>
      </c>
      <c r="PEP129" s="70">
        <v>0</v>
      </c>
      <c r="PEQ129" s="70">
        <v>0</v>
      </c>
      <c r="PER129" s="70">
        <v>0</v>
      </c>
      <c r="PES129" s="70">
        <v>0</v>
      </c>
      <c r="PET129" s="70">
        <v>0</v>
      </c>
      <c r="PEU129" s="70">
        <v>0</v>
      </c>
      <c r="PEV129" s="70">
        <v>0</v>
      </c>
      <c r="PEW129" s="70">
        <v>0</v>
      </c>
      <c r="PEX129" s="70">
        <v>0</v>
      </c>
      <c r="PEY129" s="70">
        <v>0</v>
      </c>
      <c r="PEZ129" s="70">
        <v>0</v>
      </c>
      <c r="PFA129" s="70">
        <v>0</v>
      </c>
      <c r="PFB129" s="70">
        <v>0</v>
      </c>
      <c r="PFC129" s="70">
        <v>0</v>
      </c>
      <c r="PFD129" s="70">
        <v>0</v>
      </c>
      <c r="PFE129" s="70">
        <v>0</v>
      </c>
      <c r="PFF129" s="70">
        <v>0</v>
      </c>
      <c r="PFG129" s="70">
        <v>0</v>
      </c>
      <c r="PFH129" s="70">
        <v>0</v>
      </c>
      <c r="PFI129" s="70">
        <v>0</v>
      </c>
      <c r="PFJ129" s="70">
        <v>0</v>
      </c>
      <c r="PFK129" s="70">
        <v>0</v>
      </c>
      <c r="PFL129" s="70">
        <v>0</v>
      </c>
      <c r="PFM129" s="70">
        <v>0</v>
      </c>
      <c r="PFN129" s="70">
        <v>0</v>
      </c>
      <c r="PFO129" s="70">
        <v>0</v>
      </c>
      <c r="PFP129" s="70">
        <v>0</v>
      </c>
      <c r="PFQ129" s="70">
        <v>0</v>
      </c>
      <c r="PFR129" s="70">
        <v>0</v>
      </c>
      <c r="PFS129" s="70">
        <v>0</v>
      </c>
      <c r="PFT129" s="70">
        <v>0</v>
      </c>
      <c r="PFU129" s="70">
        <v>0</v>
      </c>
      <c r="PFV129" s="70">
        <v>0</v>
      </c>
      <c r="PFW129" s="70">
        <v>0</v>
      </c>
      <c r="PFX129" s="70">
        <v>0</v>
      </c>
      <c r="PFY129" s="70">
        <v>0</v>
      </c>
      <c r="PFZ129" s="70">
        <v>0</v>
      </c>
      <c r="PGA129" s="70">
        <v>0</v>
      </c>
      <c r="PGB129" s="70">
        <v>0</v>
      </c>
      <c r="PGC129" s="70">
        <v>0</v>
      </c>
      <c r="PGD129" s="70">
        <v>0</v>
      </c>
      <c r="PGE129" s="70">
        <v>0</v>
      </c>
      <c r="PGF129" s="70">
        <v>0</v>
      </c>
      <c r="PGG129" s="70">
        <v>0</v>
      </c>
      <c r="PGH129" s="70">
        <v>0</v>
      </c>
      <c r="PGI129" s="70">
        <v>0</v>
      </c>
      <c r="PGJ129" s="70">
        <v>0</v>
      </c>
      <c r="PGK129" s="70">
        <v>0</v>
      </c>
      <c r="PGL129" s="70">
        <v>0</v>
      </c>
      <c r="PGM129" s="70">
        <v>0</v>
      </c>
      <c r="PGN129" s="70">
        <v>0</v>
      </c>
      <c r="PGO129" s="70">
        <v>0</v>
      </c>
      <c r="PGP129" s="70">
        <v>0</v>
      </c>
      <c r="PGQ129" s="70">
        <v>0</v>
      </c>
      <c r="PGR129" s="70">
        <v>0</v>
      </c>
      <c r="PGS129" s="70">
        <v>0</v>
      </c>
      <c r="PGT129" s="70">
        <v>0</v>
      </c>
      <c r="PGU129" s="70">
        <v>0</v>
      </c>
      <c r="PGV129" s="70">
        <v>0</v>
      </c>
      <c r="PGW129" s="70">
        <v>0</v>
      </c>
      <c r="PGX129" s="70">
        <v>0</v>
      </c>
      <c r="PGY129" s="70">
        <v>0</v>
      </c>
      <c r="PGZ129" s="70">
        <v>0</v>
      </c>
      <c r="PHA129" s="70">
        <v>0</v>
      </c>
      <c r="PHB129" s="70">
        <v>0</v>
      </c>
      <c r="PHC129" s="70">
        <v>0</v>
      </c>
      <c r="PHD129" s="70">
        <v>0</v>
      </c>
      <c r="PHE129" s="70">
        <v>0</v>
      </c>
      <c r="PHF129" s="70">
        <v>0</v>
      </c>
      <c r="PHG129" s="70">
        <v>0</v>
      </c>
      <c r="PHH129" s="70">
        <v>0</v>
      </c>
      <c r="PHI129" s="70">
        <v>0</v>
      </c>
      <c r="PHJ129" s="70">
        <v>0</v>
      </c>
      <c r="PHK129" s="70">
        <v>0</v>
      </c>
      <c r="PHL129" s="70">
        <v>0</v>
      </c>
      <c r="PHM129" s="70">
        <v>0</v>
      </c>
      <c r="PHN129" s="70">
        <v>0</v>
      </c>
      <c r="PHO129" s="70">
        <v>0</v>
      </c>
      <c r="PHP129" s="70">
        <v>0</v>
      </c>
      <c r="PHQ129" s="70">
        <v>0</v>
      </c>
      <c r="PHR129" s="70">
        <v>0</v>
      </c>
      <c r="PHS129" s="70">
        <v>0</v>
      </c>
      <c r="PHT129" s="70">
        <v>0</v>
      </c>
      <c r="PHU129" s="70">
        <v>0</v>
      </c>
      <c r="PHV129" s="70">
        <v>0</v>
      </c>
      <c r="PHW129" s="70">
        <v>0</v>
      </c>
      <c r="PHX129" s="70">
        <v>0</v>
      </c>
      <c r="PHY129" s="70">
        <v>0</v>
      </c>
      <c r="PHZ129" s="70">
        <v>0</v>
      </c>
      <c r="PIA129" s="70">
        <v>0</v>
      </c>
      <c r="PIB129" s="70">
        <v>0</v>
      </c>
      <c r="PIC129" s="70">
        <v>0</v>
      </c>
      <c r="PID129" s="70">
        <v>0</v>
      </c>
      <c r="PIE129" s="70">
        <v>0</v>
      </c>
      <c r="PIF129" s="70">
        <v>0</v>
      </c>
      <c r="PIG129" s="70">
        <v>0</v>
      </c>
      <c r="PIH129" s="70">
        <v>0</v>
      </c>
      <c r="PII129" s="70">
        <v>0</v>
      </c>
      <c r="PIJ129" s="70">
        <v>0</v>
      </c>
      <c r="PIK129" s="70">
        <v>0</v>
      </c>
      <c r="PIL129" s="70">
        <v>0</v>
      </c>
      <c r="PIM129" s="70">
        <v>0</v>
      </c>
      <c r="PIN129" s="70">
        <v>0</v>
      </c>
      <c r="PIO129" s="70">
        <v>0</v>
      </c>
      <c r="PIP129" s="70">
        <v>0</v>
      </c>
      <c r="PIQ129" s="70">
        <v>0</v>
      </c>
      <c r="PIR129" s="70">
        <v>0</v>
      </c>
      <c r="PIS129" s="70">
        <v>0</v>
      </c>
      <c r="PIT129" s="70">
        <v>0</v>
      </c>
      <c r="PIU129" s="70">
        <v>0</v>
      </c>
      <c r="PIV129" s="70">
        <v>0</v>
      </c>
      <c r="PIW129" s="70">
        <v>0</v>
      </c>
      <c r="PIX129" s="70">
        <v>0</v>
      </c>
      <c r="PIY129" s="70">
        <v>0</v>
      </c>
      <c r="PIZ129" s="70">
        <v>0</v>
      </c>
      <c r="PJA129" s="70">
        <v>0</v>
      </c>
      <c r="PJB129" s="70">
        <v>0</v>
      </c>
      <c r="PJC129" s="70">
        <v>0</v>
      </c>
      <c r="PJD129" s="70">
        <v>0</v>
      </c>
      <c r="PJE129" s="70">
        <v>0</v>
      </c>
      <c r="PJF129" s="70">
        <v>0</v>
      </c>
      <c r="PJG129" s="70">
        <v>0</v>
      </c>
      <c r="PJH129" s="70">
        <v>0</v>
      </c>
      <c r="PJI129" s="70">
        <v>0</v>
      </c>
      <c r="PJJ129" s="70">
        <v>0</v>
      </c>
      <c r="PJK129" s="70">
        <v>0</v>
      </c>
      <c r="PJL129" s="70">
        <v>0</v>
      </c>
      <c r="PJM129" s="70">
        <v>0</v>
      </c>
      <c r="PJN129" s="70">
        <v>0</v>
      </c>
      <c r="PJO129" s="70">
        <v>0</v>
      </c>
      <c r="PJP129" s="70">
        <v>0</v>
      </c>
      <c r="PJQ129" s="70">
        <v>0</v>
      </c>
      <c r="PJR129" s="70">
        <v>0</v>
      </c>
      <c r="PJS129" s="70">
        <v>0</v>
      </c>
      <c r="PJT129" s="70">
        <v>0</v>
      </c>
      <c r="PJU129" s="70">
        <v>0</v>
      </c>
      <c r="PJV129" s="70">
        <v>0</v>
      </c>
      <c r="PJW129" s="70">
        <v>0</v>
      </c>
      <c r="PJX129" s="70">
        <v>0</v>
      </c>
      <c r="PJY129" s="70">
        <v>0</v>
      </c>
      <c r="PJZ129" s="70">
        <v>0</v>
      </c>
      <c r="PKA129" s="70">
        <v>0</v>
      </c>
      <c r="PKB129" s="70">
        <v>0</v>
      </c>
      <c r="PKC129" s="70">
        <v>0</v>
      </c>
      <c r="PKD129" s="70">
        <v>0</v>
      </c>
      <c r="PKE129" s="70">
        <v>0</v>
      </c>
      <c r="PKF129" s="70">
        <v>0</v>
      </c>
      <c r="PKG129" s="70">
        <v>0</v>
      </c>
      <c r="PKH129" s="70">
        <v>0</v>
      </c>
      <c r="PKI129" s="70">
        <v>0</v>
      </c>
      <c r="PKJ129" s="70">
        <v>0</v>
      </c>
      <c r="PKK129" s="70">
        <v>0</v>
      </c>
      <c r="PKL129" s="70">
        <v>0</v>
      </c>
      <c r="PKM129" s="70">
        <v>0</v>
      </c>
      <c r="PKN129" s="70">
        <v>0</v>
      </c>
      <c r="PKO129" s="70">
        <v>0</v>
      </c>
      <c r="PKP129" s="70">
        <v>0</v>
      </c>
      <c r="PKQ129" s="70">
        <v>0</v>
      </c>
      <c r="PKR129" s="70">
        <v>0</v>
      </c>
      <c r="PKS129" s="70">
        <v>0</v>
      </c>
      <c r="PKT129" s="70">
        <v>0</v>
      </c>
      <c r="PKU129" s="70">
        <v>0</v>
      </c>
      <c r="PKV129" s="70">
        <v>0</v>
      </c>
      <c r="PKW129" s="70">
        <v>0</v>
      </c>
      <c r="PKX129" s="70">
        <v>0</v>
      </c>
      <c r="PKY129" s="70">
        <v>0</v>
      </c>
      <c r="PKZ129" s="70">
        <v>0</v>
      </c>
      <c r="PLA129" s="70">
        <v>0</v>
      </c>
      <c r="PLB129" s="70">
        <v>0</v>
      </c>
      <c r="PLC129" s="70">
        <v>0</v>
      </c>
      <c r="PLD129" s="70">
        <v>0</v>
      </c>
      <c r="PLE129" s="70">
        <v>0</v>
      </c>
      <c r="PLF129" s="70">
        <v>0</v>
      </c>
      <c r="PLG129" s="70">
        <v>0</v>
      </c>
      <c r="PLH129" s="70">
        <v>0</v>
      </c>
      <c r="PLI129" s="70">
        <v>0</v>
      </c>
      <c r="PLJ129" s="70">
        <v>0</v>
      </c>
      <c r="PLK129" s="70">
        <v>0</v>
      </c>
      <c r="PLL129" s="70">
        <v>0</v>
      </c>
      <c r="PLM129" s="70">
        <v>0</v>
      </c>
      <c r="PLN129" s="70">
        <v>0</v>
      </c>
      <c r="PLO129" s="70">
        <v>0</v>
      </c>
      <c r="PLP129" s="70">
        <v>0</v>
      </c>
      <c r="PLQ129" s="70">
        <v>0</v>
      </c>
      <c r="PLR129" s="70">
        <v>0</v>
      </c>
      <c r="PLS129" s="70">
        <v>0</v>
      </c>
      <c r="PLT129" s="70">
        <v>0</v>
      </c>
      <c r="PLU129" s="70">
        <v>0</v>
      </c>
      <c r="PLV129" s="70">
        <v>0</v>
      </c>
      <c r="PLW129" s="70">
        <v>0</v>
      </c>
      <c r="PLX129" s="70">
        <v>0</v>
      </c>
      <c r="PLY129" s="70">
        <v>0</v>
      </c>
      <c r="PLZ129" s="70">
        <v>0</v>
      </c>
      <c r="PMA129" s="70">
        <v>0</v>
      </c>
      <c r="PMB129" s="70">
        <v>0</v>
      </c>
      <c r="PMC129" s="70">
        <v>0</v>
      </c>
      <c r="PMD129" s="70">
        <v>0</v>
      </c>
      <c r="PME129" s="70">
        <v>0</v>
      </c>
      <c r="PMF129" s="70">
        <v>0</v>
      </c>
      <c r="PMG129" s="70">
        <v>0</v>
      </c>
      <c r="PMH129" s="70">
        <v>0</v>
      </c>
      <c r="PMI129" s="70">
        <v>0</v>
      </c>
      <c r="PMJ129" s="70">
        <v>0</v>
      </c>
      <c r="PMK129" s="70">
        <v>0</v>
      </c>
      <c r="PML129" s="70">
        <v>0</v>
      </c>
      <c r="PMM129" s="70">
        <v>0</v>
      </c>
      <c r="PMN129" s="70">
        <v>0</v>
      </c>
      <c r="PMO129" s="70">
        <v>0</v>
      </c>
      <c r="PMP129" s="70">
        <v>0</v>
      </c>
      <c r="PMQ129" s="70">
        <v>0</v>
      </c>
      <c r="PMR129" s="70">
        <v>0</v>
      </c>
      <c r="PMS129" s="70">
        <v>0</v>
      </c>
      <c r="PMT129" s="70">
        <v>0</v>
      </c>
      <c r="PMU129" s="70">
        <v>0</v>
      </c>
      <c r="PMV129" s="70">
        <v>0</v>
      </c>
      <c r="PMW129" s="70">
        <v>0</v>
      </c>
      <c r="PMX129" s="70">
        <v>0</v>
      </c>
      <c r="PMY129" s="70">
        <v>0</v>
      </c>
      <c r="PMZ129" s="70">
        <v>0</v>
      </c>
      <c r="PNA129" s="70">
        <v>0</v>
      </c>
      <c r="PNB129" s="70">
        <v>0</v>
      </c>
      <c r="PNC129" s="70">
        <v>0</v>
      </c>
      <c r="PND129" s="70">
        <v>0</v>
      </c>
      <c r="PNE129" s="70">
        <v>0</v>
      </c>
      <c r="PNF129" s="70">
        <v>0</v>
      </c>
      <c r="PNG129" s="70">
        <v>0</v>
      </c>
      <c r="PNH129" s="70">
        <v>0</v>
      </c>
      <c r="PNI129" s="70">
        <v>0</v>
      </c>
      <c r="PNJ129" s="70">
        <v>0</v>
      </c>
      <c r="PNK129" s="70">
        <v>0</v>
      </c>
      <c r="PNL129" s="70">
        <v>0</v>
      </c>
      <c r="PNM129" s="70">
        <v>0</v>
      </c>
      <c r="PNN129" s="70">
        <v>0</v>
      </c>
      <c r="PNO129" s="70">
        <v>0</v>
      </c>
      <c r="PNP129" s="70">
        <v>0</v>
      </c>
      <c r="PNQ129" s="70">
        <v>0</v>
      </c>
      <c r="PNR129" s="70">
        <v>0</v>
      </c>
      <c r="PNS129" s="70">
        <v>0</v>
      </c>
      <c r="PNT129" s="70">
        <v>0</v>
      </c>
      <c r="PNU129" s="70">
        <v>0</v>
      </c>
      <c r="PNV129" s="70">
        <v>0</v>
      </c>
      <c r="PNW129" s="70">
        <v>0</v>
      </c>
      <c r="PNX129" s="70">
        <v>0</v>
      </c>
      <c r="PNY129" s="70">
        <v>0</v>
      </c>
      <c r="PNZ129" s="70">
        <v>0</v>
      </c>
      <c r="POA129" s="70">
        <v>0</v>
      </c>
      <c r="POB129" s="70">
        <v>0</v>
      </c>
      <c r="POC129" s="70">
        <v>0</v>
      </c>
      <c r="POD129" s="70">
        <v>0</v>
      </c>
      <c r="POE129" s="70">
        <v>0</v>
      </c>
      <c r="POF129" s="70">
        <v>0</v>
      </c>
      <c r="POG129" s="70">
        <v>0</v>
      </c>
      <c r="POH129" s="70">
        <v>0</v>
      </c>
      <c r="POI129" s="70">
        <v>0</v>
      </c>
      <c r="POJ129" s="70">
        <v>0</v>
      </c>
      <c r="POK129" s="70">
        <v>0</v>
      </c>
      <c r="POL129" s="70">
        <v>0</v>
      </c>
      <c r="POM129" s="70">
        <v>0</v>
      </c>
      <c r="PON129" s="70">
        <v>0</v>
      </c>
      <c r="POO129" s="70">
        <v>0</v>
      </c>
      <c r="POP129" s="70">
        <v>0</v>
      </c>
      <c r="POQ129" s="70">
        <v>0</v>
      </c>
      <c r="POR129" s="70">
        <v>0</v>
      </c>
      <c r="POS129" s="70">
        <v>0</v>
      </c>
      <c r="POT129" s="70">
        <v>0</v>
      </c>
      <c r="POU129" s="70">
        <v>0</v>
      </c>
      <c r="POV129" s="70">
        <v>0</v>
      </c>
      <c r="POW129" s="70">
        <v>0</v>
      </c>
      <c r="POX129" s="70">
        <v>0</v>
      </c>
      <c r="POY129" s="70">
        <v>0</v>
      </c>
      <c r="POZ129" s="70">
        <v>0</v>
      </c>
      <c r="PPA129" s="70">
        <v>0</v>
      </c>
      <c r="PPB129" s="70">
        <v>0</v>
      </c>
      <c r="PPC129" s="70">
        <v>0</v>
      </c>
      <c r="PPD129" s="70">
        <v>0</v>
      </c>
      <c r="PPE129" s="70">
        <v>0</v>
      </c>
      <c r="PPF129" s="70">
        <v>0</v>
      </c>
      <c r="PPG129" s="70">
        <v>0</v>
      </c>
      <c r="PPH129" s="70">
        <v>0</v>
      </c>
      <c r="PPI129" s="70">
        <v>0</v>
      </c>
      <c r="PPJ129" s="70">
        <v>0</v>
      </c>
      <c r="PPK129" s="70">
        <v>0</v>
      </c>
      <c r="PPL129" s="70">
        <v>0</v>
      </c>
      <c r="PPM129" s="70">
        <v>0</v>
      </c>
      <c r="PPN129" s="70">
        <v>0</v>
      </c>
      <c r="PPO129" s="70">
        <v>0</v>
      </c>
      <c r="PPP129" s="70">
        <v>0</v>
      </c>
      <c r="PPQ129" s="70">
        <v>0</v>
      </c>
      <c r="PPR129" s="70">
        <v>0</v>
      </c>
      <c r="PPS129" s="70">
        <v>0</v>
      </c>
      <c r="PPT129" s="70">
        <v>0</v>
      </c>
      <c r="PPU129" s="70">
        <v>0</v>
      </c>
      <c r="PPV129" s="70">
        <v>0</v>
      </c>
      <c r="PPW129" s="70">
        <v>0</v>
      </c>
      <c r="PPX129" s="70">
        <v>0</v>
      </c>
      <c r="PPY129" s="70">
        <v>0</v>
      </c>
      <c r="PPZ129" s="70">
        <v>0</v>
      </c>
      <c r="PQA129" s="70">
        <v>0</v>
      </c>
      <c r="PQB129" s="70">
        <v>0</v>
      </c>
      <c r="PQC129" s="70">
        <v>0</v>
      </c>
      <c r="PQD129" s="70">
        <v>0</v>
      </c>
      <c r="PQE129" s="70">
        <v>0</v>
      </c>
      <c r="PQF129" s="70">
        <v>0</v>
      </c>
      <c r="PQG129" s="70">
        <v>0</v>
      </c>
      <c r="PQH129" s="70">
        <v>0</v>
      </c>
      <c r="PQI129" s="70">
        <v>0</v>
      </c>
      <c r="PQJ129" s="70">
        <v>0</v>
      </c>
      <c r="PQK129" s="70">
        <v>0</v>
      </c>
      <c r="PQL129" s="70">
        <v>0</v>
      </c>
      <c r="PQM129" s="70">
        <v>0</v>
      </c>
      <c r="PQN129" s="70">
        <v>0</v>
      </c>
      <c r="PQO129" s="70">
        <v>0</v>
      </c>
      <c r="PQP129" s="70">
        <v>0</v>
      </c>
      <c r="PQQ129" s="70">
        <v>0</v>
      </c>
      <c r="PQR129" s="70">
        <v>0</v>
      </c>
      <c r="PQS129" s="70">
        <v>0</v>
      </c>
      <c r="PQT129" s="70">
        <v>0</v>
      </c>
      <c r="PQU129" s="70">
        <v>0</v>
      </c>
      <c r="PQV129" s="70">
        <v>0</v>
      </c>
      <c r="PQW129" s="70">
        <v>0</v>
      </c>
      <c r="PQX129" s="70">
        <v>0</v>
      </c>
      <c r="PQY129" s="70">
        <v>0</v>
      </c>
      <c r="PQZ129" s="70">
        <v>0</v>
      </c>
      <c r="PRA129" s="70">
        <v>0</v>
      </c>
      <c r="PRB129" s="70">
        <v>0</v>
      </c>
      <c r="PRC129" s="70">
        <v>0</v>
      </c>
      <c r="PRD129" s="70">
        <v>0</v>
      </c>
      <c r="PRE129" s="70">
        <v>0</v>
      </c>
      <c r="PRF129" s="70">
        <v>0</v>
      </c>
      <c r="PRG129" s="70">
        <v>0</v>
      </c>
      <c r="PRH129" s="70">
        <v>0</v>
      </c>
      <c r="PRI129" s="70">
        <v>0</v>
      </c>
      <c r="PRJ129" s="70">
        <v>0</v>
      </c>
      <c r="PRK129" s="70">
        <v>0</v>
      </c>
      <c r="PRL129" s="70">
        <v>0</v>
      </c>
      <c r="PRM129" s="70">
        <v>0</v>
      </c>
      <c r="PRN129" s="70">
        <v>0</v>
      </c>
      <c r="PRO129" s="70">
        <v>0</v>
      </c>
      <c r="PRP129" s="70">
        <v>0</v>
      </c>
      <c r="PRQ129" s="70">
        <v>0</v>
      </c>
      <c r="PRR129" s="70">
        <v>0</v>
      </c>
      <c r="PRS129" s="70">
        <v>0</v>
      </c>
      <c r="PRT129" s="70">
        <v>0</v>
      </c>
      <c r="PRU129" s="70">
        <v>0</v>
      </c>
      <c r="PRV129" s="70">
        <v>0</v>
      </c>
      <c r="PRW129" s="70">
        <v>0</v>
      </c>
      <c r="PRX129" s="70">
        <v>0</v>
      </c>
      <c r="PRY129" s="70">
        <v>0</v>
      </c>
      <c r="PRZ129" s="70">
        <v>0</v>
      </c>
      <c r="PSA129" s="70">
        <v>0</v>
      </c>
      <c r="PSB129" s="70">
        <v>0</v>
      </c>
      <c r="PSC129" s="70">
        <v>0</v>
      </c>
      <c r="PSD129" s="70">
        <v>0</v>
      </c>
      <c r="PSE129" s="70">
        <v>0</v>
      </c>
      <c r="PSF129" s="70">
        <v>0</v>
      </c>
      <c r="PSG129" s="70">
        <v>0</v>
      </c>
      <c r="PSH129" s="70">
        <v>0</v>
      </c>
      <c r="PSI129" s="70">
        <v>0</v>
      </c>
      <c r="PSJ129" s="70">
        <v>0</v>
      </c>
      <c r="PSK129" s="70">
        <v>0</v>
      </c>
      <c r="PSL129" s="70">
        <v>0</v>
      </c>
      <c r="PSM129" s="70">
        <v>0</v>
      </c>
      <c r="PSN129" s="70">
        <v>0</v>
      </c>
      <c r="PSO129" s="70">
        <v>0</v>
      </c>
      <c r="PSP129" s="70">
        <v>0</v>
      </c>
      <c r="PSQ129" s="70">
        <v>0</v>
      </c>
      <c r="PSR129" s="70">
        <v>0</v>
      </c>
      <c r="PSS129" s="70">
        <v>0</v>
      </c>
      <c r="PST129" s="70">
        <v>0</v>
      </c>
      <c r="PSU129" s="70">
        <v>0</v>
      </c>
      <c r="PSV129" s="70">
        <v>0</v>
      </c>
      <c r="PSW129" s="70">
        <v>0</v>
      </c>
      <c r="PSX129" s="70">
        <v>0</v>
      </c>
      <c r="PSY129" s="70">
        <v>0</v>
      </c>
      <c r="PSZ129" s="70">
        <v>0</v>
      </c>
      <c r="PTA129" s="70">
        <v>0</v>
      </c>
      <c r="PTB129" s="70">
        <v>0</v>
      </c>
      <c r="PTC129" s="70">
        <v>0</v>
      </c>
      <c r="PTD129" s="70">
        <v>0</v>
      </c>
      <c r="PTE129" s="70">
        <v>0</v>
      </c>
      <c r="PTF129" s="70">
        <v>0</v>
      </c>
      <c r="PTG129" s="70">
        <v>0</v>
      </c>
      <c r="PTH129" s="70">
        <v>0</v>
      </c>
      <c r="PTI129" s="70">
        <v>0</v>
      </c>
      <c r="PTJ129" s="70">
        <v>0</v>
      </c>
      <c r="PTK129" s="70">
        <v>0</v>
      </c>
      <c r="PTL129" s="70">
        <v>0</v>
      </c>
      <c r="PTM129" s="70">
        <v>0</v>
      </c>
      <c r="PTN129" s="70">
        <v>0</v>
      </c>
      <c r="PTO129" s="70">
        <v>0</v>
      </c>
      <c r="PTP129" s="70">
        <v>0</v>
      </c>
      <c r="PTQ129" s="70">
        <v>0</v>
      </c>
      <c r="PTR129" s="70">
        <v>0</v>
      </c>
      <c r="PTS129" s="70">
        <v>0</v>
      </c>
      <c r="PTT129" s="70">
        <v>0</v>
      </c>
      <c r="PTU129" s="70">
        <v>0</v>
      </c>
      <c r="PTV129" s="70">
        <v>0</v>
      </c>
      <c r="PTW129" s="70">
        <v>0</v>
      </c>
      <c r="PTX129" s="70">
        <v>0</v>
      </c>
      <c r="PTY129" s="70">
        <v>0</v>
      </c>
      <c r="PTZ129" s="70">
        <v>0</v>
      </c>
      <c r="PUA129" s="70">
        <v>0</v>
      </c>
      <c r="PUB129" s="70">
        <v>0</v>
      </c>
      <c r="PUC129" s="70">
        <v>0</v>
      </c>
      <c r="PUD129" s="70">
        <v>0</v>
      </c>
      <c r="PUE129" s="70">
        <v>0</v>
      </c>
      <c r="PUF129" s="70">
        <v>0</v>
      </c>
      <c r="PUG129" s="70">
        <v>0</v>
      </c>
      <c r="PUH129" s="70">
        <v>0</v>
      </c>
      <c r="PUI129" s="70">
        <v>0</v>
      </c>
      <c r="PUJ129" s="70">
        <v>0</v>
      </c>
      <c r="PUK129" s="70">
        <v>0</v>
      </c>
      <c r="PUL129" s="70">
        <v>0</v>
      </c>
      <c r="PUM129" s="70">
        <v>0</v>
      </c>
      <c r="PUN129" s="70">
        <v>0</v>
      </c>
      <c r="PUO129" s="70">
        <v>0</v>
      </c>
      <c r="PUP129" s="70">
        <v>0</v>
      </c>
      <c r="PUQ129" s="70">
        <v>0</v>
      </c>
      <c r="PUR129" s="70">
        <v>0</v>
      </c>
      <c r="PUS129" s="70">
        <v>0</v>
      </c>
      <c r="PUT129" s="70">
        <v>0</v>
      </c>
      <c r="PUU129" s="70">
        <v>0</v>
      </c>
      <c r="PUV129" s="70">
        <v>0</v>
      </c>
      <c r="PUW129" s="70">
        <v>0</v>
      </c>
      <c r="PUX129" s="70">
        <v>0</v>
      </c>
      <c r="PUY129" s="70">
        <v>0</v>
      </c>
      <c r="PUZ129" s="70">
        <v>0</v>
      </c>
      <c r="PVA129" s="70">
        <v>0</v>
      </c>
      <c r="PVB129" s="70">
        <v>0</v>
      </c>
      <c r="PVC129" s="70">
        <v>0</v>
      </c>
      <c r="PVD129" s="70">
        <v>0</v>
      </c>
      <c r="PVE129" s="70">
        <v>0</v>
      </c>
      <c r="PVF129" s="70">
        <v>0</v>
      </c>
      <c r="PVG129" s="70">
        <v>0</v>
      </c>
      <c r="PVH129" s="70">
        <v>0</v>
      </c>
      <c r="PVI129" s="70">
        <v>0</v>
      </c>
      <c r="PVJ129" s="70">
        <v>0</v>
      </c>
      <c r="PVK129" s="70">
        <v>0</v>
      </c>
      <c r="PVL129" s="70">
        <v>0</v>
      </c>
      <c r="PVM129" s="70">
        <v>0</v>
      </c>
      <c r="PVN129" s="70">
        <v>0</v>
      </c>
      <c r="PVO129" s="70">
        <v>0</v>
      </c>
      <c r="PVP129" s="70">
        <v>0</v>
      </c>
      <c r="PVQ129" s="70">
        <v>0</v>
      </c>
      <c r="PVR129" s="70">
        <v>0</v>
      </c>
      <c r="PVS129" s="70">
        <v>0</v>
      </c>
      <c r="PVT129" s="70">
        <v>0</v>
      </c>
      <c r="PVU129" s="70">
        <v>0</v>
      </c>
      <c r="PVV129" s="70">
        <v>0</v>
      </c>
      <c r="PVW129" s="70">
        <v>0</v>
      </c>
      <c r="PVX129" s="70">
        <v>0</v>
      </c>
      <c r="PVY129" s="70">
        <v>0</v>
      </c>
      <c r="PVZ129" s="70">
        <v>0</v>
      </c>
      <c r="PWA129" s="70">
        <v>0</v>
      </c>
      <c r="PWB129" s="70">
        <v>0</v>
      </c>
      <c r="PWC129" s="70">
        <v>0</v>
      </c>
      <c r="PWD129" s="70">
        <v>0</v>
      </c>
      <c r="PWE129" s="70">
        <v>0</v>
      </c>
      <c r="PWF129" s="70">
        <v>0</v>
      </c>
      <c r="PWG129" s="70">
        <v>0</v>
      </c>
      <c r="PWH129" s="70">
        <v>0</v>
      </c>
      <c r="PWI129" s="70">
        <v>0</v>
      </c>
      <c r="PWJ129" s="70">
        <v>0</v>
      </c>
      <c r="PWK129" s="70">
        <v>0</v>
      </c>
      <c r="PWL129" s="70">
        <v>0</v>
      </c>
      <c r="PWM129" s="70">
        <v>0</v>
      </c>
      <c r="PWN129" s="70">
        <v>0</v>
      </c>
      <c r="PWO129" s="70">
        <v>0</v>
      </c>
      <c r="PWP129" s="70">
        <v>0</v>
      </c>
      <c r="PWQ129" s="70">
        <v>0</v>
      </c>
      <c r="PWR129" s="70">
        <v>0</v>
      </c>
      <c r="PWS129" s="70">
        <v>0</v>
      </c>
      <c r="PWT129" s="70">
        <v>0</v>
      </c>
      <c r="PWU129" s="70">
        <v>0</v>
      </c>
      <c r="PWV129" s="70">
        <v>0</v>
      </c>
      <c r="PWW129" s="70">
        <v>0</v>
      </c>
      <c r="PWX129" s="70">
        <v>0</v>
      </c>
      <c r="PWY129" s="70">
        <v>0</v>
      </c>
      <c r="PWZ129" s="70">
        <v>0</v>
      </c>
      <c r="PXA129" s="70">
        <v>0</v>
      </c>
      <c r="PXB129" s="70">
        <v>0</v>
      </c>
      <c r="PXC129" s="70">
        <v>0</v>
      </c>
      <c r="PXD129" s="70">
        <v>0</v>
      </c>
      <c r="PXE129" s="70">
        <v>0</v>
      </c>
      <c r="PXF129" s="70">
        <v>0</v>
      </c>
      <c r="PXG129" s="70">
        <v>0</v>
      </c>
      <c r="PXH129" s="70">
        <v>0</v>
      </c>
      <c r="PXI129" s="70">
        <v>0</v>
      </c>
      <c r="PXJ129" s="70">
        <v>0</v>
      </c>
      <c r="PXK129" s="70">
        <v>0</v>
      </c>
      <c r="PXL129" s="70">
        <v>0</v>
      </c>
      <c r="PXM129" s="70">
        <v>0</v>
      </c>
      <c r="PXN129" s="70">
        <v>0</v>
      </c>
      <c r="PXO129" s="70">
        <v>0</v>
      </c>
      <c r="PXP129" s="70">
        <v>0</v>
      </c>
      <c r="PXQ129" s="70">
        <v>0</v>
      </c>
      <c r="PXR129" s="70">
        <v>0</v>
      </c>
      <c r="PXS129" s="70">
        <v>0</v>
      </c>
      <c r="PXT129" s="70">
        <v>0</v>
      </c>
      <c r="PXU129" s="70">
        <v>0</v>
      </c>
      <c r="PXV129" s="70">
        <v>0</v>
      </c>
      <c r="PXW129" s="70">
        <v>0</v>
      </c>
      <c r="PXX129" s="70">
        <v>0</v>
      </c>
      <c r="PXY129" s="70">
        <v>0</v>
      </c>
      <c r="PXZ129" s="70">
        <v>0</v>
      </c>
      <c r="PYA129" s="70">
        <v>0</v>
      </c>
      <c r="PYB129" s="70">
        <v>0</v>
      </c>
      <c r="PYC129" s="70">
        <v>0</v>
      </c>
      <c r="PYD129" s="70">
        <v>0</v>
      </c>
      <c r="PYE129" s="70">
        <v>0</v>
      </c>
      <c r="PYF129" s="70">
        <v>0</v>
      </c>
      <c r="PYG129" s="70">
        <v>0</v>
      </c>
      <c r="PYH129" s="70">
        <v>0</v>
      </c>
      <c r="PYI129" s="70">
        <v>0</v>
      </c>
      <c r="PYJ129" s="70">
        <v>0</v>
      </c>
      <c r="PYK129" s="70">
        <v>0</v>
      </c>
      <c r="PYL129" s="70">
        <v>0</v>
      </c>
      <c r="PYM129" s="70">
        <v>0</v>
      </c>
      <c r="PYN129" s="70">
        <v>0</v>
      </c>
      <c r="PYO129" s="70">
        <v>0</v>
      </c>
      <c r="PYP129" s="70">
        <v>0</v>
      </c>
      <c r="PYQ129" s="70">
        <v>0</v>
      </c>
      <c r="PYR129" s="70">
        <v>0</v>
      </c>
      <c r="PYS129" s="70">
        <v>0</v>
      </c>
      <c r="PYT129" s="70">
        <v>0</v>
      </c>
      <c r="PYU129" s="70">
        <v>0</v>
      </c>
      <c r="PYV129" s="70">
        <v>0</v>
      </c>
      <c r="PYW129" s="70">
        <v>0</v>
      </c>
      <c r="PYX129" s="70">
        <v>0</v>
      </c>
      <c r="PYY129" s="70">
        <v>0</v>
      </c>
      <c r="PYZ129" s="70">
        <v>0</v>
      </c>
      <c r="PZA129" s="70">
        <v>0</v>
      </c>
      <c r="PZB129" s="70">
        <v>0</v>
      </c>
      <c r="PZC129" s="70">
        <v>0</v>
      </c>
      <c r="PZD129" s="70">
        <v>0</v>
      </c>
      <c r="PZE129" s="70">
        <v>0</v>
      </c>
      <c r="PZF129" s="70">
        <v>0</v>
      </c>
      <c r="PZG129" s="70">
        <v>0</v>
      </c>
      <c r="PZH129" s="70">
        <v>0</v>
      </c>
      <c r="PZI129" s="70">
        <v>0</v>
      </c>
      <c r="PZJ129" s="70">
        <v>0</v>
      </c>
      <c r="PZK129" s="70">
        <v>0</v>
      </c>
      <c r="PZL129" s="70">
        <v>0</v>
      </c>
      <c r="PZM129" s="70">
        <v>0</v>
      </c>
      <c r="PZN129" s="70">
        <v>0</v>
      </c>
      <c r="PZO129" s="70">
        <v>0</v>
      </c>
      <c r="PZP129" s="70">
        <v>0</v>
      </c>
      <c r="PZQ129" s="70">
        <v>0</v>
      </c>
      <c r="PZR129" s="70">
        <v>0</v>
      </c>
      <c r="PZS129" s="70">
        <v>0</v>
      </c>
      <c r="PZT129" s="70">
        <v>0</v>
      </c>
      <c r="PZU129" s="70">
        <v>0</v>
      </c>
      <c r="PZV129" s="70">
        <v>0</v>
      </c>
      <c r="PZW129" s="70">
        <v>0</v>
      </c>
      <c r="PZX129" s="70">
        <v>0</v>
      </c>
      <c r="PZY129" s="70">
        <v>0</v>
      </c>
      <c r="PZZ129" s="70">
        <v>0</v>
      </c>
      <c r="QAA129" s="70">
        <v>0</v>
      </c>
      <c r="QAB129" s="70">
        <v>0</v>
      </c>
      <c r="QAC129" s="70">
        <v>0</v>
      </c>
      <c r="QAD129" s="70">
        <v>0</v>
      </c>
      <c r="QAE129" s="70">
        <v>0</v>
      </c>
      <c r="QAF129" s="70">
        <v>0</v>
      </c>
      <c r="QAG129" s="70">
        <v>0</v>
      </c>
      <c r="QAH129" s="70">
        <v>0</v>
      </c>
      <c r="QAI129" s="70">
        <v>0</v>
      </c>
      <c r="QAJ129" s="70">
        <v>0</v>
      </c>
      <c r="QAK129" s="70">
        <v>0</v>
      </c>
      <c r="QAL129" s="70">
        <v>0</v>
      </c>
      <c r="QAM129" s="70">
        <v>0</v>
      </c>
      <c r="QAN129" s="70">
        <v>0</v>
      </c>
      <c r="QAO129" s="70">
        <v>0</v>
      </c>
      <c r="QAP129" s="70">
        <v>0</v>
      </c>
      <c r="QAQ129" s="70">
        <v>0</v>
      </c>
      <c r="QAR129" s="70">
        <v>0</v>
      </c>
      <c r="QAS129" s="70">
        <v>0</v>
      </c>
      <c r="QAT129" s="70">
        <v>0</v>
      </c>
      <c r="QAU129" s="70">
        <v>0</v>
      </c>
      <c r="QAV129" s="70">
        <v>0</v>
      </c>
      <c r="QAW129" s="70">
        <v>0</v>
      </c>
      <c r="QAX129" s="70">
        <v>0</v>
      </c>
      <c r="QAY129" s="70">
        <v>0</v>
      </c>
      <c r="QAZ129" s="70">
        <v>0</v>
      </c>
      <c r="QBA129" s="70">
        <v>0</v>
      </c>
      <c r="QBB129" s="70">
        <v>0</v>
      </c>
      <c r="QBC129" s="70">
        <v>0</v>
      </c>
      <c r="QBD129" s="70">
        <v>0</v>
      </c>
      <c r="QBE129" s="70">
        <v>0</v>
      </c>
      <c r="QBF129" s="70">
        <v>0</v>
      </c>
      <c r="QBG129" s="70">
        <v>0</v>
      </c>
      <c r="QBH129" s="70">
        <v>0</v>
      </c>
      <c r="QBI129" s="70">
        <v>0</v>
      </c>
      <c r="QBJ129" s="70">
        <v>0</v>
      </c>
      <c r="QBK129" s="70">
        <v>0</v>
      </c>
      <c r="QBL129" s="70">
        <v>0</v>
      </c>
      <c r="QBM129" s="70">
        <v>0</v>
      </c>
      <c r="QBN129" s="70">
        <v>0</v>
      </c>
      <c r="QBO129" s="70">
        <v>0</v>
      </c>
      <c r="QBP129" s="70">
        <v>0</v>
      </c>
      <c r="QBQ129" s="70">
        <v>0</v>
      </c>
      <c r="QBR129" s="70">
        <v>0</v>
      </c>
      <c r="QBS129" s="70">
        <v>0</v>
      </c>
      <c r="QBT129" s="70">
        <v>0</v>
      </c>
      <c r="QBU129" s="70">
        <v>0</v>
      </c>
      <c r="QBV129" s="70">
        <v>0</v>
      </c>
      <c r="QBW129" s="70">
        <v>0</v>
      </c>
      <c r="QBX129" s="70">
        <v>0</v>
      </c>
      <c r="QBY129" s="70">
        <v>0</v>
      </c>
      <c r="QBZ129" s="70">
        <v>0</v>
      </c>
      <c r="QCA129" s="70">
        <v>0</v>
      </c>
      <c r="QCB129" s="70">
        <v>0</v>
      </c>
      <c r="QCC129" s="70">
        <v>0</v>
      </c>
      <c r="QCD129" s="70">
        <v>0</v>
      </c>
      <c r="QCE129" s="70">
        <v>0</v>
      </c>
      <c r="QCF129" s="70">
        <v>0</v>
      </c>
      <c r="QCG129" s="70">
        <v>0</v>
      </c>
      <c r="QCH129" s="70">
        <v>0</v>
      </c>
      <c r="QCI129" s="70">
        <v>0</v>
      </c>
      <c r="QCJ129" s="70">
        <v>0</v>
      </c>
      <c r="QCK129" s="70">
        <v>0</v>
      </c>
      <c r="QCL129" s="70">
        <v>0</v>
      </c>
      <c r="QCM129" s="70">
        <v>0</v>
      </c>
      <c r="QCN129" s="70">
        <v>0</v>
      </c>
      <c r="QCO129" s="70">
        <v>0</v>
      </c>
      <c r="QCP129" s="70">
        <v>0</v>
      </c>
      <c r="QCQ129" s="70">
        <v>0</v>
      </c>
      <c r="QCR129" s="70">
        <v>0</v>
      </c>
      <c r="QCS129" s="70">
        <v>0</v>
      </c>
      <c r="QCT129" s="70">
        <v>0</v>
      </c>
      <c r="QCU129" s="70">
        <v>0</v>
      </c>
      <c r="QCV129" s="70">
        <v>0</v>
      </c>
      <c r="QCW129" s="70">
        <v>0</v>
      </c>
      <c r="QCX129" s="70">
        <v>0</v>
      </c>
      <c r="QCY129" s="70">
        <v>0</v>
      </c>
      <c r="QCZ129" s="70">
        <v>0</v>
      </c>
      <c r="QDA129" s="70">
        <v>0</v>
      </c>
      <c r="QDB129" s="70">
        <v>0</v>
      </c>
      <c r="QDC129" s="70">
        <v>0</v>
      </c>
      <c r="QDD129" s="70">
        <v>0</v>
      </c>
      <c r="QDE129" s="70">
        <v>0</v>
      </c>
      <c r="QDF129" s="70">
        <v>0</v>
      </c>
      <c r="QDG129" s="70">
        <v>0</v>
      </c>
      <c r="QDH129" s="70">
        <v>0</v>
      </c>
      <c r="QDI129" s="70">
        <v>0</v>
      </c>
      <c r="QDJ129" s="70">
        <v>0</v>
      </c>
      <c r="QDK129" s="70">
        <v>0</v>
      </c>
      <c r="QDL129" s="70">
        <v>0</v>
      </c>
      <c r="QDM129" s="70">
        <v>0</v>
      </c>
      <c r="QDN129" s="70">
        <v>0</v>
      </c>
      <c r="QDO129" s="70">
        <v>0</v>
      </c>
      <c r="QDP129" s="70">
        <v>0</v>
      </c>
      <c r="QDQ129" s="70">
        <v>0</v>
      </c>
      <c r="QDR129" s="70">
        <v>0</v>
      </c>
      <c r="QDS129" s="70">
        <v>0</v>
      </c>
      <c r="QDT129" s="70">
        <v>0</v>
      </c>
      <c r="QDU129" s="70">
        <v>0</v>
      </c>
      <c r="QDV129" s="70">
        <v>0</v>
      </c>
      <c r="QDW129" s="70">
        <v>0</v>
      </c>
      <c r="QDX129" s="70">
        <v>0</v>
      </c>
      <c r="QDY129" s="70">
        <v>0</v>
      </c>
      <c r="QDZ129" s="70">
        <v>0</v>
      </c>
      <c r="QEA129" s="70">
        <v>0</v>
      </c>
      <c r="QEB129" s="70">
        <v>0</v>
      </c>
      <c r="QEC129" s="70">
        <v>0</v>
      </c>
      <c r="QED129" s="70">
        <v>0</v>
      </c>
      <c r="QEE129" s="70">
        <v>0</v>
      </c>
      <c r="QEF129" s="70">
        <v>0</v>
      </c>
      <c r="QEG129" s="70">
        <v>0</v>
      </c>
      <c r="QEH129" s="70">
        <v>0</v>
      </c>
      <c r="QEI129" s="70">
        <v>0</v>
      </c>
      <c r="QEJ129" s="70">
        <v>0</v>
      </c>
      <c r="QEK129" s="70">
        <v>0</v>
      </c>
      <c r="QEL129" s="70">
        <v>0</v>
      </c>
      <c r="QEM129" s="70">
        <v>0</v>
      </c>
      <c r="QEN129" s="70">
        <v>0</v>
      </c>
      <c r="QEO129" s="70">
        <v>0</v>
      </c>
      <c r="QEP129" s="70">
        <v>0</v>
      </c>
      <c r="QEQ129" s="70">
        <v>0</v>
      </c>
      <c r="QER129" s="70">
        <v>0</v>
      </c>
      <c r="QES129" s="70">
        <v>0</v>
      </c>
      <c r="QET129" s="70">
        <v>0</v>
      </c>
      <c r="QEU129" s="70">
        <v>0</v>
      </c>
      <c r="QEV129" s="70">
        <v>0</v>
      </c>
      <c r="QEW129" s="70">
        <v>0</v>
      </c>
      <c r="QEX129" s="70">
        <v>0</v>
      </c>
      <c r="QEY129" s="70">
        <v>0</v>
      </c>
      <c r="QEZ129" s="70">
        <v>0</v>
      </c>
      <c r="QFA129" s="70">
        <v>0</v>
      </c>
      <c r="QFB129" s="70">
        <v>0</v>
      </c>
      <c r="QFC129" s="70">
        <v>0</v>
      </c>
      <c r="QFD129" s="70">
        <v>0</v>
      </c>
      <c r="QFE129" s="70">
        <v>0</v>
      </c>
      <c r="QFF129" s="70">
        <v>0</v>
      </c>
      <c r="QFG129" s="70">
        <v>0</v>
      </c>
      <c r="QFH129" s="70">
        <v>0</v>
      </c>
      <c r="QFI129" s="70">
        <v>0</v>
      </c>
      <c r="QFJ129" s="70">
        <v>0</v>
      </c>
      <c r="QFK129" s="70">
        <v>0</v>
      </c>
      <c r="QFL129" s="70">
        <v>0</v>
      </c>
      <c r="QFM129" s="70">
        <v>0</v>
      </c>
      <c r="QFN129" s="70">
        <v>0</v>
      </c>
      <c r="QFO129" s="70">
        <v>0</v>
      </c>
      <c r="QFP129" s="70">
        <v>0</v>
      </c>
      <c r="QFQ129" s="70">
        <v>0</v>
      </c>
      <c r="QFR129" s="70">
        <v>0</v>
      </c>
      <c r="QFS129" s="70">
        <v>0</v>
      </c>
      <c r="QFT129" s="70">
        <v>0</v>
      </c>
      <c r="QFU129" s="70">
        <v>0</v>
      </c>
      <c r="QFV129" s="70">
        <v>0</v>
      </c>
      <c r="QFW129" s="70">
        <v>0</v>
      </c>
      <c r="QFX129" s="70">
        <v>0</v>
      </c>
      <c r="QFY129" s="70">
        <v>0</v>
      </c>
      <c r="QFZ129" s="70">
        <v>0</v>
      </c>
      <c r="QGA129" s="70">
        <v>0</v>
      </c>
      <c r="QGB129" s="70">
        <v>0</v>
      </c>
      <c r="QGC129" s="70">
        <v>0</v>
      </c>
      <c r="QGD129" s="70">
        <v>0</v>
      </c>
      <c r="QGE129" s="70">
        <v>0</v>
      </c>
      <c r="QGF129" s="70">
        <v>0</v>
      </c>
      <c r="QGG129" s="70">
        <v>0</v>
      </c>
      <c r="QGH129" s="70">
        <v>0</v>
      </c>
      <c r="QGI129" s="70">
        <v>0</v>
      </c>
      <c r="QGJ129" s="70">
        <v>0</v>
      </c>
      <c r="QGK129" s="70">
        <v>0</v>
      </c>
      <c r="QGL129" s="70">
        <v>0</v>
      </c>
      <c r="QGM129" s="70">
        <v>0</v>
      </c>
      <c r="QGN129" s="70">
        <v>0</v>
      </c>
      <c r="QGO129" s="70">
        <v>0</v>
      </c>
      <c r="QGP129" s="70">
        <v>0</v>
      </c>
      <c r="QGQ129" s="70">
        <v>0</v>
      </c>
      <c r="QGR129" s="70">
        <v>0</v>
      </c>
      <c r="QGS129" s="70">
        <v>0</v>
      </c>
      <c r="QGT129" s="70">
        <v>0</v>
      </c>
      <c r="QGU129" s="70">
        <v>0</v>
      </c>
      <c r="QGV129" s="70">
        <v>0</v>
      </c>
      <c r="QGW129" s="70">
        <v>0</v>
      </c>
      <c r="QGX129" s="70">
        <v>0</v>
      </c>
      <c r="QGY129" s="70">
        <v>0</v>
      </c>
      <c r="QGZ129" s="70">
        <v>0</v>
      </c>
      <c r="QHA129" s="70">
        <v>0</v>
      </c>
      <c r="QHB129" s="70">
        <v>0</v>
      </c>
      <c r="QHC129" s="70">
        <v>0</v>
      </c>
      <c r="QHD129" s="70">
        <v>0</v>
      </c>
      <c r="QHE129" s="70">
        <v>0</v>
      </c>
      <c r="QHF129" s="70">
        <v>0</v>
      </c>
      <c r="QHG129" s="70">
        <v>0</v>
      </c>
      <c r="QHH129" s="70">
        <v>0</v>
      </c>
      <c r="QHI129" s="70">
        <v>0</v>
      </c>
      <c r="QHJ129" s="70">
        <v>0</v>
      </c>
      <c r="QHK129" s="70">
        <v>0</v>
      </c>
      <c r="QHL129" s="70">
        <v>0</v>
      </c>
      <c r="QHM129" s="70">
        <v>0</v>
      </c>
      <c r="QHN129" s="70">
        <v>0</v>
      </c>
      <c r="QHO129" s="70">
        <v>0</v>
      </c>
      <c r="QHP129" s="70">
        <v>0</v>
      </c>
      <c r="QHQ129" s="70">
        <v>0</v>
      </c>
      <c r="QHR129" s="70">
        <v>0</v>
      </c>
      <c r="QHS129" s="70">
        <v>0</v>
      </c>
      <c r="QHT129" s="70">
        <v>0</v>
      </c>
      <c r="QHU129" s="70">
        <v>0</v>
      </c>
      <c r="QHV129" s="70">
        <v>0</v>
      </c>
      <c r="QHW129" s="70">
        <v>0</v>
      </c>
      <c r="QHX129" s="70">
        <v>0</v>
      </c>
      <c r="QHY129" s="70">
        <v>0</v>
      </c>
      <c r="QHZ129" s="70">
        <v>0</v>
      </c>
      <c r="QIA129" s="70">
        <v>0</v>
      </c>
      <c r="QIB129" s="70">
        <v>0</v>
      </c>
      <c r="QIC129" s="70">
        <v>0</v>
      </c>
      <c r="QID129" s="70">
        <v>0</v>
      </c>
      <c r="QIE129" s="70">
        <v>0</v>
      </c>
      <c r="QIF129" s="70">
        <v>0</v>
      </c>
      <c r="QIG129" s="70">
        <v>0</v>
      </c>
      <c r="QIH129" s="70">
        <v>0</v>
      </c>
      <c r="QII129" s="70">
        <v>0</v>
      </c>
      <c r="QIJ129" s="70">
        <v>0</v>
      </c>
      <c r="QIK129" s="70">
        <v>0</v>
      </c>
      <c r="QIL129" s="70">
        <v>0</v>
      </c>
      <c r="QIM129" s="70">
        <v>0</v>
      </c>
      <c r="QIN129" s="70">
        <v>0</v>
      </c>
      <c r="QIO129" s="70">
        <v>0</v>
      </c>
      <c r="QIP129" s="70">
        <v>0</v>
      </c>
      <c r="QIQ129" s="70">
        <v>0</v>
      </c>
      <c r="QIR129" s="70">
        <v>0</v>
      </c>
      <c r="QIS129" s="70">
        <v>0</v>
      </c>
      <c r="QIT129" s="70">
        <v>0</v>
      </c>
      <c r="QIU129" s="70">
        <v>0</v>
      </c>
      <c r="QIV129" s="70">
        <v>0</v>
      </c>
      <c r="QIW129" s="70">
        <v>0</v>
      </c>
      <c r="QIX129" s="70">
        <v>0</v>
      </c>
      <c r="QIY129" s="70">
        <v>0</v>
      </c>
      <c r="QIZ129" s="70">
        <v>0</v>
      </c>
      <c r="QJA129" s="70">
        <v>0</v>
      </c>
      <c r="QJB129" s="70">
        <v>0</v>
      </c>
      <c r="QJC129" s="70">
        <v>0</v>
      </c>
      <c r="QJD129" s="70">
        <v>0</v>
      </c>
      <c r="QJE129" s="70">
        <v>0</v>
      </c>
      <c r="QJF129" s="70">
        <v>0</v>
      </c>
      <c r="QJG129" s="70">
        <v>0</v>
      </c>
      <c r="QJH129" s="70">
        <v>0</v>
      </c>
      <c r="QJI129" s="70">
        <v>0</v>
      </c>
      <c r="QJJ129" s="70">
        <v>0</v>
      </c>
      <c r="QJK129" s="70">
        <v>0</v>
      </c>
      <c r="QJL129" s="70">
        <v>0</v>
      </c>
      <c r="QJM129" s="70">
        <v>0</v>
      </c>
      <c r="QJN129" s="70">
        <v>0</v>
      </c>
      <c r="QJO129" s="70">
        <v>0</v>
      </c>
      <c r="QJP129" s="70">
        <v>0</v>
      </c>
      <c r="QJQ129" s="70">
        <v>0</v>
      </c>
      <c r="QJR129" s="70">
        <v>0</v>
      </c>
      <c r="QJS129" s="70">
        <v>0</v>
      </c>
      <c r="QJT129" s="70">
        <v>0</v>
      </c>
      <c r="QJU129" s="70">
        <v>0</v>
      </c>
      <c r="QJV129" s="70">
        <v>0</v>
      </c>
      <c r="QJW129" s="70">
        <v>0</v>
      </c>
      <c r="QJX129" s="70">
        <v>0</v>
      </c>
      <c r="QJY129" s="70">
        <v>0</v>
      </c>
      <c r="QJZ129" s="70">
        <v>0</v>
      </c>
      <c r="QKA129" s="70">
        <v>0</v>
      </c>
      <c r="QKB129" s="70">
        <v>0</v>
      </c>
      <c r="QKC129" s="70">
        <v>0</v>
      </c>
      <c r="QKD129" s="70">
        <v>0</v>
      </c>
      <c r="QKE129" s="70">
        <v>0</v>
      </c>
      <c r="QKF129" s="70">
        <v>0</v>
      </c>
      <c r="QKG129" s="70">
        <v>0</v>
      </c>
      <c r="QKH129" s="70">
        <v>0</v>
      </c>
      <c r="QKI129" s="70">
        <v>0</v>
      </c>
      <c r="QKJ129" s="70">
        <v>0</v>
      </c>
      <c r="QKK129" s="70">
        <v>0</v>
      </c>
      <c r="QKL129" s="70">
        <v>0</v>
      </c>
      <c r="QKM129" s="70">
        <v>0</v>
      </c>
      <c r="QKN129" s="70">
        <v>0</v>
      </c>
      <c r="QKO129" s="70">
        <v>0</v>
      </c>
      <c r="QKP129" s="70">
        <v>0</v>
      </c>
      <c r="QKQ129" s="70">
        <v>0</v>
      </c>
      <c r="QKR129" s="70">
        <v>0</v>
      </c>
      <c r="QKS129" s="70">
        <v>0</v>
      </c>
      <c r="QKT129" s="70">
        <v>0</v>
      </c>
      <c r="QKU129" s="70">
        <v>0</v>
      </c>
      <c r="QKV129" s="70">
        <v>0</v>
      </c>
      <c r="QKW129" s="70">
        <v>0</v>
      </c>
      <c r="QKX129" s="70">
        <v>0</v>
      </c>
      <c r="QKY129" s="70">
        <v>0</v>
      </c>
      <c r="QKZ129" s="70">
        <v>0</v>
      </c>
      <c r="QLA129" s="70">
        <v>0</v>
      </c>
      <c r="QLB129" s="70">
        <v>0</v>
      </c>
      <c r="QLC129" s="70">
        <v>0</v>
      </c>
      <c r="QLD129" s="70">
        <v>0</v>
      </c>
      <c r="QLE129" s="70">
        <v>0</v>
      </c>
      <c r="QLF129" s="70">
        <v>0</v>
      </c>
      <c r="QLG129" s="70">
        <v>0</v>
      </c>
      <c r="QLH129" s="70">
        <v>0</v>
      </c>
      <c r="QLI129" s="70">
        <v>0</v>
      </c>
      <c r="QLJ129" s="70">
        <v>0</v>
      </c>
      <c r="QLK129" s="70">
        <v>0</v>
      </c>
      <c r="QLL129" s="70">
        <v>0</v>
      </c>
      <c r="QLM129" s="70">
        <v>0</v>
      </c>
      <c r="QLN129" s="70">
        <v>0</v>
      </c>
      <c r="QLO129" s="70">
        <v>0</v>
      </c>
      <c r="QLP129" s="70">
        <v>0</v>
      </c>
      <c r="QLQ129" s="70">
        <v>0</v>
      </c>
      <c r="QLR129" s="70">
        <v>0</v>
      </c>
      <c r="QLS129" s="70">
        <v>0</v>
      </c>
      <c r="QLT129" s="70">
        <v>0</v>
      </c>
      <c r="QLU129" s="70">
        <v>0</v>
      </c>
      <c r="QLV129" s="70">
        <v>0</v>
      </c>
      <c r="QLW129" s="70">
        <v>0</v>
      </c>
      <c r="QLX129" s="70">
        <v>0</v>
      </c>
      <c r="QLY129" s="70">
        <v>0</v>
      </c>
      <c r="QLZ129" s="70">
        <v>0</v>
      </c>
      <c r="QMA129" s="70">
        <v>0</v>
      </c>
      <c r="QMB129" s="70">
        <v>0</v>
      </c>
      <c r="QMC129" s="70">
        <v>0</v>
      </c>
      <c r="QMD129" s="70">
        <v>0</v>
      </c>
      <c r="QME129" s="70">
        <v>0</v>
      </c>
      <c r="QMF129" s="70">
        <v>0</v>
      </c>
      <c r="QMG129" s="70">
        <v>0</v>
      </c>
      <c r="QMH129" s="70">
        <v>0</v>
      </c>
      <c r="QMI129" s="70">
        <v>0</v>
      </c>
      <c r="QMJ129" s="70">
        <v>0</v>
      </c>
      <c r="QMK129" s="70">
        <v>0</v>
      </c>
      <c r="QML129" s="70">
        <v>0</v>
      </c>
      <c r="QMM129" s="70">
        <v>0</v>
      </c>
      <c r="QMN129" s="70">
        <v>0</v>
      </c>
      <c r="QMO129" s="70">
        <v>0</v>
      </c>
      <c r="QMP129" s="70">
        <v>0</v>
      </c>
      <c r="QMQ129" s="70">
        <v>0</v>
      </c>
      <c r="QMR129" s="70">
        <v>0</v>
      </c>
      <c r="QMS129" s="70">
        <v>0</v>
      </c>
      <c r="QMT129" s="70">
        <v>0</v>
      </c>
      <c r="QMU129" s="70">
        <v>0</v>
      </c>
      <c r="QMV129" s="70">
        <v>0</v>
      </c>
      <c r="QMW129" s="70">
        <v>0</v>
      </c>
      <c r="QMX129" s="70">
        <v>0</v>
      </c>
      <c r="QMY129" s="70">
        <v>0</v>
      </c>
      <c r="QMZ129" s="70">
        <v>0</v>
      </c>
      <c r="QNA129" s="70">
        <v>0</v>
      </c>
      <c r="QNB129" s="70">
        <v>0</v>
      </c>
      <c r="QNC129" s="70">
        <v>0</v>
      </c>
      <c r="QND129" s="70">
        <v>0</v>
      </c>
      <c r="QNE129" s="70">
        <v>0</v>
      </c>
      <c r="QNF129" s="70">
        <v>0</v>
      </c>
      <c r="QNG129" s="70">
        <v>0</v>
      </c>
      <c r="QNH129" s="70">
        <v>0</v>
      </c>
      <c r="QNI129" s="70">
        <v>0</v>
      </c>
      <c r="QNJ129" s="70">
        <v>0</v>
      </c>
      <c r="QNK129" s="70">
        <v>0</v>
      </c>
      <c r="QNL129" s="70">
        <v>0</v>
      </c>
      <c r="QNM129" s="70">
        <v>0</v>
      </c>
      <c r="QNN129" s="70">
        <v>0</v>
      </c>
      <c r="QNO129" s="70">
        <v>0</v>
      </c>
      <c r="QNP129" s="70">
        <v>0</v>
      </c>
      <c r="QNQ129" s="70">
        <v>0</v>
      </c>
      <c r="QNR129" s="70">
        <v>0</v>
      </c>
      <c r="QNS129" s="70">
        <v>0</v>
      </c>
      <c r="QNT129" s="70">
        <v>0</v>
      </c>
      <c r="QNU129" s="70">
        <v>0</v>
      </c>
      <c r="QNV129" s="70">
        <v>0</v>
      </c>
      <c r="QNW129" s="70">
        <v>0</v>
      </c>
      <c r="QNX129" s="70">
        <v>0</v>
      </c>
      <c r="QNY129" s="70">
        <v>0</v>
      </c>
      <c r="QNZ129" s="70">
        <v>0</v>
      </c>
      <c r="QOA129" s="70">
        <v>0</v>
      </c>
      <c r="QOB129" s="70">
        <v>0</v>
      </c>
      <c r="QOC129" s="70">
        <v>0</v>
      </c>
      <c r="QOD129" s="70">
        <v>0</v>
      </c>
      <c r="QOE129" s="70">
        <v>0</v>
      </c>
      <c r="QOF129" s="70">
        <v>0</v>
      </c>
      <c r="QOG129" s="70">
        <v>0</v>
      </c>
      <c r="QOH129" s="70">
        <v>0</v>
      </c>
      <c r="QOI129" s="70">
        <v>0</v>
      </c>
      <c r="QOJ129" s="70">
        <v>0</v>
      </c>
      <c r="QOK129" s="70">
        <v>0</v>
      </c>
      <c r="QOL129" s="70">
        <v>0</v>
      </c>
      <c r="QOM129" s="70">
        <v>0</v>
      </c>
      <c r="QON129" s="70">
        <v>0</v>
      </c>
      <c r="QOO129" s="70">
        <v>0</v>
      </c>
      <c r="QOP129" s="70">
        <v>0</v>
      </c>
      <c r="QOQ129" s="70">
        <v>0</v>
      </c>
      <c r="QOR129" s="70">
        <v>0</v>
      </c>
      <c r="QOS129" s="70">
        <v>0</v>
      </c>
      <c r="QOT129" s="70">
        <v>0</v>
      </c>
      <c r="QOU129" s="70">
        <v>0</v>
      </c>
      <c r="QOV129" s="70">
        <v>0</v>
      </c>
      <c r="QOW129" s="70">
        <v>0</v>
      </c>
      <c r="QOX129" s="70">
        <v>0</v>
      </c>
      <c r="QOY129" s="70">
        <v>0</v>
      </c>
      <c r="QOZ129" s="70">
        <v>0</v>
      </c>
      <c r="QPA129" s="70">
        <v>0</v>
      </c>
      <c r="QPB129" s="70">
        <v>0</v>
      </c>
      <c r="QPC129" s="70">
        <v>0</v>
      </c>
      <c r="QPD129" s="70">
        <v>0</v>
      </c>
      <c r="QPE129" s="70">
        <v>0</v>
      </c>
      <c r="QPF129" s="70">
        <v>0</v>
      </c>
      <c r="QPG129" s="70">
        <v>0</v>
      </c>
      <c r="QPH129" s="70">
        <v>0</v>
      </c>
      <c r="QPI129" s="70">
        <v>0</v>
      </c>
      <c r="QPJ129" s="70">
        <v>0</v>
      </c>
      <c r="QPK129" s="70">
        <v>0</v>
      </c>
      <c r="QPL129" s="70">
        <v>0</v>
      </c>
      <c r="QPM129" s="70">
        <v>0</v>
      </c>
      <c r="QPN129" s="70">
        <v>0</v>
      </c>
      <c r="QPO129" s="70">
        <v>0</v>
      </c>
      <c r="QPP129" s="70">
        <v>0</v>
      </c>
      <c r="QPQ129" s="70">
        <v>0</v>
      </c>
      <c r="QPR129" s="70">
        <v>0</v>
      </c>
      <c r="QPS129" s="70">
        <v>0</v>
      </c>
      <c r="QPT129" s="70">
        <v>0</v>
      </c>
      <c r="QPU129" s="70">
        <v>0</v>
      </c>
      <c r="QPV129" s="70">
        <v>0</v>
      </c>
      <c r="QPW129" s="70">
        <v>0</v>
      </c>
      <c r="QPX129" s="70">
        <v>0</v>
      </c>
      <c r="QPY129" s="70">
        <v>0</v>
      </c>
      <c r="QPZ129" s="70">
        <v>0</v>
      </c>
      <c r="QQA129" s="70">
        <v>0</v>
      </c>
      <c r="QQB129" s="70">
        <v>0</v>
      </c>
      <c r="QQC129" s="70">
        <v>0</v>
      </c>
      <c r="QQD129" s="70">
        <v>0</v>
      </c>
      <c r="QQE129" s="70">
        <v>0</v>
      </c>
      <c r="QQF129" s="70">
        <v>0</v>
      </c>
      <c r="QQG129" s="70">
        <v>0</v>
      </c>
      <c r="QQH129" s="70">
        <v>0</v>
      </c>
      <c r="QQI129" s="70">
        <v>0</v>
      </c>
      <c r="QQJ129" s="70">
        <v>0</v>
      </c>
      <c r="QQK129" s="70">
        <v>0</v>
      </c>
      <c r="QQL129" s="70">
        <v>0</v>
      </c>
      <c r="QQM129" s="70">
        <v>0</v>
      </c>
      <c r="QQN129" s="70">
        <v>0</v>
      </c>
      <c r="QQO129" s="70">
        <v>0</v>
      </c>
      <c r="QQP129" s="70">
        <v>0</v>
      </c>
      <c r="QQQ129" s="70">
        <v>0</v>
      </c>
      <c r="QQR129" s="70">
        <v>0</v>
      </c>
      <c r="QQS129" s="70">
        <v>0</v>
      </c>
      <c r="QQT129" s="70">
        <v>0</v>
      </c>
      <c r="QQU129" s="70">
        <v>0</v>
      </c>
      <c r="QQV129" s="70">
        <v>0</v>
      </c>
      <c r="QQW129" s="70">
        <v>0</v>
      </c>
      <c r="QQX129" s="70">
        <v>0</v>
      </c>
      <c r="QQY129" s="70">
        <v>0</v>
      </c>
      <c r="QQZ129" s="70">
        <v>0</v>
      </c>
      <c r="QRA129" s="70">
        <v>0</v>
      </c>
      <c r="QRB129" s="70">
        <v>0</v>
      </c>
      <c r="QRC129" s="70">
        <v>0</v>
      </c>
      <c r="QRD129" s="70">
        <v>0</v>
      </c>
      <c r="QRE129" s="70">
        <v>0</v>
      </c>
      <c r="QRF129" s="70">
        <v>0</v>
      </c>
      <c r="QRG129" s="70">
        <v>0</v>
      </c>
      <c r="QRH129" s="70">
        <v>0</v>
      </c>
      <c r="QRI129" s="70">
        <v>0</v>
      </c>
      <c r="QRJ129" s="70">
        <v>0</v>
      </c>
      <c r="QRK129" s="70">
        <v>0</v>
      </c>
      <c r="QRL129" s="70">
        <v>0</v>
      </c>
      <c r="QRM129" s="70">
        <v>0</v>
      </c>
      <c r="QRN129" s="70">
        <v>0</v>
      </c>
      <c r="QRO129" s="70">
        <v>0</v>
      </c>
      <c r="QRP129" s="70">
        <v>0</v>
      </c>
      <c r="QRQ129" s="70">
        <v>0</v>
      </c>
      <c r="QRR129" s="70">
        <v>0</v>
      </c>
      <c r="QRS129" s="70">
        <v>0</v>
      </c>
      <c r="QRT129" s="70">
        <v>0</v>
      </c>
      <c r="QRU129" s="70">
        <v>0</v>
      </c>
      <c r="QRV129" s="70">
        <v>0</v>
      </c>
      <c r="QRW129" s="70">
        <v>0</v>
      </c>
      <c r="QRX129" s="70">
        <v>0</v>
      </c>
      <c r="QRY129" s="70">
        <v>0</v>
      </c>
      <c r="QRZ129" s="70">
        <v>0</v>
      </c>
      <c r="QSA129" s="70">
        <v>0</v>
      </c>
      <c r="QSB129" s="70">
        <v>0</v>
      </c>
      <c r="QSC129" s="70">
        <v>0</v>
      </c>
      <c r="QSD129" s="70">
        <v>0</v>
      </c>
      <c r="QSE129" s="70">
        <v>0</v>
      </c>
      <c r="QSF129" s="70">
        <v>0</v>
      </c>
      <c r="QSG129" s="70">
        <v>0</v>
      </c>
      <c r="QSH129" s="70">
        <v>0</v>
      </c>
      <c r="QSI129" s="70">
        <v>0</v>
      </c>
      <c r="QSJ129" s="70">
        <v>0</v>
      </c>
      <c r="QSK129" s="70">
        <v>0</v>
      </c>
      <c r="QSL129" s="70">
        <v>0</v>
      </c>
      <c r="QSM129" s="70">
        <v>0</v>
      </c>
      <c r="QSN129" s="70">
        <v>0</v>
      </c>
      <c r="QSO129" s="70">
        <v>0</v>
      </c>
      <c r="QSP129" s="70">
        <v>0</v>
      </c>
      <c r="QSQ129" s="70">
        <v>0</v>
      </c>
      <c r="QSR129" s="70">
        <v>0</v>
      </c>
      <c r="QSS129" s="70">
        <v>0</v>
      </c>
      <c r="QST129" s="70">
        <v>0</v>
      </c>
      <c r="QSU129" s="70">
        <v>0</v>
      </c>
      <c r="QSV129" s="70">
        <v>0</v>
      </c>
      <c r="QSW129" s="70">
        <v>0</v>
      </c>
      <c r="QSX129" s="70">
        <v>0</v>
      </c>
      <c r="QSY129" s="70">
        <v>0</v>
      </c>
      <c r="QSZ129" s="70">
        <v>0</v>
      </c>
      <c r="QTA129" s="70">
        <v>0</v>
      </c>
      <c r="QTB129" s="70">
        <v>0</v>
      </c>
      <c r="QTC129" s="70">
        <v>0</v>
      </c>
      <c r="QTD129" s="70">
        <v>0</v>
      </c>
      <c r="QTE129" s="70">
        <v>0</v>
      </c>
      <c r="QTF129" s="70">
        <v>0</v>
      </c>
      <c r="QTG129" s="70">
        <v>0</v>
      </c>
      <c r="QTH129" s="70">
        <v>0</v>
      </c>
      <c r="QTI129" s="70">
        <v>0</v>
      </c>
      <c r="QTJ129" s="70">
        <v>0</v>
      </c>
      <c r="QTK129" s="70">
        <v>0</v>
      </c>
      <c r="QTL129" s="70">
        <v>0</v>
      </c>
      <c r="QTM129" s="70">
        <v>0</v>
      </c>
      <c r="QTN129" s="70">
        <v>0</v>
      </c>
      <c r="QTO129" s="70">
        <v>0</v>
      </c>
      <c r="QTP129" s="70">
        <v>0</v>
      </c>
      <c r="QTQ129" s="70">
        <v>0</v>
      </c>
      <c r="QTR129" s="70">
        <v>0</v>
      </c>
      <c r="QTS129" s="70">
        <v>0</v>
      </c>
      <c r="QTT129" s="70">
        <v>0</v>
      </c>
      <c r="QTU129" s="70">
        <v>0</v>
      </c>
      <c r="QTV129" s="70">
        <v>0</v>
      </c>
      <c r="QTW129" s="70">
        <v>0</v>
      </c>
      <c r="QTX129" s="70">
        <v>0</v>
      </c>
      <c r="QTY129" s="70">
        <v>0</v>
      </c>
      <c r="QTZ129" s="70">
        <v>0</v>
      </c>
      <c r="QUA129" s="70">
        <v>0</v>
      </c>
      <c r="QUB129" s="70">
        <v>0</v>
      </c>
      <c r="QUC129" s="70">
        <v>0</v>
      </c>
      <c r="QUD129" s="70">
        <v>0</v>
      </c>
      <c r="QUE129" s="70">
        <v>0</v>
      </c>
      <c r="QUF129" s="70">
        <v>0</v>
      </c>
      <c r="QUG129" s="70">
        <v>0</v>
      </c>
      <c r="QUH129" s="70">
        <v>0</v>
      </c>
      <c r="QUI129" s="70">
        <v>0</v>
      </c>
      <c r="QUJ129" s="70">
        <v>0</v>
      </c>
      <c r="QUK129" s="70">
        <v>0</v>
      </c>
      <c r="QUL129" s="70">
        <v>0</v>
      </c>
      <c r="QUM129" s="70">
        <v>0</v>
      </c>
      <c r="QUN129" s="70">
        <v>0</v>
      </c>
      <c r="QUO129" s="70">
        <v>0</v>
      </c>
      <c r="QUP129" s="70">
        <v>0</v>
      </c>
      <c r="QUQ129" s="70">
        <v>0</v>
      </c>
      <c r="QUR129" s="70">
        <v>0</v>
      </c>
      <c r="QUS129" s="70">
        <v>0</v>
      </c>
      <c r="QUT129" s="70">
        <v>0</v>
      </c>
      <c r="QUU129" s="70">
        <v>0</v>
      </c>
      <c r="QUV129" s="70">
        <v>0</v>
      </c>
      <c r="QUW129" s="70">
        <v>0</v>
      </c>
      <c r="QUX129" s="70">
        <v>0</v>
      </c>
      <c r="QUY129" s="70">
        <v>0</v>
      </c>
      <c r="QUZ129" s="70">
        <v>0</v>
      </c>
      <c r="QVA129" s="70">
        <v>0</v>
      </c>
      <c r="QVB129" s="70">
        <v>0</v>
      </c>
      <c r="QVC129" s="70">
        <v>0</v>
      </c>
      <c r="QVD129" s="70">
        <v>0</v>
      </c>
      <c r="QVE129" s="70">
        <v>0</v>
      </c>
      <c r="QVF129" s="70">
        <v>0</v>
      </c>
      <c r="QVG129" s="70">
        <v>0</v>
      </c>
      <c r="QVH129" s="70">
        <v>0</v>
      </c>
      <c r="QVI129" s="70">
        <v>0</v>
      </c>
      <c r="QVJ129" s="70">
        <v>0</v>
      </c>
      <c r="QVK129" s="70">
        <v>0</v>
      </c>
      <c r="QVL129" s="70">
        <v>0</v>
      </c>
      <c r="QVM129" s="70">
        <v>0</v>
      </c>
      <c r="QVN129" s="70">
        <v>0</v>
      </c>
      <c r="QVO129" s="70">
        <v>0</v>
      </c>
      <c r="QVP129" s="70">
        <v>0</v>
      </c>
      <c r="QVQ129" s="70">
        <v>0</v>
      </c>
      <c r="QVR129" s="70">
        <v>0</v>
      </c>
      <c r="QVS129" s="70">
        <v>0</v>
      </c>
      <c r="QVT129" s="70">
        <v>0</v>
      </c>
      <c r="QVU129" s="70">
        <v>0</v>
      </c>
      <c r="QVV129" s="70">
        <v>0</v>
      </c>
      <c r="QVW129" s="70">
        <v>0</v>
      </c>
      <c r="QVX129" s="70">
        <v>0</v>
      </c>
      <c r="QVY129" s="70">
        <v>0</v>
      </c>
      <c r="QVZ129" s="70">
        <v>0</v>
      </c>
      <c r="QWA129" s="70">
        <v>0</v>
      </c>
      <c r="QWB129" s="70">
        <v>0</v>
      </c>
      <c r="QWC129" s="70">
        <v>0</v>
      </c>
      <c r="QWD129" s="70">
        <v>0</v>
      </c>
      <c r="QWE129" s="70">
        <v>0</v>
      </c>
      <c r="QWF129" s="70">
        <v>0</v>
      </c>
      <c r="QWG129" s="70">
        <v>0</v>
      </c>
      <c r="QWH129" s="70">
        <v>0</v>
      </c>
      <c r="QWI129" s="70">
        <v>0</v>
      </c>
      <c r="QWJ129" s="70">
        <v>0</v>
      </c>
      <c r="QWK129" s="70">
        <v>0</v>
      </c>
      <c r="QWL129" s="70">
        <v>0</v>
      </c>
      <c r="QWM129" s="70">
        <v>0</v>
      </c>
      <c r="QWN129" s="70">
        <v>0</v>
      </c>
      <c r="QWO129" s="70">
        <v>0</v>
      </c>
      <c r="QWP129" s="70">
        <v>0</v>
      </c>
      <c r="QWQ129" s="70">
        <v>0</v>
      </c>
      <c r="QWR129" s="70">
        <v>0</v>
      </c>
      <c r="QWS129" s="70">
        <v>0</v>
      </c>
      <c r="QWT129" s="70">
        <v>0</v>
      </c>
      <c r="QWU129" s="70">
        <v>0</v>
      </c>
      <c r="QWV129" s="70">
        <v>0</v>
      </c>
      <c r="QWW129" s="70">
        <v>0</v>
      </c>
      <c r="QWX129" s="70">
        <v>0</v>
      </c>
      <c r="QWY129" s="70">
        <v>0</v>
      </c>
      <c r="QWZ129" s="70">
        <v>0</v>
      </c>
      <c r="QXA129" s="70">
        <v>0</v>
      </c>
      <c r="QXB129" s="70">
        <v>0</v>
      </c>
      <c r="QXC129" s="70">
        <v>0</v>
      </c>
      <c r="QXD129" s="70">
        <v>0</v>
      </c>
      <c r="QXE129" s="70">
        <v>0</v>
      </c>
      <c r="QXF129" s="70">
        <v>0</v>
      </c>
      <c r="QXG129" s="70">
        <v>0</v>
      </c>
      <c r="QXH129" s="70">
        <v>0</v>
      </c>
      <c r="QXI129" s="70">
        <v>0</v>
      </c>
      <c r="QXJ129" s="70">
        <v>0</v>
      </c>
      <c r="QXK129" s="70">
        <v>0</v>
      </c>
      <c r="QXL129" s="70">
        <v>0</v>
      </c>
      <c r="QXM129" s="70">
        <v>0</v>
      </c>
      <c r="QXN129" s="70">
        <v>0</v>
      </c>
      <c r="QXO129" s="70">
        <v>0</v>
      </c>
      <c r="QXP129" s="70">
        <v>0</v>
      </c>
      <c r="QXQ129" s="70">
        <v>0</v>
      </c>
      <c r="QXR129" s="70">
        <v>0</v>
      </c>
      <c r="QXS129" s="70">
        <v>0</v>
      </c>
      <c r="QXT129" s="70">
        <v>0</v>
      </c>
      <c r="QXU129" s="70">
        <v>0</v>
      </c>
      <c r="QXV129" s="70">
        <v>0</v>
      </c>
      <c r="QXW129" s="70">
        <v>0</v>
      </c>
      <c r="QXX129" s="70">
        <v>0</v>
      </c>
      <c r="QXY129" s="70">
        <v>0</v>
      </c>
      <c r="QXZ129" s="70">
        <v>0</v>
      </c>
      <c r="QYA129" s="70">
        <v>0</v>
      </c>
      <c r="QYB129" s="70">
        <v>0</v>
      </c>
      <c r="QYC129" s="70">
        <v>0</v>
      </c>
      <c r="QYD129" s="70">
        <v>0</v>
      </c>
      <c r="QYE129" s="70">
        <v>0</v>
      </c>
      <c r="QYF129" s="70">
        <v>0</v>
      </c>
      <c r="QYG129" s="70">
        <v>0</v>
      </c>
      <c r="QYH129" s="70">
        <v>0</v>
      </c>
      <c r="QYI129" s="70">
        <v>0</v>
      </c>
      <c r="QYJ129" s="70">
        <v>0</v>
      </c>
      <c r="QYK129" s="70">
        <v>0</v>
      </c>
      <c r="QYL129" s="70">
        <v>0</v>
      </c>
      <c r="QYM129" s="70">
        <v>0</v>
      </c>
      <c r="QYN129" s="70">
        <v>0</v>
      </c>
      <c r="QYO129" s="70">
        <v>0</v>
      </c>
      <c r="QYP129" s="70">
        <v>0</v>
      </c>
      <c r="QYQ129" s="70">
        <v>0</v>
      </c>
      <c r="QYR129" s="70">
        <v>0</v>
      </c>
      <c r="QYS129" s="70">
        <v>0</v>
      </c>
      <c r="QYT129" s="70">
        <v>0</v>
      </c>
      <c r="QYU129" s="70">
        <v>0</v>
      </c>
      <c r="QYV129" s="70">
        <v>0</v>
      </c>
      <c r="QYW129" s="70">
        <v>0</v>
      </c>
      <c r="QYX129" s="70">
        <v>0</v>
      </c>
      <c r="QYY129" s="70">
        <v>0</v>
      </c>
      <c r="QYZ129" s="70">
        <v>0</v>
      </c>
      <c r="QZA129" s="70">
        <v>0</v>
      </c>
      <c r="QZB129" s="70">
        <v>0</v>
      </c>
      <c r="QZC129" s="70">
        <v>0</v>
      </c>
      <c r="QZD129" s="70">
        <v>0</v>
      </c>
      <c r="QZE129" s="70">
        <v>0</v>
      </c>
      <c r="QZF129" s="70">
        <v>0</v>
      </c>
      <c r="QZG129" s="70">
        <v>0</v>
      </c>
      <c r="QZH129" s="70">
        <v>0</v>
      </c>
      <c r="QZI129" s="70">
        <v>0</v>
      </c>
      <c r="QZJ129" s="70">
        <v>0</v>
      </c>
      <c r="QZK129" s="70">
        <v>0</v>
      </c>
      <c r="QZL129" s="70">
        <v>0</v>
      </c>
      <c r="QZM129" s="70">
        <v>0</v>
      </c>
      <c r="QZN129" s="70">
        <v>0</v>
      </c>
      <c r="QZO129" s="70">
        <v>0</v>
      </c>
      <c r="QZP129" s="70">
        <v>0</v>
      </c>
      <c r="QZQ129" s="70">
        <v>0</v>
      </c>
      <c r="QZR129" s="70">
        <v>0</v>
      </c>
      <c r="QZS129" s="70">
        <v>0</v>
      </c>
      <c r="QZT129" s="70">
        <v>0</v>
      </c>
      <c r="QZU129" s="70">
        <v>0</v>
      </c>
      <c r="QZV129" s="70">
        <v>0</v>
      </c>
      <c r="QZW129" s="70">
        <v>0</v>
      </c>
      <c r="QZX129" s="70">
        <v>0</v>
      </c>
      <c r="QZY129" s="70">
        <v>0</v>
      </c>
      <c r="QZZ129" s="70">
        <v>0</v>
      </c>
      <c r="RAA129" s="70">
        <v>0</v>
      </c>
      <c r="RAB129" s="70">
        <v>0</v>
      </c>
      <c r="RAC129" s="70">
        <v>0</v>
      </c>
      <c r="RAD129" s="70">
        <v>0</v>
      </c>
      <c r="RAE129" s="70">
        <v>0</v>
      </c>
      <c r="RAF129" s="70">
        <v>0</v>
      </c>
      <c r="RAG129" s="70">
        <v>0</v>
      </c>
      <c r="RAH129" s="70">
        <v>0</v>
      </c>
      <c r="RAI129" s="70">
        <v>0</v>
      </c>
      <c r="RAJ129" s="70">
        <v>0</v>
      </c>
      <c r="RAK129" s="70">
        <v>0</v>
      </c>
      <c r="RAL129" s="70">
        <v>0</v>
      </c>
      <c r="RAM129" s="70">
        <v>0</v>
      </c>
      <c r="RAN129" s="70">
        <v>0</v>
      </c>
      <c r="RAO129" s="70">
        <v>0</v>
      </c>
      <c r="RAP129" s="70">
        <v>0</v>
      </c>
      <c r="RAQ129" s="70">
        <v>0</v>
      </c>
      <c r="RAR129" s="70">
        <v>0</v>
      </c>
      <c r="RAS129" s="70">
        <v>0</v>
      </c>
      <c r="RAT129" s="70">
        <v>0</v>
      </c>
      <c r="RAU129" s="70">
        <v>0</v>
      </c>
      <c r="RAV129" s="70">
        <v>0</v>
      </c>
      <c r="RAW129" s="70">
        <v>0</v>
      </c>
      <c r="RAX129" s="70">
        <v>0</v>
      </c>
      <c r="RAY129" s="70">
        <v>0</v>
      </c>
      <c r="RAZ129" s="70">
        <v>0</v>
      </c>
      <c r="RBA129" s="70">
        <v>0</v>
      </c>
      <c r="RBB129" s="70">
        <v>0</v>
      </c>
      <c r="RBC129" s="70">
        <v>0</v>
      </c>
      <c r="RBD129" s="70">
        <v>0</v>
      </c>
      <c r="RBE129" s="70">
        <v>0</v>
      </c>
      <c r="RBF129" s="70">
        <v>0</v>
      </c>
      <c r="RBG129" s="70">
        <v>0</v>
      </c>
      <c r="RBH129" s="70">
        <v>0</v>
      </c>
      <c r="RBI129" s="70">
        <v>0</v>
      </c>
      <c r="RBJ129" s="70">
        <v>0</v>
      </c>
      <c r="RBK129" s="70">
        <v>0</v>
      </c>
      <c r="RBL129" s="70">
        <v>0</v>
      </c>
      <c r="RBM129" s="70">
        <v>0</v>
      </c>
      <c r="RBN129" s="70">
        <v>0</v>
      </c>
      <c r="RBO129" s="70">
        <v>0</v>
      </c>
      <c r="RBP129" s="70">
        <v>0</v>
      </c>
      <c r="RBQ129" s="70">
        <v>0</v>
      </c>
      <c r="RBR129" s="70">
        <v>0</v>
      </c>
      <c r="RBS129" s="70">
        <v>0</v>
      </c>
      <c r="RBT129" s="70">
        <v>0</v>
      </c>
      <c r="RBU129" s="70">
        <v>0</v>
      </c>
      <c r="RBV129" s="70">
        <v>0</v>
      </c>
      <c r="RBW129" s="70">
        <v>0</v>
      </c>
      <c r="RBX129" s="70">
        <v>0</v>
      </c>
      <c r="RBY129" s="70">
        <v>0</v>
      </c>
      <c r="RBZ129" s="70">
        <v>0</v>
      </c>
      <c r="RCA129" s="70">
        <v>0</v>
      </c>
      <c r="RCB129" s="70">
        <v>0</v>
      </c>
      <c r="RCC129" s="70">
        <v>0</v>
      </c>
      <c r="RCD129" s="70">
        <v>0</v>
      </c>
      <c r="RCE129" s="70">
        <v>0</v>
      </c>
      <c r="RCF129" s="70">
        <v>0</v>
      </c>
      <c r="RCG129" s="70">
        <v>0</v>
      </c>
      <c r="RCH129" s="70">
        <v>0</v>
      </c>
      <c r="RCI129" s="70">
        <v>0</v>
      </c>
      <c r="RCJ129" s="70">
        <v>0</v>
      </c>
      <c r="RCK129" s="70">
        <v>0</v>
      </c>
      <c r="RCL129" s="70">
        <v>0</v>
      </c>
      <c r="RCM129" s="70">
        <v>0</v>
      </c>
      <c r="RCN129" s="70">
        <v>0</v>
      </c>
      <c r="RCO129" s="70">
        <v>0</v>
      </c>
      <c r="RCP129" s="70">
        <v>0</v>
      </c>
      <c r="RCQ129" s="70">
        <v>0</v>
      </c>
      <c r="RCR129" s="70">
        <v>0</v>
      </c>
      <c r="RCS129" s="70">
        <v>0</v>
      </c>
      <c r="RCT129" s="70">
        <v>0</v>
      </c>
      <c r="RCU129" s="70">
        <v>0</v>
      </c>
      <c r="RCV129" s="70">
        <v>0</v>
      </c>
      <c r="RCW129" s="70">
        <v>0</v>
      </c>
      <c r="RCX129" s="70">
        <v>0</v>
      </c>
      <c r="RCY129" s="70">
        <v>0</v>
      </c>
      <c r="RCZ129" s="70">
        <v>0</v>
      </c>
      <c r="RDA129" s="70">
        <v>0</v>
      </c>
      <c r="RDB129" s="70">
        <v>0</v>
      </c>
      <c r="RDC129" s="70">
        <v>0</v>
      </c>
      <c r="RDD129" s="70">
        <v>0</v>
      </c>
      <c r="RDE129" s="70">
        <v>0</v>
      </c>
      <c r="RDF129" s="70">
        <v>0</v>
      </c>
      <c r="RDG129" s="70">
        <v>0</v>
      </c>
      <c r="RDH129" s="70">
        <v>0</v>
      </c>
      <c r="RDI129" s="70">
        <v>0</v>
      </c>
      <c r="RDJ129" s="70">
        <v>0</v>
      </c>
      <c r="RDK129" s="70">
        <v>0</v>
      </c>
      <c r="RDL129" s="70">
        <v>0</v>
      </c>
      <c r="RDM129" s="70">
        <v>0</v>
      </c>
      <c r="RDN129" s="70">
        <v>0</v>
      </c>
      <c r="RDO129" s="70">
        <v>0</v>
      </c>
      <c r="RDP129" s="70">
        <v>0</v>
      </c>
      <c r="RDQ129" s="70">
        <v>0</v>
      </c>
      <c r="RDR129" s="70">
        <v>0</v>
      </c>
      <c r="RDS129" s="70">
        <v>0</v>
      </c>
      <c r="RDT129" s="70">
        <v>0</v>
      </c>
      <c r="RDU129" s="70">
        <v>0</v>
      </c>
      <c r="RDV129" s="70">
        <v>0</v>
      </c>
      <c r="RDW129" s="70">
        <v>0</v>
      </c>
      <c r="RDX129" s="70">
        <v>0</v>
      </c>
      <c r="RDY129" s="70">
        <v>0</v>
      </c>
      <c r="RDZ129" s="70">
        <v>0</v>
      </c>
      <c r="REA129" s="70">
        <v>0</v>
      </c>
      <c r="REB129" s="70">
        <v>0</v>
      </c>
      <c r="REC129" s="70">
        <v>0</v>
      </c>
      <c r="RED129" s="70">
        <v>0</v>
      </c>
      <c r="REE129" s="70">
        <v>0</v>
      </c>
      <c r="REF129" s="70">
        <v>0</v>
      </c>
      <c r="REG129" s="70">
        <v>0</v>
      </c>
      <c r="REH129" s="70">
        <v>0</v>
      </c>
      <c r="REI129" s="70">
        <v>0</v>
      </c>
      <c r="REJ129" s="70">
        <v>0</v>
      </c>
      <c r="REK129" s="70">
        <v>0</v>
      </c>
      <c r="REL129" s="70">
        <v>0</v>
      </c>
      <c r="REM129" s="70">
        <v>0</v>
      </c>
      <c r="REN129" s="70">
        <v>0</v>
      </c>
      <c r="REO129" s="70">
        <v>0</v>
      </c>
      <c r="REP129" s="70">
        <v>0</v>
      </c>
      <c r="REQ129" s="70">
        <v>0</v>
      </c>
      <c r="RER129" s="70">
        <v>0</v>
      </c>
      <c r="RES129" s="70">
        <v>0</v>
      </c>
      <c r="RET129" s="70">
        <v>0</v>
      </c>
      <c r="REU129" s="70">
        <v>0</v>
      </c>
      <c r="REV129" s="70">
        <v>0</v>
      </c>
      <c r="REW129" s="70">
        <v>0</v>
      </c>
      <c r="REX129" s="70">
        <v>0</v>
      </c>
      <c r="REY129" s="70">
        <v>0</v>
      </c>
      <c r="REZ129" s="70">
        <v>0</v>
      </c>
      <c r="RFA129" s="70">
        <v>0</v>
      </c>
      <c r="RFB129" s="70">
        <v>0</v>
      </c>
      <c r="RFC129" s="70">
        <v>0</v>
      </c>
      <c r="RFD129" s="70">
        <v>0</v>
      </c>
      <c r="RFE129" s="70">
        <v>0</v>
      </c>
      <c r="RFF129" s="70">
        <v>0</v>
      </c>
      <c r="RFG129" s="70">
        <v>0</v>
      </c>
      <c r="RFH129" s="70">
        <v>0</v>
      </c>
      <c r="RFI129" s="70">
        <v>0</v>
      </c>
      <c r="RFJ129" s="70">
        <v>0</v>
      </c>
      <c r="RFK129" s="70">
        <v>0</v>
      </c>
      <c r="RFL129" s="70">
        <v>0</v>
      </c>
      <c r="RFM129" s="70">
        <v>0</v>
      </c>
      <c r="RFN129" s="70">
        <v>0</v>
      </c>
      <c r="RFO129" s="70">
        <v>0</v>
      </c>
      <c r="RFP129" s="70">
        <v>0</v>
      </c>
      <c r="RFQ129" s="70">
        <v>0</v>
      </c>
      <c r="RFR129" s="70">
        <v>0</v>
      </c>
      <c r="RFS129" s="70">
        <v>0</v>
      </c>
      <c r="RFT129" s="70">
        <v>0</v>
      </c>
      <c r="RFU129" s="70">
        <v>0</v>
      </c>
      <c r="RFV129" s="70">
        <v>0</v>
      </c>
      <c r="RFW129" s="70">
        <v>0</v>
      </c>
      <c r="RFX129" s="70">
        <v>0</v>
      </c>
      <c r="RFY129" s="70">
        <v>0</v>
      </c>
      <c r="RFZ129" s="70">
        <v>0</v>
      </c>
      <c r="RGA129" s="70">
        <v>0</v>
      </c>
      <c r="RGB129" s="70">
        <v>0</v>
      </c>
      <c r="RGC129" s="70">
        <v>0</v>
      </c>
      <c r="RGD129" s="70">
        <v>0</v>
      </c>
      <c r="RGE129" s="70">
        <v>0</v>
      </c>
      <c r="RGF129" s="70">
        <v>0</v>
      </c>
      <c r="RGG129" s="70">
        <v>0</v>
      </c>
      <c r="RGH129" s="70">
        <v>0</v>
      </c>
      <c r="RGI129" s="70">
        <v>0</v>
      </c>
      <c r="RGJ129" s="70">
        <v>0</v>
      </c>
      <c r="RGK129" s="70">
        <v>0</v>
      </c>
      <c r="RGL129" s="70">
        <v>0</v>
      </c>
      <c r="RGM129" s="70">
        <v>0</v>
      </c>
      <c r="RGN129" s="70">
        <v>0</v>
      </c>
      <c r="RGO129" s="70">
        <v>0</v>
      </c>
      <c r="RGP129" s="70">
        <v>0</v>
      </c>
      <c r="RGQ129" s="70">
        <v>0</v>
      </c>
      <c r="RGR129" s="70">
        <v>0</v>
      </c>
      <c r="RGS129" s="70">
        <v>0</v>
      </c>
      <c r="RGT129" s="70">
        <v>0</v>
      </c>
      <c r="RGU129" s="70">
        <v>0</v>
      </c>
      <c r="RGV129" s="70">
        <v>0</v>
      </c>
      <c r="RGW129" s="70">
        <v>0</v>
      </c>
      <c r="RGX129" s="70">
        <v>0</v>
      </c>
      <c r="RGY129" s="70">
        <v>0</v>
      </c>
      <c r="RGZ129" s="70">
        <v>0</v>
      </c>
      <c r="RHA129" s="70">
        <v>0</v>
      </c>
      <c r="RHB129" s="70">
        <v>0</v>
      </c>
      <c r="RHC129" s="70">
        <v>0</v>
      </c>
      <c r="RHD129" s="70">
        <v>0</v>
      </c>
      <c r="RHE129" s="70">
        <v>0</v>
      </c>
      <c r="RHF129" s="70">
        <v>0</v>
      </c>
      <c r="RHG129" s="70">
        <v>0</v>
      </c>
      <c r="RHH129" s="70">
        <v>0</v>
      </c>
      <c r="RHI129" s="70">
        <v>0</v>
      </c>
      <c r="RHJ129" s="70">
        <v>0</v>
      </c>
      <c r="RHK129" s="70">
        <v>0</v>
      </c>
      <c r="RHL129" s="70">
        <v>0</v>
      </c>
      <c r="RHM129" s="70">
        <v>0</v>
      </c>
      <c r="RHN129" s="70">
        <v>0</v>
      </c>
      <c r="RHO129" s="70">
        <v>0</v>
      </c>
      <c r="RHP129" s="70">
        <v>0</v>
      </c>
      <c r="RHQ129" s="70">
        <v>0</v>
      </c>
      <c r="RHR129" s="70">
        <v>0</v>
      </c>
      <c r="RHS129" s="70">
        <v>0</v>
      </c>
      <c r="RHT129" s="70">
        <v>0</v>
      </c>
      <c r="RHU129" s="70">
        <v>0</v>
      </c>
      <c r="RHV129" s="70">
        <v>0</v>
      </c>
      <c r="RHW129" s="70">
        <v>0</v>
      </c>
      <c r="RHX129" s="70">
        <v>0</v>
      </c>
      <c r="RHY129" s="70">
        <v>0</v>
      </c>
      <c r="RHZ129" s="70">
        <v>0</v>
      </c>
      <c r="RIA129" s="70">
        <v>0</v>
      </c>
      <c r="RIB129" s="70">
        <v>0</v>
      </c>
      <c r="RIC129" s="70">
        <v>0</v>
      </c>
      <c r="RID129" s="70">
        <v>0</v>
      </c>
      <c r="RIE129" s="70">
        <v>0</v>
      </c>
      <c r="RIF129" s="70">
        <v>0</v>
      </c>
      <c r="RIG129" s="70">
        <v>0</v>
      </c>
      <c r="RIH129" s="70">
        <v>0</v>
      </c>
      <c r="RII129" s="70">
        <v>0</v>
      </c>
      <c r="RIJ129" s="70">
        <v>0</v>
      </c>
      <c r="RIK129" s="70">
        <v>0</v>
      </c>
      <c r="RIL129" s="70">
        <v>0</v>
      </c>
      <c r="RIM129" s="70">
        <v>0</v>
      </c>
      <c r="RIN129" s="70">
        <v>0</v>
      </c>
      <c r="RIO129" s="70">
        <v>0</v>
      </c>
      <c r="RIP129" s="70">
        <v>0</v>
      </c>
      <c r="RIQ129" s="70">
        <v>0</v>
      </c>
      <c r="RIR129" s="70">
        <v>0</v>
      </c>
      <c r="RIS129" s="70">
        <v>0</v>
      </c>
      <c r="RIT129" s="70">
        <v>0</v>
      </c>
      <c r="RIU129" s="70">
        <v>0</v>
      </c>
      <c r="RIV129" s="70">
        <v>0</v>
      </c>
      <c r="RIW129" s="70">
        <v>0</v>
      </c>
      <c r="RIX129" s="70">
        <v>0</v>
      </c>
      <c r="RIY129" s="70">
        <v>0</v>
      </c>
      <c r="RIZ129" s="70">
        <v>0</v>
      </c>
      <c r="RJA129" s="70">
        <v>0</v>
      </c>
      <c r="RJB129" s="70">
        <v>0</v>
      </c>
      <c r="RJC129" s="70">
        <v>0</v>
      </c>
      <c r="RJD129" s="70">
        <v>0</v>
      </c>
      <c r="RJE129" s="70">
        <v>0</v>
      </c>
      <c r="RJF129" s="70">
        <v>0</v>
      </c>
      <c r="RJG129" s="70">
        <v>0</v>
      </c>
      <c r="RJH129" s="70">
        <v>0</v>
      </c>
      <c r="RJI129" s="70">
        <v>0</v>
      </c>
      <c r="RJJ129" s="70">
        <v>0</v>
      </c>
      <c r="RJK129" s="70">
        <v>0</v>
      </c>
      <c r="RJL129" s="70">
        <v>0</v>
      </c>
      <c r="RJM129" s="70">
        <v>0</v>
      </c>
      <c r="RJN129" s="70">
        <v>0</v>
      </c>
      <c r="RJO129" s="70">
        <v>0</v>
      </c>
      <c r="RJP129" s="70">
        <v>0</v>
      </c>
      <c r="RJQ129" s="70">
        <v>0</v>
      </c>
      <c r="RJR129" s="70">
        <v>0</v>
      </c>
      <c r="RJS129" s="70">
        <v>0</v>
      </c>
      <c r="RJT129" s="70">
        <v>0</v>
      </c>
      <c r="RJU129" s="70">
        <v>0</v>
      </c>
      <c r="RJV129" s="70">
        <v>0</v>
      </c>
      <c r="RJW129" s="70">
        <v>0</v>
      </c>
      <c r="RJX129" s="70">
        <v>0</v>
      </c>
      <c r="RJY129" s="70">
        <v>0</v>
      </c>
      <c r="RJZ129" s="70">
        <v>0</v>
      </c>
      <c r="RKA129" s="70">
        <v>0</v>
      </c>
      <c r="RKB129" s="70">
        <v>0</v>
      </c>
      <c r="RKC129" s="70">
        <v>0</v>
      </c>
      <c r="RKD129" s="70">
        <v>0</v>
      </c>
      <c r="RKE129" s="70">
        <v>0</v>
      </c>
      <c r="RKF129" s="70">
        <v>0</v>
      </c>
      <c r="RKG129" s="70">
        <v>0</v>
      </c>
      <c r="RKH129" s="70">
        <v>0</v>
      </c>
      <c r="RKI129" s="70">
        <v>0</v>
      </c>
      <c r="RKJ129" s="70">
        <v>0</v>
      </c>
      <c r="RKK129" s="70">
        <v>0</v>
      </c>
      <c r="RKL129" s="70">
        <v>0</v>
      </c>
      <c r="RKM129" s="70">
        <v>0</v>
      </c>
      <c r="RKN129" s="70">
        <v>0</v>
      </c>
      <c r="RKO129" s="70">
        <v>0</v>
      </c>
      <c r="RKP129" s="70">
        <v>0</v>
      </c>
      <c r="RKQ129" s="70">
        <v>0</v>
      </c>
      <c r="RKR129" s="70">
        <v>0</v>
      </c>
      <c r="RKS129" s="70">
        <v>0</v>
      </c>
      <c r="RKT129" s="70">
        <v>0</v>
      </c>
      <c r="RKU129" s="70">
        <v>0</v>
      </c>
      <c r="RKV129" s="70">
        <v>0</v>
      </c>
      <c r="RKW129" s="70">
        <v>0</v>
      </c>
      <c r="RKX129" s="70">
        <v>0</v>
      </c>
      <c r="RKY129" s="70">
        <v>0</v>
      </c>
      <c r="RKZ129" s="70">
        <v>0</v>
      </c>
      <c r="RLA129" s="70">
        <v>0</v>
      </c>
      <c r="RLB129" s="70">
        <v>0</v>
      </c>
      <c r="RLC129" s="70">
        <v>0</v>
      </c>
      <c r="RLD129" s="70">
        <v>0</v>
      </c>
      <c r="RLE129" s="70">
        <v>0</v>
      </c>
      <c r="RLF129" s="70">
        <v>0</v>
      </c>
      <c r="RLG129" s="70">
        <v>0</v>
      </c>
      <c r="RLH129" s="70">
        <v>0</v>
      </c>
      <c r="RLI129" s="70">
        <v>0</v>
      </c>
      <c r="RLJ129" s="70">
        <v>0</v>
      </c>
      <c r="RLK129" s="70">
        <v>0</v>
      </c>
      <c r="RLL129" s="70">
        <v>0</v>
      </c>
      <c r="RLM129" s="70">
        <v>0</v>
      </c>
      <c r="RLN129" s="70">
        <v>0</v>
      </c>
      <c r="RLO129" s="70">
        <v>0</v>
      </c>
      <c r="RLP129" s="70">
        <v>0</v>
      </c>
      <c r="RLQ129" s="70">
        <v>0</v>
      </c>
      <c r="RLR129" s="70">
        <v>0</v>
      </c>
      <c r="RLS129" s="70">
        <v>0</v>
      </c>
      <c r="RLT129" s="70">
        <v>0</v>
      </c>
      <c r="RLU129" s="70">
        <v>0</v>
      </c>
      <c r="RLV129" s="70">
        <v>0</v>
      </c>
      <c r="RLW129" s="70">
        <v>0</v>
      </c>
      <c r="RLX129" s="70">
        <v>0</v>
      </c>
      <c r="RLY129" s="70">
        <v>0</v>
      </c>
      <c r="RLZ129" s="70">
        <v>0</v>
      </c>
      <c r="RMA129" s="70">
        <v>0</v>
      </c>
      <c r="RMB129" s="70">
        <v>0</v>
      </c>
      <c r="RMC129" s="70">
        <v>0</v>
      </c>
      <c r="RMD129" s="70">
        <v>0</v>
      </c>
      <c r="RME129" s="70">
        <v>0</v>
      </c>
      <c r="RMF129" s="70">
        <v>0</v>
      </c>
      <c r="RMG129" s="70">
        <v>0</v>
      </c>
      <c r="RMH129" s="70">
        <v>0</v>
      </c>
      <c r="RMI129" s="70">
        <v>0</v>
      </c>
      <c r="RMJ129" s="70">
        <v>0</v>
      </c>
      <c r="RMK129" s="70">
        <v>0</v>
      </c>
      <c r="RML129" s="70">
        <v>0</v>
      </c>
      <c r="RMM129" s="70">
        <v>0</v>
      </c>
      <c r="RMN129" s="70">
        <v>0</v>
      </c>
      <c r="RMO129" s="70">
        <v>0</v>
      </c>
      <c r="RMP129" s="70">
        <v>0</v>
      </c>
      <c r="RMQ129" s="70">
        <v>0</v>
      </c>
      <c r="RMR129" s="70">
        <v>0</v>
      </c>
      <c r="RMS129" s="70">
        <v>0</v>
      </c>
      <c r="RMT129" s="70">
        <v>0</v>
      </c>
      <c r="RMU129" s="70">
        <v>0</v>
      </c>
      <c r="RMV129" s="70">
        <v>0</v>
      </c>
      <c r="RMW129" s="70">
        <v>0</v>
      </c>
      <c r="RMX129" s="70">
        <v>0</v>
      </c>
      <c r="RMY129" s="70">
        <v>0</v>
      </c>
      <c r="RMZ129" s="70">
        <v>0</v>
      </c>
      <c r="RNA129" s="70">
        <v>0</v>
      </c>
      <c r="RNB129" s="70">
        <v>0</v>
      </c>
      <c r="RNC129" s="70">
        <v>0</v>
      </c>
      <c r="RND129" s="70">
        <v>0</v>
      </c>
      <c r="RNE129" s="70">
        <v>0</v>
      </c>
      <c r="RNF129" s="70">
        <v>0</v>
      </c>
      <c r="RNG129" s="70">
        <v>0</v>
      </c>
      <c r="RNH129" s="70">
        <v>0</v>
      </c>
      <c r="RNI129" s="70">
        <v>0</v>
      </c>
      <c r="RNJ129" s="70">
        <v>0</v>
      </c>
      <c r="RNK129" s="70">
        <v>0</v>
      </c>
      <c r="RNL129" s="70">
        <v>0</v>
      </c>
      <c r="RNM129" s="70">
        <v>0</v>
      </c>
      <c r="RNN129" s="70">
        <v>0</v>
      </c>
      <c r="RNO129" s="70">
        <v>0</v>
      </c>
      <c r="RNP129" s="70">
        <v>0</v>
      </c>
      <c r="RNQ129" s="70">
        <v>0</v>
      </c>
      <c r="RNR129" s="70">
        <v>0</v>
      </c>
      <c r="RNS129" s="70">
        <v>0</v>
      </c>
      <c r="RNT129" s="70">
        <v>0</v>
      </c>
      <c r="RNU129" s="70">
        <v>0</v>
      </c>
      <c r="RNV129" s="70">
        <v>0</v>
      </c>
      <c r="RNW129" s="70">
        <v>0</v>
      </c>
      <c r="RNX129" s="70">
        <v>0</v>
      </c>
      <c r="RNY129" s="70">
        <v>0</v>
      </c>
      <c r="RNZ129" s="70">
        <v>0</v>
      </c>
      <c r="ROA129" s="70">
        <v>0</v>
      </c>
      <c r="ROB129" s="70">
        <v>0</v>
      </c>
      <c r="ROC129" s="70">
        <v>0</v>
      </c>
      <c r="ROD129" s="70">
        <v>0</v>
      </c>
      <c r="ROE129" s="70">
        <v>0</v>
      </c>
      <c r="ROF129" s="70">
        <v>0</v>
      </c>
      <c r="ROG129" s="70">
        <v>0</v>
      </c>
      <c r="ROH129" s="70">
        <v>0</v>
      </c>
      <c r="ROI129" s="70">
        <v>0</v>
      </c>
      <c r="ROJ129" s="70">
        <v>0</v>
      </c>
      <c r="ROK129" s="70">
        <v>0</v>
      </c>
      <c r="ROL129" s="70">
        <v>0</v>
      </c>
      <c r="ROM129" s="70">
        <v>0</v>
      </c>
      <c r="RON129" s="70">
        <v>0</v>
      </c>
      <c r="ROO129" s="70">
        <v>0</v>
      </c>
      <c r="ROP129" s="70">
        <v>0</v>
      </c>
      <c r="ROQ129" s="70">
        <v>0</v>
      </c>
      <c r="ROR129" s="70">
        <v>0</v>
      </c>
      <c r="ROS129" s="70">
        <v>0</v>
      </c>
      <c r="ROT129" s="70">
        <v>0</v>
      </c>
      <c r="ROU129" s="70">
        <v>0</v>
      </c>
      <c r="ROV129" s="70">
        <v>0</v>
      </c>
      <c r="ROW129" s="70">
        <v>0</v>
      </c>
      <c r="ROX129" s="70">
        <v>0</v>
      </c>
      <c r="ROY129" s="70">
        <v>0</v>
      </c>
      <c r="ROZ129" s="70">
        <v>0</v>
      </c>
      <c r="RPA129" s="70">
        <v>0</v>
      </c>
      <c r="RPB129" s="70">
        <v>0</v>
      </c>
      <c r="RPC129" s="70">
        <v>0</v>
      </c>
      <c r="RPD129" s="70">
        <v>0</v>
      </c>
      <c r="RPE129" s="70">
        <v>0</v>
      </c>
      <c r="RPF129" s="70">
        <v>0</v>
      </c>
      <c r="RPG129" s="70">
        <v>0</v>
      </c>
      <c r="RPH129" s="70">
        <v>0</v>
      </c>
      <c r="RPI129" s="70">
        <v>0</v>
      </c>
      <c r="RPJ129" s="70">
        <v>0</v>
      </c>
      <c r="RPK129" s="70">
        <v>0</v>
      </c>
      <c r="RPL129" s="70">
        <v>0</v>
      </c>
      <c r="RPM129" s="70">
        <v>0</v>
      </c>
      <c r="RPN129" s="70">
        <v>0</v>
      </c>
      <c r="RPO129" s="70">
        <v>0</v>
      </c>
      <c r="RPP129" s="70">
        <v>0</v>
      </c>
      <c r="RPQ129" s="70">
        <v>0</v>
      </c>
      <c r="RPR129" s="70">
        <v>0</v>
      </c>
      <c r="RPS129" s="70">
        <v>0</v>
      </c>
      <c r="RPT129" s="70">
        <v>0</v>
      </c>
      <c r="RPU129" s="70">
        <v>0</v>
      </c>
      <c r="RPV129" s="70">
        <v>0</v>
      </c>
      <c r="RPW129" s="70">
        <v>0</v>
      </c>
      <c r="RPX129" s="70">
        <v>0</v>
      </c>
      <c r="RPY129" s="70">
        <v>0</v>
      </c>
      <c r="RPZ129" s="70">
        <v>0</v>
      </c>
      <c r="RQA129" s="70">
        <v>0</v>
      </c>
      <c r="RQB129" s="70">
        <v>0</v>
      </c>
      <c r="RQC129" s="70">
        <v>0</v>
      </c>
      <c r="RQD129" s="70">
        <v>0</v>
      </c>
      <c r="RQE129" s="70">
        <v>0</v>
      </c>
      <c r="RQF129" s="70">
        <v>0</v>
      </c>
      <c r="RQG129" s="70">
        <v>0</v>
      </c>
      <c r="RQH129" s="70">
        <v>0</v>
      </c>
      <c r="RQI129" s="70">
        <v>0</v>
      </c>
      <c r="RQJ129" s="70">
        <v>0</v>
      </c>
      <c r="RQK129" s="70">
        <v>0</v>
      </c>
      <c r="RQL129" s="70">
        <v>0</v>
      </c>
      <c r="RQM129" s="70">
        <v>0</v>
      </c>
      <c r="RQN129" s="70">
        <v>0</v>
      </c>
      <c r="RQO129" s="70">
        <v>0</v>
      </c>
      <c r="RQP129" s="70">
        <v>0</v>
      </c>
      <c r="RQQ129" s="70">
        <v>0</v>
      </c>
      <c r="RQR129" s="70">
        <v>0</v>
      </c>
      <c r="RQS129" s="70">
        <v>0</v>
      </c>
      <c r="RQT129" s="70">
        <v>0</v>
      </c>
      <c r="RQU129" s="70">
        <v>0</v>
      </c>
      <c r="RQV129" s="70">
        <v>0</v>
      </c>
      <c r="RQW129" s="70">
        <v>0</v>
      </c>
      <c r="RQX129" s="70">
        <v>0</v>
      </c>
      <c r="RQY129" s="70">
        <v>0</v>
      </c>
      <c r="RQZ129" s="70">
        <v>0</v>
      </c>
      <c r="RRA129" s="70">
        <v>0</v>
      </c>
      <c r="RRB129" s="70">
        <v>0</v>
      </c>
      <c r="RRC129" s="70">
        <v>0</v>
      </c>
      <c r="RRD129" s="70">
        <v>0</v>
      </c>
      <c r="RRE129" s="70">
        <v>0</v>
      </c>
      <c r="RRF129" s="70">
        <v>0</v>
      </c>
      <c r="RRG129" s="70">
        <v>0</v>
      </c>
      <c r="RRH129" s="70">
        <v>0</v>
      </c>
      <c r="RRI129" s="70">
        <v>0</v>
      </c>
      <c r="RRJ129" s="70">
        <v>0</v>
      </c>
      <c r="RRK129" s="70">
        <v>0</v>
      </c>
      <c r="RRL129" s="70">
        <v>0</v>
      </c>
      <c r="RRM129" s="70">
        <v>0</v>
      </c>
      <c r="RRN129" s="70">
        <v>0</v>
      </c>
      <c r="RRO129" s="70">
        <v>0</v>
      </c>
      <c r="RRP129" s="70">
        <v>0</v>
      </c>
      <c r="RRQ129" s="70">
        <v>0</v>
      </c>
      <c r="RRR129" s="70">
        <v>0</v>
      </c>
      <c r="RRS129" s="70">
        <v>0</v>
      </c>
      <c r="RRT129" s="70">
        <v>0</v>
      </c>
      <c r="RRU129" s="70">
        <v>0</v>
      </c>
      <c r="RRV129" s="70">
        <v>0</v>
      </c>
      <c r="RRW129" s="70">
        <v>0</v>
      </c>
      <c r="RRX129" s="70">
        <v>0</v>
      </c>
      <c r="RRY129" s="70">
        <v>0</v>
      </c>
      <c r="RRZ129" s="70">
        <v>0</v>
      </c>
      <c r="RSA129" s="70">
        <v>0</v>
      </c>
      <c r="RSB129" s="70">
        <v>0</v>
      </c>
      <c r="RSC129" s="70">
        <v>0</v>
      </c>
      <c r="RSD129" s="70">
        <v>0</v>
      </c>
      <c r="RSE129" s="70">
        <v>0</v>
      </c>
      <c r="RSF129" s="70">
        <v>0</v>
      </c>
      <c r="RSG129" s="70">
        <v>0</v>
      </c>
      <c r="RSH129" s="70">
        <v>0</v>
      </c>
      <c r="RSI129" s="70">
        <v>0</v>
      </c>
      <c r="RSJ129" s="70">
        <v>0</v>
      </c>
      <c r="RSK129" s="70">
        <v>0</v>
      </c>
      <c r="RSL129" s="70">
        <v>0</v>
      </c>
      <c r="RSM129" s="70">
        <v>0</v>
      </c>
      <c r="RSN129" s="70">
        <v>0</v>
      </c>
      <c r="RSO129" s="70">
        <v>0</v>
      </c>
      <c r="RSP129" s="70">
        <v>0</v>
      </c>
      <c r="RSQ129" s="70">
        <v>0</v>
      </c>
      <c r="RSR129" s="70">
        <v>0</v>
      </c>
      <c r="RSS129" s="70">
        <v>0</v>
      </c>
      <c r="RST129" s="70">
        <v>0</v>
      </c>
      <c r="RSU129" s="70">
        <v>0</v>
      </c>
      <c r="RSV129" s="70">
        <v>0</v>
      </c>
      <c r="RSW129" s="70">
        <v>0</v>
      </c>
      <c r="RSX129" s="70">
        <v>0</v>
      </c>
      <c r="RSY129" s="70">
        <v>0</v>
      </c>
      <c r="RSZ129" s="70">
        <v>0</v>
      </c>
      <c r="RTA129" s="70">
        <v>0</v>
      </c>
      <c r="RTB129" s="70">
        <v>0</v>
      </c>
      <c r="RTC129" s="70">
        <v>0</v>
      </c>
      <c r="RTD129" s="70">
        <v>0</v>
      </c>
      <c r="RTE129" s="70">
        <v>0</v>
      </c>
      <c r="RTF129" s="70">
        <v>0</v>
      </c>
      <c r="RTG129" s="70">
        <v>0</v>
      </c>
      <c r="RTH129" s="70">
        <v>0</v>
      </c>
      <c r="RTI129" s="70">
        <v>0</v>
      </c>
      <c r="RTJ129" s="70">
        <v>0</v>
      </c>
      <c r="RTK129" s="70">
        <v>0</v>
      </c>
      <c r="RTL129" s="70">
        <v>0</v>
      </c>
      <c r="RTM129" s="70">
        <v>0</v>
      </c>
      <c r="RTN129" s="70">
        <v>0</v>
      </c>
      <c r="RTO129" s="70">
        <v>0</v>
      </c>
      <c r="RTP129" s="70">
        <v>0</v>
      </c>
      <c r="RTQ129" s="70">
        <v>0</v>
      </c>
      <c r="RTR129" s="70">
        <v>0</v>
      </c>
      <c r="RTS129" s="70">
        <v>0</v>
      </c>
      <c r="RTT129" s="70">
        <v>0</v>
      </c>
      <c r="RTU129" s="70">
        <v>0</v>
      </c>
      <c r="RTV129" s="70">
        <v>0</v>
      </c>
      <c r="RTW129" s="70">
        <v>0</v>
      </c>
      <c r="RTX129" s="70">
        <v>0</v>
      </c>
      <c r="RTY129" s="70">
        <v>0</v>
      </c>
      <c r="RTZ129" s="70">
        <v>0</v>
      </c>
      <c r="RUA129" s="70">
        <v>0</v>
      </c>
      <c r="RUB129" s="70">
        <v>0</v>
      </c>
      <c r="RUC129" s="70">
        <v>0</v>
      </c>
      <c r="RUD129" s="70">
        <v>0</v>
      </c>
      <c r="RUE129" s="70">
        <v>0</v>
      </c>
      <c r="RUF129" s="70">
        <v>0</v>
      </c>
      <c r="RUG129" s="70">
        <v>0</v>
      </c>
      <c r="RUH129" s="70">
        <v>0</v>
      </c>
      <c r="RUI129" s="70">
        <v>0</v>
      </c>
      <c r="RUJ129" s="70">
        <v>0</v>
      </c>
      <c r="RUK129" s="70">
        <v>0</v>
      </c>
      <c r="RUL129" s="70">
        <v>0</v>
      </c>
      <c r="RUM129" s="70">
        <v>0</v>
      </c>
      <c r="RUN129" s="70">
        <v>0</v>
      </c>
      <c r="RUO129" s="70">
        <v>0</v>
      </c>
      <c r="RUP129" s="70">
        <v>0</v>
      </c>
      <c r="RUQ129" s="70">
        <v>0</v>
      </c>
      <c r="RUR129" s="70">
        <v>0</v>
      </c>
      <c r="RUS129" s="70">
        <v>0</v>
      </c>
      <c r="RUT129" s="70">
        <v>0</v>
      </c>
      <c r="RUU129" s="70">
        <v>0</v>
      </c>
      <c r="RUV129" s="70">
        <v>0</v>
      </c>
      <c r="RUW129" s="70">
        <v>0</v>
      </c>
      <c r="RUX129" s="70">
        <v>0</v>
      </c>
      <c r="RUY129" s="70">
        <v>0</v>
      </c>
      <c r="RUZ129" s="70">
        <v>0</v>
      </c>
      <c r="RVA129" s="70">
        <v>0</v>
      </c>
      <c r="RVB129" s="70">
        <v>0</v>
      </c>
      <c r="RVC129" s="70">
        <v>0</v>
      </c>
      <c r="RVD129" s="70">
        <v>0</v>
      </c>
      <c r="RVE129" s="70">
        <v>0</v>
      </c>
      <c r="RVF129" s="70">
        <v>0</v>
      </c>
      <c r="RVG129" s="70">
        <v>0</v>
      </c>
      <c r="RVH129" s="70">
        <v>0</v>
      </c>
      <c r="RVI129" s="70">
        <v>0</v>
      </c>
      <c r="RVJ129" s="70">
        <v>0</v>
      </c>
      <c r="RVK129" s="70">
        <v>0</v>
      </c>
      <c r="RVL129" s="70">
        <v>0</v>
      </c>
      <c r="RVM129" s="70">
        <v>0</v>
      </c>
      <c r="RVN129" s="70">
        <v>0</v>
      </c>
      <c r="RVO129" s="70">
        <v>0</v>
      </c>
      <c r="RVP129" s="70">
        <v>0</v>
      </c>
      <c r="RVQ129" s="70">
        <v>0</v>
      </c>
      <c r="RVR129" s="70">
        <v>0</v>
      </c>
      <c r="RVS129" s="70">
        <v>0</v>
      </c>
      <c r="RVT129" s="70">
        <v>0</v>
      </c>
      <c r="RVU129" s="70">
        <v>0</v>
      </c>
      <c r="RVV129" s="70">
        <v>0</v>
      </c>
      <c r="RVW129" s="70">
        <v>0</v>
      </c>
      <c r="RVX129" s="70">
        <v>0</v>
      </c>
      <c r="RVY129" s="70">
        <v>0</v>
      </c>
      <c r="RVZ129" s="70">
        <v>0</v>
      </c>
      <c r="RWA129" s="70">
        <v>0</v>
      </c>
      <c r="RWB129" s="70">
        <v>0</v>
      </c>
      <c r="RWC129" s="70">
        <v>0</v>
      </c>
      <c r="RWD129" s="70">
        <v>0</v>
      </c>
      <c r="RWE129" s="70">
        <v>0</v>
      </c>
      <c r="RWF129" s="70">
        <v>0</v>
      </c>
      <c r="RWG129" s="70">
        <v>0</v>
      </c>
      <c r="RWH129" s="70">
        <v>0</v>
      </c>
      <c r="RWI129" s="70">
        <v>0</v>
      </c>
      <c r="RWJ129" s="70">
        <v>0</v>
      </c>
      <c r="RWK129" s="70">
        <v>0</v>
      </c>
      <c r="RWL129" s="70">
        <v>0</v>
      </c>
      <c r="RWM129" s="70">
        <v>0</v>
      </c>
      <c r="RWN129" s="70">
        <v>0</v>
      </c>
      <c r="RWO129" s="70">
        <v>0</v>
      </c>
      <c r="RWP129" s="70">
        <v>0</v>
      </c>
      <c r="RWQ129" s="70">
        <v>0</v>
      </c>
      <c r="RWR129" s="70">
        <v>0</v>
      </c>
      <c r="RWS129" s="70">
        <v>0</v>
      </c>
      <c r="RWT129" s="70">
        <v>0</v>
      </c>
      <c r="RWU129" s="70">
        <v>0</v>
      </c>
      <c r="RWV129" s="70">
        <v>0</v>
      </c>
      <c r="RWW129" s="70">
        <v>0</v>
      </c>
      <c r="RWX129" s="70">
        <v>0</v>
      </c>
      <c r="RWY129" s="70">
        <v>0</v>
      </c>
      <c r="RWZ129" s="70">
        <v>0</v>
      </c>
      <c r="RXA129" s="70">
        <v>0</v>
      </c>
      <c r="RXB129" s="70">
        <v>0</v>
      </c>
      <c r="RXC129" s="70">
        <v>0</v>
      </c>
      <c r="RXD129" s="70">
        <v>0</v>
      </c>
      <c r="RXE129" s="70">
        <v>0</v>
      </c>
      <c r="RXF129" s="70">
        <v>0</v>
      </c>
      <c r="RXG129" s="70">
        <v>0</v>
      </c>
      <c r="RXH129" s="70">
        <v>0</v>
      </c>
      <c r="RXI129" s="70">
        <v>0</v>
      </c>
      <c r="RXJ129" s="70">
        <v>0</v>
      </c>
      <c r="RXK129" s="70">
        <v>0</v>
      </c>
      <c r="RXL129" s="70">
        <v>0</v>
      </c>
      <c r="RXM129" s="70">
        <v>0</v>
      </c>
      <c r="RXN129" s="70">
        <v>0</v>
      </c>
      <c r="RXO129" s="70">
        <v>0</v>
      </c>
      <c r="RXP129" s="70">
        <v>0</v>
      </c>
      <c r="RXQ129" s="70">
        <v>0</v>
      </c>
      <c r="RXR129" s="70">
        <v>0</v>
      </c>
      <c r="RXS129" s="70">
        <v>0</v>
      </c>
      <c r="RXT129" s="70">
        <v>0</v>
      </c>
      <c r="RXU129" s="70">
        <v>0</v>
      </c>
      <c r="RXV129" s="70">
        <v>0</v>
      </c>
      <c r="RXW129" s="70">
        <v>0</v>
      </c>
      <c r="RXX129" s="70">
        <v>0</v>
      </c>
      <c r="RXY129" s="70">
        <v>0</v>
      </c>
      <c r="RXZ129" s="70">
        <v>0</v>
      </c>
      <c r="RYA129" s="70">
        <v>0</v>
      </c>
      <c r="RYB129" s="70">
        <v>0</v>
      </c>
      <c r="RYC129" s="70">
        <v>0</v>
      </c>
      <c r="RYD129" s="70">
        <v>0</v>
      </c>
      <c r="RYE129" s="70">
        <v>0</v>
      </c>
      <c r="RYF129" s="70">
        <v>0</v>
      </c>
      <c r="RYG129" s="70">
        <v>0</v>
      </c>
      <c r="RYH129" s="70">
        <v>0</v>
      </c>
      <c r="RYI129" s="70">
        <v>0</v>
      </c>
      <c r="RYJ129" s="70">
        <v>0</v>
      </c>
      <c r="RYK129" s="70">
        <v>0</v>
      </c>
      <c r="RYL129" s="70">
        <v>0</v>
      </c>
      <c r="RYM129" s="70">
        <v>0</v>
      </c>
      <c r="RYN129" s="70">
        <v>0</v>
      </c>
      <c r="RYO129" s="70">
        <v>0</v>
      </c>
      <c r="RYP129" s="70">
        <v>0</v>
      </c>
      <c r="RYQ129" s="70">
        <v>0</v>
      </c>
      <c r="RYR129" s="70">
        <v>0</v>
      </c>
      <c r="RYS129" s="70">
        <v>0</v>
      </c>
      <c r="RYT129" s="70">
        <v>0</v>
      </c>
      <c r="RYU129" s="70">
        <v>0</v>
      </c>
      <c r="RYV129" s="70">
        <v>0</v>
      </c>
      <c r="RYW129" s="70">
        <v>0</v>
      </c>
      <c r="RYX129" s="70">
        <v>0</v>
      </c>
      <c r="RYY129" s="70">
        <v>0</v>
      </c>
      <c r="RYZ129" s="70">
        <v>0</v>
      </c>
      <c r="RZA129" s="70">
        <v>0</v>
      </c>
      <c r="RZB129" s="70">
        <v>0</v>
      </c>
      <c r="RZC129" s="70">
        <v>0</v>
      </c>
      <c r="RZD129" s="70">
        <v>0</v>
      </c>
      <c r="RZE129" s="70">
        <v>0</v>
      </c>
      <c r="RZF129" s="70">
        <v>0</v>
      </c>
      <c r="RZG129" s="70">
        <v>0</v>
      </c>
      <c r="RZH129" s="70">
        <v>0</v>
      </c>
      <c r="RZI129" s="70">
        <v>0</v>
      </c>
      <c r="RZJ129" s="70">
        <v>0</v>
      </c>
      <c r="RZK129" s="70">
        <v>0</v>
      </c>
      <c r="RZL129" s="70">
        <v>0</v>
      </c>
      <c r="RZM129" s="70">
        <v>0</v>
      </c>
      <c r="RZN129" s="70">
        <v>0</v>
      </c>
      <c r="RZO129" s="70">
        <v>0</v>
      </c>
      <c r="RZP129" s="70">
        <v>0</v>
      </c>
      <c r="RZQ129" s="70">
        <v>0</v>
      </c>
      <c r="RZR129" s="70">
        <v>0</v>
      </c>
      <c r="RZS129" s="70">
        <v>0</v>
      </c>
      <c r="RZT129" s="70">
        <v>0</v>
      </c>
      <c r="RZU129" s="70">
        <v>0</v>
      </c>
      <c r="RZV129" s="70">
        <v>0</v>
      </c>
      <c r="RZW129" s="70">
        <v>0</v>
      </c>
      <c r="RZX129" s="70">
        <v>0</v>
      </c>
      <c r="RZY129" s="70">
        <v>0</v>
      </c>
      <c r="RZZ129" s="70">
        <v>0</v>
      </c>
      <c r="SAA129" s="70">
        <v>0</v>
      </c>
      <c r="SAB129" s="70">
        <v>0</v>
      </c>
      <c r="SAC129" s="70">
        <v>0</v>
      </c>
      <c r="SAD129" s="70">
        <v>0</v>
      </c>
      <c r="SAE129" s="70">
        <v>0</v>
      </c>
      <c r="SAF129" s="70">
        <v>0</v>
      </c>
      <c r="SAG129" s="70">
        <v>0</v>
      </c>
      <c r="SAH129" s="70">
        <v>0</v>
      </c>
      <c r="SAI129" s="70">
        <v>0</v>
      </c>
      <c r="SAJ129" s="70">
        <v>0</v>
      </c>
      <c r="SAK129" s="70">
        <v>0</v>
      </c>
      <c r="SAL129" s="70">
        <v>0</v>
      </c>
      <c r="SAM129" s="70">
        <v>0</v>
      </c>
      <c r="SAN129" s="70">
        <v>0</v>
      </c>
      <c r="SAO129" s="70">
        <v>0</v>
      </c>
      <c r="SAP129" s="70">
        <v>0</v>
      </c>
      <c r="SAQ129" s="70">
        <v>0</v>
      </c>
      <c r="SAR129" s="70">
        <v>0</v>
      </c>
      <c r="SAS129" s="70">
        <v>0</v>
      </c>
      <c r="SAT129" s="70">
        <v>0</v>
      </c>
      <c r="SAU129" s="70">
        <v>0</v>
      </c>
      <c r="SAV129" s="70">
        <v>0</v>
      </c>
      <c r="SAW129" s="70">
        <v>0</v>
      </c>
      <c r="SAX129" s="70">
        <v>0</v>
      </c>
      <c r="SAY129" s="70">
        <v>0</v>
      </c>
      <c r="SAZ129" s="70">
        <v>0</v>
      </c>
      <c r="SBA129" s="70">
        <v>0</v>
      </c>
      <c r="SBB129" s="70">
        <v>0</v>
      </c>
      <c r="SBC129" s="70">
        <v>0</v>
      </c>
      <c r="SBD129" s="70">
        <v>0</v>
      </c>
      <c r="SBE129" s="70">
        <v>0</v>
      </c>
      <c r="SBF129" s="70">
        <v>0</v>
      </c>
      <c r="SBG129" s="70">
        <v>0</v>
      </c>
      <c r="SBH129" s="70">
        <v>0</v>
      </c>
      <c r="SBI129" s="70">
        <v>0</v>
      </c>
      <c r="SBJ129" s="70">
        <v>0</v>
      </c>
      <c r="SBK129" s="70">
        <v>0</v>
      </c>
      <c r="SBL129" s="70">
        <v>0</v>
      </c>
      <c r="SBM129" s="70">
        <v>0</v>
      </c>
      <c r="SBN129" s="70">
        <v>0</v>
      </c>
      <c r="SBO129" s="70">
        <v>0</v>
      </c>
      <c r="SBP129" s="70">
        <v>0</v>
      </c>
      <c r="SBQ129" s="70">
        <v>0</v>
      </c>
      <c r="SBR129" s="70">
        <v>0</v>
      </c>
      <c r="SBS129" s="70">
        <v>0</v>
      </c>
      <c r="SBT129" s="70">
        <v>0</v>
      </c>
      <c r="SBU129" s="70">
        <v>0</v>
      </c>
      <c r="SBV129" s="70">
        <v>0</v>
      </c>
      <c r="SBW129" s="70">
        <v>0</v>
      </c>
      <c r="SBX129" s="70">
        <v>0</v>
      </c>
      <c r="SBY129" s="70">
        <v>0</v>
      </c>
      <c r="SBZ129" s="70">
        <v>0</v>
      </c>
      <c r="SCA129" s="70">
        <v>0</v>
      </c>
      <c r="SCB129" s="70">
        <v>0</v>
      </c>
      <c r="SCC129" s="70">
        <v>0</v>
      </c>
      <c r="SCD129" s="70">
        <v>0</v>
      </c>
      <c r="SCE129" s="70">
        <v>0</v>
      </c>
      <c r="SCF129" s="70">
        <v>0</v>
      </c>
      <c r="SCG129" s="70">
        <v>0</v>
      </c>
      <c r="SCH129" s="70">
        <v>0</v>
      </c>
      <c r="SCI129" s="70">
        <v>0</v>
      </c>
      <c r="SCJ129" s="70">
        <v>0</v>
      </c>
      <c r="SCK129" s="70">
        <v>0</v>
      </c>
      <c r="SCL129" s="70">
        <v>0</v>
      </c>
      <c r="SCM129" s="70">
        <v>0</v>
      </c>
      <c r="SCN129" s="70">
        <v>0</v>
      </c>
      <c r="SCO129" s="70">
        <v>0</v>
      </c>
      <c r="SCP129" s="70">
        <v>0</v>
      </c>
      <c r="SCQ129" s="70">
        <v>0</v>
      </c>
      <c r="SCR129" s="70">
        <v>0</v>
      </c>
      <c r="SCS129" s="70">
        <v>0</v>
      </c>
      <c r="SCT129" s="70">
        <v>0</v>
      </c>
      <c r="SCU129" s="70">
        <v>0</v>
      </c>
      <c r="SCV129" s="70">
        <v>0</v>
      </c>
      <c r="SCW129" s="70">
        <v>0</v>
      </c>
      <c r="SCX129" s="70">
        <v>0</v>
      </c>
      <c r="SCY129" s="70">
        <v>0</v>
      </c>
      <c r="SCZ129" s="70">
        <v>0</v>
      </c>
      <c r="SDA129" s="70">
        <v>0</v>
      </c>
      <c r="SDB129" s="70">
        <v>0</v>
      </c>
      <c r="SDC129" s="70">
        <v>0</v>
      </c>
      <c r="SDD129" s="70">
        <v>0</v>
      </c>
      <c r="SDE129" s="70">
        <v>0</v>
      </c>
      <c r="SDF129" s="70">
        <v>0</v>
      </c>
      <c r="SDG129" s="70">
        <v>0</v>
      </c>
      <c r="SDH129" s="70">
        <v>0</v>
      </c>
      <c r="SDI129" s="70">
        <v>0</v>
      </c>
      <c r="SDJ129" s="70">
        <v>0</v>
      </c>
      <c r="SDK129" s="70">
        <v>0</v>
      </c>
      <c r="SDL129" s="70">
        <v>0</v>
      </c>
      <c r="SDM129" s="70">
        <v>0</v>
      </c>
      <c r="SDN129" s="70">
        <v>0</v>
      </c>
      <c r="SDO129" s="70">
        <v>0</v>
      </c>
      <c r="SDP129" s="70">
        <v>0</v>
      </c>
      <c r="SDQ129" s="70">
        <v>0</v>
      </c>
      <c r="SDR129" s="70">
        <v>0</v>
      </c>
      <c r="SDS129" s="70">
        <v>0</v>
      </c>
      <c r="SDT129" s="70">
        <v>0</v>
      </c>
      <c r="SDU129" s="70">
        <v>0</v>
      </c>
      <c r="SDV129" s="70">
        <v>0</v>
      </c>
      <c r="SDW129" s="70">
        <v>0</v>
      </c>
      <c r="SDX129" s="70">
        <v>0</v>
      </c>
      <c r="SDY129" s="70">
        <v>0</v>
      </c>
      <c r="SDZ129" s="70">
        <v>0</v>
      </c>
      <c r="SEA129" s="70">
        <v>0</v>
      </c>
      <c r="SEB129" s="70">
        <v>0</v>
      </c>
      <c r="SEC129" s="70">
        <v>0</v>
      </c>
      <c r="SED129" s="70">
        <v>0</v>
      </c>
      <c r="SEE129" s="70">
        <v>0</v>
      </c>
      <c r="SEF129" s="70">
        <v>0</v>
      </c>
      <c r="SEG129" s="70">
        <v>0</v>
      </c>
      <c r="SEH129" s="70">
        <v>0</v>
      </c>
      <c r="SEI129" s="70">
        <v>0</v>
      </c>
      <c r="SEJ129" s="70">
        <v>0</v>
      </c>
      <c r="SEK129" s="70">
        <v>0</v>
      </c>
      <c r="SEL129" s="70">
        <v>0</v>
      </c>
      <c r="SEM129" s="70">
        <v>0</v>
      </c>
      <c r="SEN129" s="70">
        <v>0</v>
      </c>
      <c r="SEO129" s="70">
        <v>0</v>
      </c>
      <c r="SEP129" s="70">
        <v>0</v>
      </c>
      <c r="SEQ129" s="70">
        <v>0</v>
      </c>
      <c r="SER129" s="70">
        <v>0</v>
      </c>
      <c r="SES129" s="70">
        <v>0</v>
      </c>
      <c r="SET129" s="70">
        <v>0</v>
      </c>
      <c r="SEU129" s="70">
        <v>0</v>
      </c>
      <c r="SEV129" s="70">
        <v>0</v>
      </c>
      <c r="SEW129" s="70">
        <v>0</v>
      </c>
      <c r="SEX129" s="70">
        <v>0</v>
      </c>
      <c r="SEY129" s="70">
        <v>0</v>
      </c>
      <c r="SEZ129" s="70">
        <v>0</v>
      </c>
      <c r="SFA129" s="70">
        <v>0</v>
      </c>
      <c r="SFB129" s="70">
        <v>0</v>
      </c>
      <c r="SFC129" s="70">
        <v>0</v>
      </c>
      <c r="SFD129" s="70">
        <v>0</v>
      </c>
      <c r="SFE129" s="70">
        <v>0</v>
      </c>
      <c r="SFF129" s="70">
        <v>0</v>
      </c>
      <c r="SFG129" s="70">
        <v>0</v>
      </c>
      <c r="SFH129" s="70">
        <v>0</v>
      </c>
      <c r="SFI129" s="70">
        <v>0</v>
      </c>
      <c r="SFJ129" s="70">
        <v>0</v>
      </c>
      <c r="SFK129" s="70">
        <v>0</v>
      </c>
      <c r="SFL129" s="70">
        <v>0</v>
      </c>
      <c r="SFM129" s="70">
        <v>0</v>
      </c>
      <c r="SFN129" s="70">
        <v>0</v>
      </c>
      <c r="SFO129" s="70">
        <v>0</v>
      </c>
      <c r="SFP129" s="70">
        <v>0</v>
      </c>
      <c r="SFQ129" s="70">
        <v>0</v>
      </c>
      <c r="SFR129" s="70">
        <v>0</v>
      </c>
      <c r="SFS129" s="70">
        <v>0</v>
      </c>
      <c r="SFT129" s="70">
        <v>0</v>
      </c>
      <c r="SFU129" s="70">
        <v>0</v>
      </c>
      <c r="SFV129" s="70">
        <v>0</v>
      </c>
      <c r="SFW129" s="70">
        <v>0</v>
      </c>
      <c r="SFX129" s="70">
        <v>0</v>
      </c>
      <c r="SFY129" s="70">
        <v>0</v>
      </c>
      <c r="SFZ129" s="70">
        <v>0</v>
      </c>
      <c r="SGA129" s="70">
        <v>0</v>
      </c>
      <c r="SGB129" s="70">
        <v>0</v>
      </c>
      <c r="SGC129" s="70">
        <v>0</v>
      </c>
      <c r="SGD129" s="70">
        <v>0</v>
      </c>
      <c r="SGE129" s="70">
        <v>0</v>
      </c>
      <c r="SGF129" s="70">
        <v>0</v>
      </c>
      <c r="SGG129" s="70">
        <v>0</v>
      </c>
      <c r="SGH129" s="70">
        <v>0</v>
      </c>
      <c r="SGI129" s="70">
        <v>0</v>
      </c>
      <c r="SGJ129" s="70">
        <v>0</v>
      </c>
      <c r="SGK129" s="70">
        <v>0</v>
      </c>
      <c r="SGL129" s="70">
        <v>0</v>
      </c>
      <c r="SGM129" s="70">
        <v>0</v>
      </c>
      <c r="SGN129" s="70">
        <v>0</v>
      </c>
      <c r="SGO129" s="70">
        <v>0</v>
      </c>
      <c r="SGP129" s="70">
        <v>0</v>
      </c>
      <c r="SGQ129" s="70">
        <v>0</v>
      </c>
      <c r="SGR129" s="70">
        <v>0</v>
      </c>
      <c r="SGS129" s="70">
        <v>0</v>
      </c>
      <c r="SGT129" s="70">
        <v>0</v>
      </c>
      <c r="SGU129" s="70">
        <v>0</v>
      </c>
      <c r="SGV129" s="70">
        <v>0</v>
      </c>
      <c r="SGW129" s="70">
        <v>0</v>
      </c>
      <c r="SGX129" s="70">
        <v>0</v>
      </c>
      <c r="SGY129" s="70">
        <v>0</v>
      </c>
      <c r="SGZ129" s="70">
        <v>0</v>
      </c>
      <c r="SHA129" s="70">
        <v>0</v>
      </c>
      <c r="SHB129" s="70">
        <v>0</v>
      </c>
      <c r="SHC129" s="70">
        <v>0</v>
      </c>
      <c r="SHD129" s="70">
        <v>0</v>
      </c>
      <c r="SHE129" s="70">
        <v>0</v>
      </c>
      <c r="SHF129" s="70">
        <v>0</v>
      </c>
      <c r="SHG129" s="70">
        <v>0</v>
      </c>
      <c r="SHH129" s="70">
        <v>0</v>
      </c>
      <c r="SHI129" s="70">
        <v>0</v>
      </c>
      <c r="SHJ129" s="70">
        <v>0</v>
      </c>
      <c r="SHK129" s="70">
        <v>0</v>
      </c>
      <c r="SHL129" s="70">
        <v>0</v>
      </c>
      <c r="SHM129" s="70">
        <v>0</v>
      </c>
      <c r="SHN129" s="70">
        <v>0</v>
      </c>
      <c r="SHO129" s="70">
        <v>0</v>
      </c>
      <c r="SHP129" s="70">
        <v>0</v>
      </c>
      <c r="SHQ129" s="70">
        <v>0</v>
      </c>
      <c r="SHR129" s="70">
        <v>0</v>
      </c>
      <c r="SHS129" s="70">
        <v>0</v>
      </c>
      <c r="SHT129" s="70">
        <v>0</v>
      </c>
      <c r="SHU129" s="70">
        <v>0</v>
      </c>
      <c r="SHV129" s="70">
        <v>0</v>
      </c>
      <c r="SHW129" s="70">
        <v>0</v>
      </c>
      <c r="SHX129" s="70">
        <v>0</v>
      </c>
      <c r="SHY129" s="70">
        <v>0</v>
      </c>
      <c r="SHZ129" s="70">
        <v>0</v>
      </c>
      <c r="SIA129" s="70">
        <v>0</v>
      </c>
      <c r="SIB129" s="70">
        <v>0</v>
      </c>
      <c r="SIC129" s="70">
        <v>0</v>
      </c>
      <c r="SID129" s="70">
        <v>0</v>
      </c>
      <c r="SIE129" s="70">
        <v>0</v>
      </c>
      <c r="SIF129" s="70">
        <v>0</v>
      </c>
      <c r="SIG129" s="70">
        <v>0</v>
      </c>
      <c r="SIH129" s="70">
        <v>0</v>
      </c>
      <c r="SII129" s="70">
        <v>0</v>
      </c>
      <c r="SIJ129" s="70">
        <v>0</v>
      </c>
      <c r="SIK129" s="70">
        <v>0</v>
      </c>
      <c r="SIL129" s="70">
        <v>0</v>
      </c>
      <c r="SIM129" s="70">
        <v>0</v>
      </c>
      <c r="SIN129" s="70">
        <v>0</v>
      </c>
      <c r="SIO129" s="70">
        <v>0</v>
      </c>
      <c r="SIP129" s="70">
        <v>0</v>
      </c>
      <c r="SIQ129" s="70">
        <v>0</v>
      </c>
      <c r="SIR129" s="70">
        <v>0</v>
      </c>
      <c r="SIS129" s="70">
        <v>0</v>
      </c>
      <c r="SIT129" s="70">
        <v>0</v>
      </c>
      <c r="SIU129" s="70">
        <v>0</v>
      </c>
      <c r="SIV129" s="70">
        <v>0</v>
      </c>
      <c r="SIW129" s="70">
        <v>0</v>
      </c>
      <c r="SIX129" s="70">
        <v>0</v>
      </c>
      <c r="SIY129" s="70">
        <v>0</v>
      </c>
      <c r="SIZ129" s="70">
        <v>0</v>
      </c>
      <c r="SJA129" s="70">
        <v>0</v>
      </c>
      <c r="SJB129" s="70">
        <v>0</v>
      </c>
      <c r="SJC129" s="70">
        <v>0</v>
      </c>
      <c r="SJD129" s="70">
        <v>0</v>
      </c>
      <c r="SJE129" s="70">
        <v>0</v>
      </c>
      <c r="SJF129" s="70">
        <v>0</v>
      </c>
      <c r="SJG129" s="70">
        <v>0</v>
      </c>
      <c r="SJH129" s="70">
        <v>0</v>
      </c>
      <c r="SJI129" s="70">
        <v>0</v>
      </c>
      <c r="SJJ129" s="70">
        <v>0</v>
      </c>
      <c r="SJK129" s="70">
        <v>0</v>
      </c>
      <c r="SJL129" s="70">
        <v>0</v>
      </c>
      <c r="SJM129" s="70">
        <v>0</v>
      </c>
      <c r="SJN129" s="70">
        <v>0</v>
      </c>
      <c r="SJO129" s="70">
        <v>0</v>
      </c>
      <c r="SJP129" s="70">
        <v>0</v>
      </c>
      <c r="SJQ129" s="70">
        <v>0</v>
      </c>
      <c r="SJR129" s="70">
        <v>0</v>
      </c>
      <c r="SJS129" s="70">
        <v>0</v>
      </c>
      <c r="SJT129" s="70">
        <v>0</v>
      </c>
      <c r="SJU129" s="70">
        <v>0</v>
      </c>
      <c r="SJV129" s="70">
        <v>0</v>
      </c>
      <c r="SJW129" s="70">
        <v>0</v>
      </c>
      <c r="SJX129" s="70">
        <v>0</v>
      </c>
      <c r="SJY129" s="70">
        <v>0</v>
      </c>
      <c r="SJZ129" s="70">
        <v>0</v>
      </c>
      <c r="SKA129" s="70">
        <v>0</v>
      </c>
      <c r="SKB129" s="70">
        <v>0</v>
      </c>
      <c r="SKC129" s="70">
        <v>0</v>
      </c>
      <c r="SKD129" s="70">
        <v>0</v>
      </c>
      <c r="SKE129" s="70">
        <v>0</v>
      </c>
      <c r="SKF129" s="70">
        <v>0</v>
      </c>
      <c r="SKG129" s="70">
        <v>0</v>
      </c>
      <c r="SKH129" s="70">
        <v>0</v>
      </c>
      <c r="SKI129" s="70">
        <v>0</v>
      </c>
      <c r="SKJ129" s="70">
        <v>0</v>
      </c>
      <c r="SKK129" s="70">
        <v>0</v>
      </c>
      <c r="SKL129" s="70">
        <v>0</v>
      </c>
      <c r="SKM129" s="70">
        <v>0</v>
      </c>
      <c r="SKN129" s="70">
        <v>0</v>
      </c>
      <c r="SKO129" s="70">
        <v>0</v>
      </c>
      <c r="SKP129" s="70">
        <v>0</v>
      </c>
      <c r="SKQ129" s="70">
        <v>0</v>
      </c>
      <c r="SKR129" s="70">
        <v>0</v>
      </c>
      <c r="SKS129" s="70">
        <v>0</v>
      </c>
      <c r="SKT129" s="70">
        <v>0</v>
      </c>
      <c r="SKU129" s="70">
        <v>0</v>
      </c>
      <c r="SKV129" s="70">
        <v>0</v>
      </c>
      <c r="SKW129" s="70">
        <v>0</v>
      </c>
      <c r="SKX129" s="70">
        <v>0</v>
      </c>
      <c r="SKY129" s="70">
        <v>0</v>
      </c>
      <c r="SKZ129" s="70">
        <v>0</v>
      </c>
      <c r="SLA129" s="70">
        <v>0</v>
      </c>
      <c r="SLB129" s="70">
        <v>0</v>
      </c>
      <c r="SLC129" s="70">
        <v>0</v>
      </c>
      <c r="SLD129" s="70">
        <v>0</v>
      </c>
      <c r="SLE129" s="70">
        <v>0</v>
      </c>
      <c r="SLF129" s="70">
        <v>0</v>
      </c>
      <c r="SLG129" s="70">
        <v>0</v>
      </c>
      <c r="SLH129" s="70">
        <v>0</v>
      </c>
      <c r="SLI129" s="70">
        <v>0</v>
      </c>
      <c r="SLJ129" s="70">
        <v>0</v>
      </c>
      <c r="SLK129" s="70">
        <v>0</v>
      </c>
      <c r="SLL129" s="70">
        <v>0</v>
      </c>
      <c r="SLM129" s="70">
        <v>0</v>
      </c>
      <c r="SLN129" s="70">
        <v>0</v>
      </c>
      <c r="SLO129" s="70">
        <v>0</v>
      </c>
      <c r="SLP129" s="70">
        <v>0</v>
      </c>
      <c r="SLQ129" s="70">
        <v>0</v>
      </c>
      <c r="SLR129" s="70">
        <v>0</v>
      </c>
      <c r="SLS129" s="70">
        <v>0</v>
      </c>
      <c r="SLT129" s="70">
        <v>0</v>
      </c>
      <c r="SLU129" s="70">
        <v>0</v>
      </c>
      <c r="SLV129" s="70">
        <v>0</v>
      </c>
      <c r="SLW129" s="70">
        <v>0</v>
      </c>
      <c r="SLX129" s="70">
        <v>0</v>
      </c>
      <c r="SLY129" s="70">
        <v>0</v>
      </c>
      <c r="SLZ129" s="70">
        <v>0</v>
      </c>
      <c r="SMA129" s="70">
        <v>0</v>
      </c>
      <c r="SMB129" s="70">
        <v>0</v>
      </c>
      <c r="SMC129" s="70">
        <v>0</v>
      </c>
      <c r="SMD129" s="70">
        <v>0</v>
      </c>
      <c r="SME129" s="70">
        <v>0</v>
      </c>
      <c r="SMF129" s="70">
        <v>0</v>
      </c>
      <c r="SMG129" s="70">
        <v>0</v>
      </c>
      <c r="SMH129" s="70">
        <v>0</v>
      </c>
      <c r="SMI129" s="70">
        <v>0</v>
      </c>
      <c r="SMJ129" s="70">
        <v>0</v>
      </c>
      <c r="SMK129" s="70">
        <v>0</v>
      </c>
      <c r="SML129" s="70">
        <v>0</v>
      </c>
      <c r="SMM129" s="70">
        <v>0</v>
      </c>
      <c r="SMN129" s="70">
        <v>0</v>
      </c>
      <c r="SMO129" s="70">
        <v>0</v>
      </c>
      <c r="SMP129" s="70">
        <v>0</v>
      </c>
      <c r="SMQ129" s="70">
        <v>0</v>
      </c>
      <c r="SMR129" s="70">
        <v>0</v>
      </c>
      <c r="SMS129" s="70">
        <v>0</v>
      </c>
      <c r="SMT129" s="70">
        <v>0</v>
      </c>
      <c r="SMU129" s="70">
        <v>0</v>
      </c>
      <c r="SMV129" s="70">
        <v>0</v>
      </c>
      <c r="SMW129" s="70">
        <v>0</v>
      </c>
      <c r="SMX129" s="70">
        <v>0</v>
      </c>
      <c r="SMY129" s="70">
        <v>0</v>
      </c>
      <c r="SMZ129" s="70">
        <v>0</v>
      </c>
      <c r="SNA129" s="70">
        <v>0</v>
      </c>
      <c r="SNB129" s="70">
        <v>0</v>
      </c>
      <c r="SNC129" s="70">
        <v>0</v>
      </c>
      <c r="SND129" s="70">
        <v>0</v>
      </c>
      <c r="SNE129" s="70">
        <v>0</v>
      </c>
      <c r="SNF129" s="70">
        <v>0</v>
      </c>
      <c r="SNG129" s="70">
        <v>0</v>
      </c>
      <c r="SNH129" s="70">
        <v>0</v>
      </c>
      <c r="SNI129" s="70">
        <v>0</v>
      </c>
      <c r="SNJ129" s="70">
        <v>0</v>
      </c>
      <c r="SNK129" s="70">
        <v>0</v>
      </c>
      <c r="SNL129" s="70">
        <v>0</v>
      </c>
      <c r="SNM129" s="70">
        <v>0</v>
      </c>
      <c r="SNN129" s="70">
        <v>0</v>
      </c>
      <c r="SNO129" s="70">
        <v>0</v>
      </c>
      <c r="SNP129" s="70">
        <v>0</v>
      </c>
      <c r="SNQ129" s="70">
        <v>0</v>
      </c>
      <c r="SNR129" s="70">
        <v>0</v>
      </c>
      <c r="SNS129" s="70">
        <v>0</v>
      </c>
      <c r="SNT129" s="70">
        <v>0</v>
      </c>
      <c r="SNU129" s="70">
        <v>0</v>
      </c>
      <c r="SNV129" s="70">
        <v>0</v>
      </c>
      <c r="SNW129" s="70">
        <v>0</v>
      </c>
      <c r="SNX129" s="70">
        <v>0</v>
      </c>
      <c r="SNY129" s="70">
        <v>0</v>
      </c>
      <c r="SNZ129" s="70">
        <v>0</v>
      </c>
      <c r="SOA129" s="70">
        <v>0</v>
      </c>
      <c r="SOB129" s="70">
        <v>0</v>
      </c>
      <c r="SOC129" s="70">
        <v>0</v>
      </c>
      <c r="SOD129" s="70">
        <v>0</v>
      </c>
      <c r="SOE129" s="70">
        <v>0</v>
      </c>
      <c r="SOF129" s="70">
        <v>0</v>
      </c>
      <c r="SOG129" s="70">
        <v>0</v>
      </c>
      <c r="SOH129" s="70">
        <v>0</v>
      </c>
      <c r="SOI129" s="70">
        <v>0</v>
      </c>
      <c r="SOJ129" s="70">
        <v>0</v>
      </c>
      <c r="SOK129" s="70">
        <v>0</v>
      </c>
      <c r="SOL129" s="70">
        <v>0</v>
      </c>
      <c r="SOM129" s="70">
        <v>0</v>
      </c>
      <c r="SON129" s="70">
        <v>0</v>
      </c>
      <c r="SOO129" s="70">
        <v>0</v>
      </c>
      <c r="SOP129" s="70">
        <v>0</v>
      </c>
      <c r="SOQ129" s="70">
        <v>0</v>
      </c>
      <c r="SOR129" s="70">
        <v>0</v>
      </c>
      <c r="SOS129" s="70">
        <v>0</v>
      </c>
      <c r="SOT129" s="70">
        <v>0</v>
      </c>
      <c r="SOU129" s="70">
        <v>0</v>
      </c>
      <c r="SOV129" s="70">
        <v>0</v>
      </c>
      <c r="SOW129" s="70">
        <v>0</v>
      </c>
      <c r="SOX129" s="70">
        <v>0</v>
      </c>
      <c r="SOY129" s="70">
        <v>0</v>
      </c>
      <c r="SOZ129" s="70">
        <v>0</v>
      </c>
      <c r="SPA129" s="70">
        <v>0</v>
      </c>
      <c r="SPB129" s="70">
        <v>0</v>
      </c>
      <c r="SPC129" s="70">
        <v>0</v>
      </c>
      <c r="SPD129" s="70">
        <v>0</v>
      </c>
      <c r="SPE129" s="70">
        <v>0</v>
      </c>
      <c r="SPF129" s="70">
        <v>0</v>
      </c>
      <c r="SPG129" s="70">
        <v>0</v>
      </c>
      <c r="SPH129" s="70">
        <v>0</v>
      </c>
      <c r="SPI129" s="70">
        <v>0</v>
      </c>
      <c r="SPJ129" s="70">
        <v>0</v>
      </c>
      <c r="SPK129" s="70">
        <v>0</v>
      </c>
      <c r="SPL129" s="70">
        <v>0</v>
      </c>
      <c r="SPM129" s="70">
        <v>0</v>
      </c>
      <c r="SPN129" s="70">
        <v>0</v>
      </c>
      <c r="SPO129" s="70">
        <v>0</v>
      </c>
      <c r="SPP129" s="70">
        <v>0</v>
      </c>
      <c r="SPQ129" s="70">
        <v>0</v>
      </c>
      <c r="SPR129" s="70">
        <v>0</v>
      </c>
      <c r="SPS129" s="70">
        <v>0</v>
      </c>
      <c r="SPT129" s="70">
        <v>0</v>
      </c>
      <c r="SPU129" s="70">
        <v>0</v>
      </c>
      <c r="SPV129" s="70">
        <v>0</v>
      </c>
      <c r="SPW129" s="70">
        <v>0</v>
      </c>
      <c r="SPX129" s="70">
        <v>0</v>
      </c>
      <c r="SPY129" s="70">
        <v>0</v>
      </c>
      <c r="SPZ129" s="70">
        <v>0</v>
      </c>
      <c r="SQA129" s="70">
        <v>0</v>
      </c>
      <c r="SQB129" s="70">
        <v>0</v>
      </c>
      <c r="SQC129" s="70">
        <v>0</v>
      </c>
      <c r="SQD129" s="70">
        <v>0</v>
      </c>
      <c r="SQE129" s="70">
        <v>0</v>
      </c>
      <c r="SQF129" s="70">
        <v>0</v>
      </c>
      <c r="SQG129" s="70">
        <v>0</v>
      </c>
      <c r="SQH129" s="70">
        <v>0</v>
      </c>
      <c r="SQI129" s="70">
        <v>0</v>
      </c>
      <c r="SQJ129" s="70">
        <v>0</v>
      </c>
      <c r="SQK129" s="70">
        <v>0</v>
      </c>
      <c r="SQL129" s="70">
        <v>0</v>
      </c>
      <c r="SQM129" s="70">
        <v>0</v>
      </c>
      <c r="SQN129" s="70">
        <v>0</v>
      </c>
      <c r="SQO129" s="70">
        <v>0</v>
      </c>
      <c r="SQP129" s="70">
        <v>0</v>
      </c>
      <c r="SQQ129" s="70">
        <v>0</v>
      </c>
      <c r="SQR129" s="70">
        <v>0</v>
      </c>
      <c r="SQS129" s="70">
        <v>0</v>
      </c>
      <c r="SQT129" s="70">
        <v>0</v>
      </c>
      <c r="SQU129" s="70">
        <v>0</v>
      </c>
      <c r="SQV129" s="70">
        <v>0</v>
      </c>
      <c r="SQW129" s="70">
        <v>0</v>
      </c>
      <c r="SQX129" s="70">
        <v>0</v>
      </c>
      <c r="SQY129" s="70">
        <v>0</v>
      </c>
      <c r="SQZ129" s="70">
        <v>0</v>
      </c>
      <c r="SRA129" s="70">
        <v>0</v>
      </c>
      <c r="SRB129" s="70">
        <v>0</v>
      </c>
      <c r="SRC129" s="70">
        <v>0</v>
      </c>
      <c r="SRD129" s="70">
        <v>0</v>
      </c>
      <c r="SRE129" s="70">
        <v>0</v>
      </c>
      <c r="SRF129" s="70">
        <v>0</v>
      </c>
      <c r="SRG129" s="70">
        <v>0</v>
      </c>
      <c r="SRH129" s="70">
        <v>0</v>
      </c>
      <c r="SRI129" s="70">
        <v>0</v>
      </c>
      <c r="SRJ129" s="70">
        <v>0</v>
      </c>
      <c r="SRK129" s="70">
        <v>0</v>
      </c>
      <c r="SRL129" s="70">
        <v>0</v>
      </c>
      <c r="SRM129" s="70">
        <v>0</v>
      </c>
      <c r="SRN129" s="70">
        <v>0</v>
      </c>
      <c r="SRO129" s="70">
        <v>0</v>
      </c>
      <c r="SRP129" s="70">
        <v>0</v>
      </c>
      <c r="SRQ129" s="70">
        <v>0</v>
      </c>
      <c r="SRR129" s="70">
        <v>0</v>
      </c>
      <c r="SRS129" s="70">
        <v>0</v>
      </c>
      <c r="SRT129" s="70">
        <v>0</v>
      </c>
      <c r="SRU129" s="70">
        <v>0</v>
      </c>
      <c r="SRV129" s="70">
        <v>0</v>
      </c>
      <c r="SRW129" s="70">
        <v>0</v>
      </c>
      <c r="SRX129" s="70">
        <v>0</v>
      </c>
      <c r="SRY129" s="70">
        <v>0</v>
      </c>
      <c r="SRZ129" s="70">
        <v>0</v>
      </c>
      <c r="SSA129" s="70">
        <v>0</v>
      </c>
      <c r="SSB129" s="70">
        <v>0</v>
      </c>
      <c r="SSC129" s="70">
        <v>0</v>
      </c>
      <c r="SSD129" s="70">
        <v>0</v>
      </c>
      <c r="SSE129" s="70">
        <v>0</v>
      </c>
      <c r="SSF129" s="70">
        <v>0</v>
      </c>
      <c r="SSG129" s="70">
        <v>0</v>
      </c>
      <c r="SSH129" s="70">
        <v>0</v>
      </c>
      <c r="SSI129" s="70">
        <v>0</v>
      </c>
      <c r="SSJ129" s="70">
        <v>0</v>
      </c>
      <c r="SSK129" s="70">
        <v>0</v>
      </c>
      <c r="SSL129" s="70">
        <v>0</v>
      </c>
      <c r="SSM129" s="70">
        <v>0</v>
      </c>
      <c r="SSN129" s="70">
        <v>0</v>
      </c>
      <c r="SSO129" s="70">
        <v>0</v>
      </c>
      <c r="SSP129" s="70">
        <v>0</v>
      </c>
      <c r="SSQ129" s="70">
        <v>0</v>
      </c>
      <c r="SSR129" s="70">
        <v>0</v>
      </c>
      <c r="SSS129" s="70">
        <v>0</v>
      </c>
      <c r="SST129" s="70">
        <v>0</v>
      </c>
      <c r="SSU129" s="70">
        <v>0</v>
      </c>
      <c r="SSV129" s="70">
        <v>0</v>
      </c>
      <c r="SSW129" s="70">
        <v>0</v>
      </c>
      <c r="SSX129" s="70">
        <v>0</v>
      </c>
      <c r="SSY129" s="70">
        <v>0</v>
      </c>
      <c r="SSZ129" s="70">
        <v>0</v>
      </c>
      <c r="STA129" s="70">
        <v>0</v>
      </c>
      <c r="STB129" s="70">
        <v>0</v>
      </c>
      <c r="STC129" s="70">
        <v>0</v>
      </c>
      <c r="STD129" s="70">
        <v>0</v>
      </c>
      <c r="STE129" s="70">
        <v>0</v>
      </c>
      <c r="STF129" s="70">
        <v>0</v>
      </c>
      <c r="STG129" s="70">
        <v>0</v>
      </c>
      <c r="STH129" s="70">
        <v>0</v>
      </c>
      <c r="STI129" s="70">
        <v>0</v>
      </c>
      <c r="STJ129" s="70">
        <v>0</v>
      </c>
      <c r="STK129" s="70">
        <v>0</v>
      </c>
      <c r="STL129" s="70">
        <v>0</v>
      </c>
      <c r="STM129" s="70">
        <v>0</v>
      </c>
      <c r="STN129" s="70">
        <v>0</v>
      </c>
      <c r="STO129" s="70">
        <v>0</v>
      </c>
      <c r="STP129" s="70">
        <v>0</v>
      </c>
      <c r="STQ129" s="70">
        <v>0</v>
      </c>
      <c r="STR129" s="70">
        <v>0</v>
      </c>
      <c r="STS129" s="70">
        <v>0</v>
      </c>
      <c r="STT129" s="70">
        <v>0</v>
      </c>
      <c r="STU129" s="70">
        <v>0</v>
      </c>
      <c r="STV129" s="70">
        <v>0</v>
      </c>
      <c r="STW129" s="70">
        <v>0</v>
      </c>
      <c r="STX129" s="70">
        <v>0</v>
      </c>
      <c r="STY129" s="70">
        <v>0</v>
      </c>
      <c r="STZ129" s="70">
        <v>0</v>
      </c>
      <c r="SUA129" s="70">
        <v>0</v>
      </c>
      <c r="SUB129" s="70">
        <v>0</v>
      </c>
      <c r="SUC129" s="70">
        <v>0</v>
      </c>
      <c r="SUD129" s="70">
        <v>0</v>
      </c>
      <c r="SUE129" s="70">
        <v>0</v>
      </c>
      <c r="SUF129" s="70">
        <v>0</v>
      </c>
      <c r="SUG129" s="70">
        <v>0</v>
      </c>
      <c r="SUH129" s="70">
        <v>0</v>
      </c>
      <c r="SUI129" s="70">
        <v>0</v>
      </c>
      <c r="SUJ129" s="70">
        <v>0</v>
      </c>
      <c r="SUK129" s="70">
        <v>0</v>
      </c>
      <c r="SUL129" s="70">
        <v>0</v>
      </c>
      <c r="SUM129" s="70">
        <v>0</v>
      </c>
      <c r="SUN129" s="70">
        <v>0</v>
      </c>
      <c r="SUO129" s="70">
        <v>0</v>
      </c>
      <c r="SUP129" s="70">
        <v>0</v>
      </c>
      <c r="SUQ129" s="70">
        <v>0</v>
      </c>
      <c r="SUR129" s="70">
        <v>0</v>
      </c>
      <c r="SUS129" s="70">
        <v>0</v>
      </c>
      <c r="SUT129" s="70">
        <v>0</v>
      </c>
      <c r="SUU129" s="70">
        <v>0</v>
      </c>
      <c r="SUV129" s="70">
        <v>0</v>
      </c>
      <c r="SUW129" s="70">
        <v>0</v>
      </c>
      <c r="SUX129" s="70">
        <v>0</v>
      </c>
      <c r="SUY129" s="70">
        <v>0</v>
      </c>
      <c r="SUZ129" s="70">
        <v>0</v>
      </c>
      <c r="SVA129" s="70">
        <v>0</v>
      </c>
      <c r="SVB129" s="70">
        <v>0</v>
      </c>
      <c r="SVC129" s="70">
        <v>0</v>
      </c>
      <c r="SVD129" s="70">
        <v>0</v>
      </c>
      <c r="SVE129" s="70">
        <v>0</v>
      </c>
      <c r="SVF129" s="70">
        <v>0</v>
      </c>
      <c r="SVG129" s="70">
        <v>0</v>
      </c>
      <c r="SVH129" s="70">
        <v>0</v>
      </c>
      <c r="SVI129" s="70">
        <v>0</v>
      </c>
      <c r="SVJ129" s="70">
        <v>0</v>
      </c>
      <c r="SVK129" s="70">
        <v>0</v>
      </c>
      <c r="SVL129" s="70">
        <v>0</v>
      </c>
      <c r="SVM129" s="70">
        <v>0</v>
      </c>
      <c r="SVN129" s="70">
        <v>0</v>
      </c>
      <c r="SVO129" s="70">
        <v>0</v>
      </c>
      <c r="SVP129" s="70">
        <v>0</v>
      </c>
      <c r="SVQ129" s="70">
        <v>0</v>
      </c>
      <c r="SVR129" s="70">
        <v>0</v>
      </c>
      <c r="SVS129" s="70">
        <v>0</v>
      </c>
      <c r="SVT129" s="70">
        <v>0</v>
      </c>
      <c r="SVU129" s="70">
        <v>0</v>
      </c>
      <c r="SVV129" s="70">
        <v>0</v>
      </c>
      <c r="SVW129" s="70">
        <v>0</v>
      </c>
      <c r="SVX129" s="70">
        <v>0</v>
      </c>
      <c r="SVY129" s="70">
        <v>0</v>
      </c>
      <c r="SVZ129" s="70">
        <v>0</v>
      </c>
      <c r="SWA129" s="70">
        <v>0</v>
      </c>
      <c r="SWB129" s="70">
        <v>0</v>
      </c>
      <c r="SWC129" s="70">
        <v>0</v>
      </c>
      <c r="SWD129" s="70">
        <v>0</v>
      </c>
      <c r="SWE129" s="70">
        <v>0</v>
      </c>
      <c r="SWF129" s="70">
        <v>0</v>
      </c>
      <c r="SWG129" s="70">
        <v>0</v>
      </c>
      <c r="SWH129" s="70">
        <v>0</v>
      </c>
      <c r="SWI129" s="70">
        <v>0</v>
      </c>
      <c r="SWJ129" s="70">
        <v>0</v>
      </c>
      <c r="SWK129" s="70">
        <v>0</v>
      </c>
      <c r="SWL129" s="70">
        <v>0</v>
      </c>
      <c r="SWM129" s="70">
        <v>0</v>
      </c>
      <c r="SWN129" s="70">
        <v>0</v>
      </c>
      <c r="SWO129" s="70">
        <v>0</v>
      </c>
      <c r="SWP129" s="70">
        <v>0</v>
      </c>
      <c r="SWQ129" s="70">
        <v>0</v>
      </c>
      <c r="SWR129" s="70">
        <v>0</v>
      </c>
      <c r="SWS129" s="70">
        <v>0</v>
      </c>
      <c r="SWT129" s="70">
        <v>0</v>
      </c>
      <c r="SWU129" s="70">
        <v>0</v>
      </c>
      <c r="SWV129" s="70">
        <v>0</v>
      </c>
      <c r="SWW129" s="70">
        <v>0</v>
      </c>
      <c r="SWX129" s="70">
        <v>0</v>
      </c>
      <c r="SWY129" s="70">
        <v>0</v>
      </c>
      <c r="SWZ129" s="70">
        <v>0</v>
      </c>
      <c r="SXA129" s="70">
        <v>0</v>
      </c>
      <c r="SXB129" s="70">
        <v>0</v>
      </c>
      <c r="SXC129" s="70">
        <v>0</v>
      </c>
      <c r="SXD129" s="70">
        <v>0</v>
      </c>
      <c r="SXE129" s="70">
        <v>0</v>
      </c>
      <c r="SXF129" s="70">
        <v>0</v>
      </c>
      <c r="SXG129" s="70">
        <v>0</v>
      </c>
      <c r="SXH129" s="70">
        <v>0</v>
      </c>
      <c r="SXI129" s="70">
        <v>0</v>
      </c>
      <c r="SXJ129" s="70">
        <v>0</v>
      </c>
      <c r="SXK129" s="70">
        <v>0</v>
      </c>
      <c r="SXL129" s="70">
        <v>0</v>
      </c>
      <c r="SXM129" s="70">
        <v>0</v>
      </c>
      <c r="SXN129" s="70">
        <v>0</v>
      </c>
      <c r="SXO129" s="70">
        <v>0</v>
      </c>
      <c r="SXP129" s="70">
        <v>0</v>
      </c>
      <c r="SXQ129" s="70">
        <v>0</v>
      </c>
      <c r="SXR129" s="70">
        <v>0</v>
      </c>
      <c r="SXS129" s="70">
        <v>0</v>
      </c>
      <c r="SXT129" s="70">
        <v>0</v>
      </c>
      <c r="SXU129" s="70">
        <v>0</v>
      </c>
      <c r="SXV129" s="70">
        <v>0</v>
      </c>
      <c r="SXW129" s="70">
        <v>0</v>
      </c>
      <c r="SXX129" s="70">
        <v>0</v>
      </c>
      <c r="SXY129" s="70">
        <v>0</v>
      </c>
      <c r="SXZ129" s="70">
        <v>0</v>
      </c>
      <c r="SYA129" s="70">
        <v>0</v>
      </c>
      <c r="SYB129" s="70">
        <v>0</v>
      </c>
      <c r="SYC129" s="70">
        <v>0</v>
      </c>
      <c r="SYD129" s="70">
        <v>0</v>
      </c>
      <c r="SYE129" s="70">
        <v>0</v>
      </c>
      <c r="SYF129" s="70">
        <v>0</v>
      </c>
      <c r="SYG129" s="70">
        <v>0</v>
      </c>
      <c r="SYH129" s="70">
        <v>0</v>
      </c>
      <c r="SYI129" s="70">
        <v>0</v>
      </c>
      <c r="SYJ129" s="70">
        <v>0</v>
      </c>
      <c r="SYK129" s="70">
        <v>0</v>
      </c>
      <c r="SYL129" s="70">
        <v>0</v>
      </c>
      <c r="SYM129" s="70">
        <v>0</v>
      </c>
      <c r="SYN129" s="70">
        <v>0</v>
      </c>
      <c r="SYO129" s="70">
        <v>0</v>
      </c>
      <c r="SYP129" s="70">
        <v>0</v>
      </c>
      <c r="SYQ129" s="70">
        <v>0</v>
      </c>
      <c r="SYR129" s="70">
        <v>0</v>
      </c>
      <c r="SYS129" s="70">
        <v>0</v>
      </c>
      <c r="SYT129" s="70">
        <v>0</v>
      </c>
      <c r="SYU129" s="70">
        <v>0</v>
      </c>
      <c r="SYV129" s="70">
        <v>0</v>
      </c>
      <c r="SYW129" s="70">
        <v>0</v>
      </c>
      <c r="SYX129" s="70">
        <v>0</v>
      </c>
      <c r="SYY129" s="70">
        <v>0</v>
      </c>
      <c r="SYZ129" s="70">
        <v>0</v>
      </c>
      <c r="SZA129" s="70">
        <v>0</v>
      </c>
      <c r="SZB129" s="70">
        <v>0</v>
      </c>
      <c r="SZC129" s="70">
        <v>0</v>
      </c>
      <c r="SZD129" s="70">
        <v>0</v>
      </c>
      <c r="SZE129" s="70">
        <v>0</v>
      </c>
      <c r="SZF129" s="70">
        <v>0</v>
      </c>
      <c r="SZG129" s="70">
        <v>0</v>
      </c>
      <c r="SZH129" s="70">
        <v>0</v>
      </c>
      <c r="SZI129" s="70">
        <v>0</v>
      </c>
      <c r="SZJ129" s="70">
        <v>0</v>
      </c>
      <c r="SZK129" s="70">
        <v>0</v>
      </c>
      <c r="SZL129" s="70">
        <v>0</v>
      </c>
      <c r="SZM129" s="70">
        <v>0</v>
      </c>
      <c r="SZN129" s="70">
        <v>0</v>
      </c>
      <c r="SZO129" s="70">
        <v>0</v>
      </c>
      <c r="SZP129" s="70">
        <v>0</v>
      </c>
      <c r="SZQ129" s="70">
        <v>0</v>
      </c>
      <c r="SZR129" s="70">
        <v>0</v>
      </c>
      <c r="SZS129" s="70">
        <v>0</v>
      </c>
      <c r="SZT129" s="70">
        <v>0</v>
      </c>
      <c r="SZU129" s="70">
        <v>0</v>
      </c>
      <c r="SZV129" s="70">
        <v>0</v>
      </c>
      <c r="SZW129" s="70">
        <v>0</v>
      </c>
      <c r="SZX129" s="70">
        <v>0</v>
      </c>
      <c r="SZY129" s="70">
        <v>0</v>
      </c>
      <c r="SZZ129" s="70">
        <v>0</v>
      </c>
      <c r="TAA129" s="70">
        <v>0</v>
      </c>
      <c r="TAB129" s="70">
        <v>0</v>
      </c>
      <c r="TAC129" s="70">
        <v>0</v>
      </c>
      <c r="TAD129" s="70">
        <v>0</v>
      </c>
      <c r="TAE129" s="70">
        <v>0</v>
      </c>
      <c r="TAF129" s="70">
        <v>0</v>
      </c>
      <c r="TAG129" s="70">
        <v>0</v>
      </c>
      <c r="TAH129" s="70">
        <v>0</v>
      </c>
      <c r="TAI129" s="70">
        <v>0</v>
      </c>
      <c r="TAJ129" s="70">
        <v>0</v>
      </c>
      <c r="TAK129" s="70">
        <v>0</v>
      </c>
      <c r="TAL129" s="70">
        <v>0</v>
      </c>
      <c r="TAM129" s="70">
        <v>0</v>
      </c>
      <c r="TAN129" s="70">
        <v>0</v>
      </c>
      <c r="TAO129" s="70">
        <v>0</v>
      </c>
      <c r="TAP129" s="70">
        <v>0</v>
      </c>
      <c r="TAQ129" s="70">
        <v>0</v>
      </c>
      <c r="TAR129" s="70">
        <v>0</v>
      </c>
      <c r="TAS129" s="70">
        <v>0</v>
      </c>
      <c r="TAT129" s="70">
        <v>0</v>
      </c>
      <c r="TAU129" s="70">
        <v>0</v>
      </c>
      <c r="TAV129" s="70">
        <v>0</v>
      </c>
      <c r="TAW129" s="70">
        <v>0</v>
      </c>
      <c r="TAX129" s="70">
        <v>0</v>
      </c>
      <c r="TAY129" s="70">
        <v>0</v>
      </c>
      <c r="TAZ129" s="70">
        <v>0</v>
      </c>
      <c r="TBA129" s="70">
        <v>0</v>
      </c>
      <c r="TBB129" s="70">
        <v>0</v>
      </c>
      <c r="TBC129" s="70">
        <v>0</v>
      </c>
      <c r="TBD129" s="70">
        <v>0</v>
      </c>
      <c r="TBE129" s="70">
        <v>0</v>
      </c>
      <c r="TBF129" s="70">
        <v>0</v>
      </c>
      <c r="TBG129" s="70">
        <v>0</v>
      </c>
      <c r="TBH129" s="70">
        <v>0</v>
      </c>
      <c r="TBI129" s="70">
        <v>0</v>
      </c>
      <c r="TBJ129" s="70">
        <v>0</v>
      </c>
      <c r="TBK129" s="70">
        <v>0</v>
      </c>
      <c r="TBL129" s="70">
        <v>0</v>
      </c>
      <c r="TBM129" s="70">
        <v>0</v>
      </c>
      <c r="TBN129" s="70">
        <v>0</v>
      </c>
      <c r="TBO129" s="70">
        <v>0</v>
      </c>
      <c r="TBP129" s="70">
        <v>0</v>
      </c>
      <c r="TBQ129" s="70">
        <v>0</v>
      </c>
      <c r="TBR129" s="70">
        <v>0</v>
      </c>
      <c r="TBS129" s="70">
        <v>0</v>
      </c>
      <c r="TBT129" s="70">
        <v>0</v>
      </c>
      <c r="TBU129" s="70">
        <v>0</v>
      </c>
      <c r="TBV129" s="70">
        <v>0</v>
      </c>
      <c r="TBW129" s="70">
        <v>0</v>
      </c>
      <c r="TBX129" s="70">
        <v>0</v>
      </c>
      <c r="TBY129" s="70">
        <v>0</v>
      </c>
      <c r="TBZ129" s="70">
        <v>0</v>
      </c>
      <c r="TCA129" s="70">
        <v>0</v>
      </c>
      <c r="TCB129" s="70">
        <v>0</v>
      </c>
      <c r="TCC129" s="70">
        <v>0</v>
      </c>
      <c r="TCD129" s="70">
        <v>0</v>
      </c>
      <c r="TCE129" s="70">
        <v>0</v>
      </c>
      <c r="TCF129" s="70">
        <v>0</v>
      </c>
      <c r="TCG129" s="70">
        <v>0</v>
      </c>
      <c r="TCH129" s="70">
        <v>0</v>
      </c>
      <c r="TCI129" s="70">
        <v>0</v>
      </c>
      <c r="TCJ129" s="70">
        <v>0</v>
      </c>
      <c r="TCK129" s="70">
        <v>0</v>
      </c>
      <c r="TCL129" s="70">
        <v>0</v>
      </c>
      <c r="TCM129" s="70">
        <v>0</v>
      </c>
      <c r="TCN129" s="70">
        <v>0</v>
      </c>
      <c r="TCO129" s="70">
        <v>0</v>
      </c>
      <c r="TCP129" s="70">
        <v>0</v>
      </c>
      <c r="TCQ129" s="70">
        <v>0</v>
      </c>
      <c r="TCR129" s="70">
        <v>0</v>
      </c>
      <c r="TCS129" s="70">
        <v>0</v>
      </c>
      <c r="TCT129" s="70">
        <v>0</v>
      </c>
      <c r="TCU129" s="70">
        <v>0</v>
      </c>
      <c r="TCV129" s="70">
        <v>0</v>
      </c>
      <c r="TCW129" s="70">
        <v>0</v>
      </c>
      <c r="TCX129" s="70">
        <v>0</v>
      </c>
      <c r="TCY129" s="70">
        <v>0</v>
      </c>
      <c r="TCZ129" s="70">
        <v>0</v>
      </c>
      <c r="TDA129" s="70">
        <v>0</v>
      </c>
      <c r="TDB129" s="70">
        <v>0</v>
      </c>
      <c r="TDC129" s="70">
        <v>0</v>
      </c>
      <c r="TDD129" s="70">
        <v>0</v>
      </c>
      <c r="TDE129" s="70">
        <v>0</v>
      </c>
      <c r="TDF129" s="70">
        <v>0</v>
      </c>
      <c r="TDG129" s="70">
        <v>0</v>
      </c>
      <c r="TDH129" s="70">
        <v>0</v>
      </c>
      <c r="TDI129" s="70">
        <v>0</v>
      </c>
      <c r="TDJ129" s="70">
        <v>0</v>
      </c>
      <c r="TDK129" s="70">
        <v>0</v>
      </c>
      <c r="TDL129" s="70">
        <v>0</v>
      </c>
      <c r="TDM129" s="70">
        <v>0</v>
      </c>
      <c r="TDN129" s="70">
        <v>0</v>
      </c>
      <c r="TDO129" s="70">
        <v>0</v>
      </c>
      <c r="TDP129" s="70">
        <v>0</v>
      </c>
      <c r="TDQ129" s="70">
        <v>0</v>
      </c>
      <c r="TDR129" s="70">
        <v>0</v>
      </c>
      <c r="TDS129" s="70">
        <v>0</v>
      </c>
      <c r="TDT129" s="70">
        <v>0</v>
      </c>
      <c r="TDU129" s="70">
        <v>0</v>
      </c>
      <c r="TDV129" s="70">
        <v>0</v>
      </c>
      <c r="TDW129" s="70">
        <v>0</v>
      </c>
      <c r="TDX129" s="70">
        <v>0</v>
      </c>
      <c r="TDY129" s="70">
        <v>0</v>
      </c>
      <c r="TDZ129" s="70">
        <v>0</v>
      </c>
      <c r="TEA129" s="70">
        <v>0</v>
      </c>
      <c r="TEB129" s="70">
        <v>0</v>
      </c>
      <c r="TEC129" s="70">
        <v>0</v>
      </c>
      <c r="TED129" s="70">
        <v>0</v>
      </c>
      <c r="TEE129" s="70">
        <v>0</v>
      </c>
      <c r="TEF129" s="70">
        <v>0</v>
      </c>
      <c r="TEG129" s="70">
        <v>0</v>
      </c>
      <c r="TEH129" s="70">
        <v>0</v>
      </c>
      <c r="TEI129" s="70">
        <v>0</v>
      </c>
      <c r="TEJ129" s="70">
        <v>0</v>
      </c>
      <c r="TEK129" s="70">
        <v>0</v>
      </c>
      <c r="TEL129" s="70">
        <v>0</v>
      </c>
      <c r="TEM129" s="70">
        <v>0</v>
      </c>
      <c r="TEN129" s="70">
        <v>0</v>
      </c>
      <c r="TEO129" s="70">
        <v>0</v>
      </c>
      <c r="TEP129" s="70">
        <v>0</v>
      </c>
      <c r="TEQ129" s="70">
        <v>0</v>
      </c>
      <c r="TER129" s="70">
        <v>0</v>
      </c>
      <c r="TES129" s="70">
        <v>0</v>
      </c>
      <c r="TET129" s="70">
        <v>0</v>
      </c>
      <c r="TEU129" s="70">
        <v>0</v>
      </c>
      <c r="TEV129" s="70">
        <v>0</v>
      </c>
      <c r="TEW129" s="70">
        <v>0</v>
      </c>
      <c r="TEX129" s="70">
        <v>0</v>
      </c>
      <c r="TEY129" s="70">
        <v>0</v>
      </c>
      <c r="TEZ129" s="70">
        <v>0</v>
      </c>
      <c r="TFA129" s="70">
        <v>0</v>
      </c>
      <c r="TFB129" s="70">
        <v>0</v>
      </c>
      <c r="TFC129" s="70">
        <v>0</v>
      </c>
      <c r="TFD129" s="70">
        <v>0</v>
      </c>
      <c r="TFE129" s="70">
        <v>0</v>
      </c>
      <c r="TFF129" s="70">
        <v>0</v>
      </c>
      <c r="TFG129" s="70">
        <v>0</v>
      </c>
      <c r="TFH129" s="70">
        <v>0</v>
      </c>
      <c r="TFI129" s="70">
        <v>0</v>
      </c>
      <c r="TFJ129" s="70">
        <v>0</v>
      </c>
      <c r="TFK129" s="70">
        <v>0</v>
      </c>
      <c r="TFL129" s="70">
        <v>0</v>
      </c>
      <c r="TFM129" s="70">
        <v>0</v>
      </c>
      <c r="TFN129" s="70">
        <v>0</v>
      </c>
      <c r="TFO129" s="70">
        <v>0</v>
      </c>
      <c r="TFP129" s="70">
        <v>0</v>
      </c>
      <c r="TFQ129" s="70">
        <v>0</v>
      </c>
      <c r="TFR129" s="70">
        <v>0</v>
      </c>
      <c r="TFS129" s="70">
        <v>0</v>
      </c>
      <c r="TFT129" s="70">
        <v>0</v>
      </c>
      <c r="TFU129" s="70">
        <v>0</v>
      </c>
      <c r="TFV129" s="70">
        <v>0</v>
      </c>
      <c r="TFW129" s="70">
        <v>0</v>
      </c>
      <c r="TFX129" s="70">
        <v>0</v>
      </c>
      <c r="TFY129" s="70">
        <v>0</v>
      </c>
      <c r="TFZ129" s="70">
        <v>0</v>
      </c>
      <c r="TGA129" s="70">
        <v>0</v>
      </c>
      <c r="TGB129" s="70">
        <v>0</v>
      </c>
      <c r="TGC129" s="70">
        <v>0</v>
      </c>
      <c r="TGD129" s="70">
        <v>0</v>
      </c>
      <c r="TGE129" s="70">
        <v>0</v>
      </c>
      <c r="TGF129" s="70">
        <v>0</v>
      </c>
      <c r="TGG129" s="70">
        <v>0</v>
      </c>
      <c r="TGH129" s="70">
        <v>0</v>
      </c>
      <c r="TGI129" s="70">
        <v>0</v>
      </c>
      <c r="TGJ129" s="70">
        <v>0</v>
      </c>
      <c r="TGK129" s="70">
        <v>0</v>
      </c>
      <c r="TGL129" s="70">
        <v>0</v>
      </c>
      <c r="TGM129" s="70">
        <v>0</v>
      </c>
      <c r="TGN129" s="70">
        <v>0</v>
      </c>
      <c r="TGO129" s="70">
        <v>0</v>
      </c>
      <c r="TGP129" s="70">
        <v>0</v>
      </c>
      <c r="TGQ129" s="70">
        <v>0</v>
      </c>
      <c r="TGR129" s="70">
        <v>0</v>
      </c>
      <c r="TGS129" s="70">
        <v>0</v>
      </c>
      <c r="TGT129" s="70">
        <v>0</v>
      </c>
      <c r="TGU129" s="70">
        <v>0</v>
      </c>
      <c r="TGV129" s="70">
        <v>0</v>
      </c>
      <c r="TGW129" s="70">
        <v>0</v>
      </c>
      <c r="TGX129" s="70">
        <v>0</v>
      </c>
      <c r="TGY129" s="70">
        <v>0</v>
      </c>
      <c r="TGZ129" s="70">
        <v>0</v>
      </c>
      <c r="THA129" s="70">
        <v>0</v>
      </c>
      <c r="THB129" s="70">
        <v>0</v>
      </c>
      <c r="THC129" s="70">
        <v>0</v>
      </c>
      <c r="THD129" s="70">
        <v>0</v>
      </c>
      <c r="THE129" s="70">
        <v>0</v>
      </c>
      <c r="THF129" s="70">
        <v>0</v>
      </c>
      <c r="THG129" s="70">
        <v>0</v>
      </c>
      <c r="THH129" s="70">
        <v>0</v>
      </c>
      <c r="THI129" s="70">
        <v>0</v>
      </c>
      <c r="THJ129" s="70">
        <v>0</v>
      </c>
      <c r="THK129" s="70">
        <v>0</v>
      </c>
      <c r="THL129" s="70">
        <v>0</v>
      </c>
      <c r="THM129" s="70">
        <v>0</v>
      </c>
      <c r="THN129" s="70">
        <v>0</v>
      </c>
      <c r="THO129" s="70">
        <v>0</v>
      </c>
      <c r="THP129" s="70">
        <v>0</v>
      </c>
      <c r="THQ129" s="70">
        <v>0</v>
      </c>
      <c r="THR129" s="70">
        <v>0</v>
      </c>
      <c r="THS129" s="70">
        <v>0</v>
      </c>
      <c r="THT129" s="70">
        <v>0</v>
      </c>
      <c r="THU129" s="70">
        <v>0</v>
      </c>
      <c r="THV129" s="70">
        <v>0</v>
      </c>
      <c r="THW129" s="70">
        <v>0</v>
      </c>
      <c r="THX129" s="70">
        <v>0</v>
      </c>
      <c r="THY129" s="70">
        <v>0</v>
      </c>
      <c r="THZ129" s="70">
        <v>0</v>
      </c>
      <c r="TIA129" s="70">
        <v>0</v>
      </c>
      <c r="TIB129" s="70">
        <v>0</v>
      </c>
      <c r="TIC129" s="70">
        <v>0</v>
      </c>
      <c r="TID129" s="70">
        <v>0</v>
      </c>
      <c r="TIE129" s="70">
        <v>0</v>
      </c>
      <c r="TIF129" s="70">
        <v>0</v>
      </c>
      <c r="TIG129" s="70">
        <v>0</v>
      </c>
      <c r="TIH129" s="70">
        <v>0</v>
      </c>
      <c r="TII129" s="70">
        <v>0</v>
      </c>
      <c r="TIJ129" s="70">
        <v>0</v>
      </c>
      <c r="TIK129" s="70">
        <v>0</v>
      </c>
      <c r="TIL129" s="70">
        <v>0</v>
      </c>
      <c r="TIM129" s="70">
        <v>0</v>
      </c>
      <c r="TIN129" s="70">
        <v>0</v>
      </c>
      <c r="TIO129" s="70">
        <v>0</v>
      </c>
      <c r="TIP129" s="70">
        <v>0</v>
      </c>
      <c r="TIQ129" s="70">
        <v>0</v>
      </c>
      <c r="TIR129" s="70">
        <v>0</v>
      </c>
      <c r="TIS129" s="70">
        <v>0</v>
      </c>
      <c r="TIT129" s="70">
        <v>0</v>
      </c>
      <c r="TIU129" s="70">
        <v>0</v>
      </c>
      <c r="TIV129" s="70">
        <v>0</v>
      </c>
      <c r="TIW129" s="70">
        <v>0</v>
      </c>
      <c r="TIX129" s="70">
        <v>0</v>
      </c>
      <c r="TIY129" s="70">
        <v>0</v>
      </c>
      <c r="TIZ129" s="70">
        <v>0</v>
      </c>
      <c r="TJA129" s="70">
        <v>0</v>
      </c>
      <c r="TJB129" s="70">
        <v>0</v>
      </c>
      <c r="TJC129" s="70">
        <v>0</v>
      </c>
      <c r="TJD129" s="70">
        <v>0</v>
      </c>
      <c r="TJE129" s="70">
        <v>0</v>
      </c>
      <c r="TJF129" s="70">
        <v>0</v>
      </c>
      <c r="TJG129" s="70">
        <v>0</v>
      </c>
      <c r="TJH129" s="70">
        <v>0</v>
      </c>
      <c r="TJI129" s="70">
        <v>0</v>
      </c>
      <c r="TJJ129" s="70">
        <v>0</v>
      </c>
      <c r="TJK129" s="70">
        <v>0</v>
      </c>
      <c r="TJL129" s="70">
        <v>0</v>
      </c>
      <c r="TJM129" s="70">
        <v>0</v>
      </c>
      <c r="TJN129" s="70">
        <v>0</v>
      </c>
      <c r="TJO129" s="70">
        <v>0</v>
      </c>
      <c r="TJP129" s="70">
        <v>0</v>
      </c>
      <c r="TJQ129" s="70">
        <v>0</v>
      </c>
      <c r="TJR129" s="70">
        <v>0</v>
      </c>
      <c r="TJS129" s="70">
        <v>0</v>
      </c>
      <c r="TJT129" s="70">
        <v>0</v>
      </c>
      <c r="TJU129" s="70">
        <v>0</v>
      </c>
      <c r="TJV129" s="70">
        <v>0</v>
      </c>
      <c r="TJW129" s="70">
        <v>0</v>
      </c>
      <c r="TJX129" s="70">
        <v>0</v>
      </c>
      <c r="TJY129" s="70">
        <v>0</v>
      </c>
      <c r="TJZ129" s="70">
        <v>0</v>
      </c>
      <c r="TKA129" s="70">
        <v>0</v>
      </c>
      <c r="TKB129" s="70">
        <v>0</v>
      </c>
      <c r="TKC129" s="70">
        <v>0</v>
      </c>
      <c r="TKD129" s="70">
        <v>0</v>
      </c>
      <c r="TKE129" s="70">
        <v>0</v>
      </c>
      <c r="TKF129" s="70">
        <v>0</v>
      </c>
      <c r="TKG129" s="70">
        <v>0</v>
      </c>
      <c r="TKH129" s="70">
        <v>0</v>
      </c>
      <c r="TKI129" s="70">
        <v>0</v>
      </c>
      <c r="TKJ129" s="70">
        <v>0</v>
      </c>
      <c r="TKK129" s="70">
        <v>0</v>
      </c>
      <c r="TKL129" s="70">
        <v>0</v>
      </c>
      <c r="TKM129" s="70">
        <v>0</v>
      </c>
      <c r="TKN129" s="70">
        <v>0</v>
      </c>
      <c r="TKO129" s="70">
        <v>0</v>
      </c>
      <c r="TKP129" s="70">
        <v>0</v>
      </c>
      <c r="TKQ129" s="70">
        <v>0</v>
      </c>
      <c r="TKR129" s="70">
        <v>0</v>
      </c>
      <c r="TKS129" s="70">
        <v>0</v>
      </c>
      <c r="TKT129" s="70">
        <v>0</v>
      </c>
      <c r="TKU129" s="70">
        <v>0</v>
      </c>
      <c r="TKV129" s="70">
        <v>0</v>
      </c>
      <c r="TKW129" s="70">
        <v>0</v>
      </c>
      <c r="TKX129" s="70">
        <v>0</v>
      </c>
      <c r="TKY129" s="70">
        <v>0</v>
      </c>
      <c r="TKZ129" s="70">
        <v>0</v>
      </c>
      <c r="TLA129" s="70">
        <v>0</v>
      </c>
      <c r="TLB129" s="70">
        <v>0</v>
      </c>
      <c r="TLC129" s="70">
        <v>0</v>
      </c>
      <c r="TLD129" s="70">
        <v>0</v>
      </c>
      <c r="TLE129" s="70">
        <v>0</v>
      </c>
      <c r="TLF129" s="70">
        <v>0</v>
      </c>
      <c r="TLG129" s="70">
        <v>0</v>
      </c>
      <c r="TLH129" s="70">
        <v>0</v>
      </c>
      <c r="TLI129" s="70">
        <v>0</v>
      </c>
      <c r="TLJ129" s="70">
        <v>0</v>
      </c>
      <c r="TLK129" s="70">
        <v>0</v>
      </c>
      <c r="TLL129" s="70">
        <v>0</v>
      </c>
      <c r="TLM129" s="70">
        <v>0</v>
      </c>
      <c r="TLN129" s="70">
        <v>0</v>
      </c>
      <c r="TLO129" s="70">
        <v>0</v>
      </c>
      <c r="TLP129" s="70">
        <v>0</v>
      </c>
      <c r="TLQ129" s="70">
        <v>0</v>
      </c>
      <c r="TLR129" s="70">
        <v>0</v>
      </c>
      <c r="TLS129" s="70">
        <v>0</v>
      </c>
      <c r="TLT129" s="70">
        <v>0</v>
      </c>
      <c r="TLU129" s="70">
        <v>0</v>
      </c>
      <c r="TLV129" s="70">
        <v>0</v>
      </c>
      <c r="TLW129" s="70">
        <v>0</v>
      </c>
      <c r="TLX129" s="70">
        <v>0</v>
      </c>
      <c r="TLY129" s="70">
        <v>0</v>
      </c>
      <c r="TLZ129" s="70">
        <v>0</v>
      </c>
      <c r="TMA129" s="70">
        <v>0</v>
      </c>
      <c r="TMB129" s="70">
        <v>0</v>
      </c>
      <c r="TMC129" s="70">
        <v>0</v>
      </c>
      <c r="TMD129" s="70">
        <v>0</v>
      </c>
      <c r="TME129" s="70">
        <v>0</v>
      </c>
      <c r="TMF129" s="70">
        <v>0</v>
      </c>
      <c r="TMG129" s="70">
        <v>0</v>
      </c>
      <c r="TMH129" s="70">
        <v>0</v>
      </c>
      <c r="TMI129" s="70">
        <v>0</v>
      </c>
      <c r="TMJ129" s="70">
        <v>0</v>
      </c>
      <c r="TMK129" s="70">
        <v>0</v>
      </c>
      <c r="TML129" s="70">
        <v>0</v>
      </c>
      <c r="TMM129" s="70">
        <v>0</v>
      </c>
      <c r="TMN129" s="70">
        <v>0</v>
      </c>
      <c r="TMO129" s="70">
        <v>0</v>
      </c>
      <c r="TMP129" s="70">
        <v>0</v>
      </c>
      <c r="TMQ129" s="70">
        <v>0</v>
      </c>
      <c r="TMR129" s="70">
        <v>0</v>
      </c>
      <c r="TMS129" s="70">
        <v>0</v>
      </c>
      <c r="TMT129" s="70">
        <v>0</v>
      </c>
      <c r="TMU129" s="70">
        <v>0</v>
      </c>
      <c r="TMV129" s="70">
        <v>0</v>
      </c>
      <c r="TMW129" s="70">
        <v>0</v>
      </c>
      <c r="TMX129" s="70">
        <v>0</v>
      </c>
      <c r="TMY129" s="70">
        <v>0</v>
      </c>
      <c r="TMZ129" s="70">
        <v>0</v>
      </c>
      <c r="TNA129" s="70">
        <v>0</v>
      </c>
      <c r="TNB129" s="70">
        <v>0</v>
      </c>
      <c r="TNC129" s="70">
        <v>0</v>
      </c>
      <c r="TND129" s="70">
        <v>0</v>
      </c>
      <c r="TNE129" s="70">
        <v>0</v>
      </c>
      <c r="TNF129" s="70">
        <v>0</v>
      </c>
      <c r="TNG129" s="70">
        <v>0</v>
      </c>
      <c r="TNH129" s="70">
        <v>0</v>
      </c>
      <c r="TNI129" s="70">
        <v>0</v>
      </c>
      <c r="TNJ129" s="70">
        <v>0</v>
      </c>
      <c r="TNK129" s="70">
        <v>0</v>
      </c>
      <c r="TNL129" s="70">
        <v>0</v>
      </c>
      <c r="TNM129" s="70">
        <v>0</v>
      </c>
      <c r="TNN129" s="70">
        <v>0</v>
      </c>
      <c r="TNO129" s="70">
        <v>0</v>
      </c>
      <c r="TNP129" s="70">
        <v>0</v>
      </c>
      <c r="TNQ129" s="70">
        <v>0</v>
      </c>
      <c r="TNR129" s="70">
        <v>0</v>
      </c>
      <c r="TNS129" s="70">
        <v>0</v>
      </c>
      <c r="TNT129" s="70">
        <v>0</v>
      </c>
      <c r="TNU129" s="70">
        <v>0</v>
      </c>
      <c r="TNV129" s="70">
        <v>0</v>
      </c>
      <c r="TNW129" s="70">
        <v>0</v>
      </c>
      <c r="TNX129" s="70">
        <v>0</v>
      </c>
      <c r="TNY129" s="70">
        <v>0</v>
      </c>
      <c r="TNZ129" s="70">
        <v>0</v>
      </c>
      <c r="TOA129" s="70">
        <v>0</v>
      </c>
      <c r="TOB129" s="70">
        <v>0</v>
      </c>
      <c r="TOC129" s="70">
        <v>0</v>
      </c>
      <c r="TOD129" s="70">
        <v>0</v>
      </c>
      <c r="TOE129" s="70">
        <v>0</v>
      </c>
      <c r="TOF129" s="70">
        <v>0</v>
      </c>
      <c r="TOG129" s="70">
        <v>0</v>
      </c>
      <c r="TOH129" s="70">
        <v>0</v>
      </c>
      <c r="TOI129" s="70">
        <v>0</v>
      </c>
      <c r="TOJ129" s="70">
        <v>0</v>
      </c>
      <c r="TOK129" s="70">
        <v>0</v>
      </c>
      <c r="TOL129" s="70">
        <v>0</v>
      </c>
      <c r="TOM129" s="70">
        <v>0</v>
      </c>
      <c r="TON129" s="70">
        <v>0</v>
      </c>
      <c r="TOO129" s="70">
        <v>0</v>
      </c>
      <c r="TOP129" s="70">
        <v>0</v>
      </c>
      <c r="TOQ129" s="70">
        <v>0</v>
      </c>
      <c r="TOR129" s="70">
        <v>0</v>
      </c>
      <c r="TOS129" s="70">
        <v>0</v>
      </c>
      <c r="TOT129" s="70">
        <v>0</v>
      </c>
      <c r="TOU129" s="70">
        <v>0</v>
      </c>
      <c r="TOV129" s="70">
        <v>0</v>
      </c>
      <c r="TOW129" s="70">
        <v>0</v>
      </c>
      <c r="TOX129" s="70">
        <v>0</v>
      </c>
      <c r="TOY129" s="70">
        <v>0</v>
      </c>
      <c r="TOZ129" s="70">
        <v>0</v>
      </c>
      <c r="TPA129" s="70">
        <v>0</v>
      </c>
      <c r="TPB129" s="70">
        <v>0</v>
      </c>
      <c r="TPC129" s="70">
        <v>0</v>
      </c>
      <c r="TPD129" s="70">
        <v>0</v>
      </c>
      <c r="TPE129" s="70">
        <v>0</v>
      </c>
      <c r="TPF129" s="70">
        <v>0</v>
      </c>
      <c r="TPG129" s="70">
        <v>0</v>
      </c>
      <c r="TPH129" s="70">
        <v>0</v>
      </c>
      <c r="TPI129" s="70">
        <v>0</v>
      </c>
      <c r="TPJ129" s="70">
        <v>0</v>
      </c>
      <c r="TPK129" s="70">
        <v>0</v>
      </c>
      <c r="TPL129" s="70">
        <v>0</v>
      </c>
      <c r="TPM129" s="70">
        <v>0</v>
      </c>
      <c r="TPN129" s="70">
        <v>0</v>
      </c>
      <c r="TPO129" s="70">
        <v>0</v>
      </c>
      <c r="TPP129" s="70">
        <v>0</v>
      </c>
      <c r="TPQ129" s="70">
        <v>0</v>
      </c>
      <c r="TPR129" s="70">
        <v>0</v>
      </c>
      <c r="TPS129" s="70">
        <v>0</v>
      </c>
      <c r="TPT129" s="70">
        <v>0</v>
      </c>
      <c r="TPU129" s="70">
        <v>0</v>
      </c>
      <c r="TPV129" s="70">
        <v>0</v>
      </c>
      <c r="TPW129" s="70">
        <v>0</v>
      </c>
      <c r="TPX129" s="70">
        <v>0</v>
      </c>
      <c r="TPY129" s="70">
        <v>0</v>
      </c>
      <c r="TPZ129" s="70">
        <v>0</v>
      </c>
      <c r="TQA129" s="70">
        <v>0</v>
      </c>
      <c r="TQB129" s="70">
        <v>0</v>
      </c>
      <c r="TQC129" s="70">
        <v>0</v>
      </c>
      <c r="TQD129" s="70">
        <v>0</v>
      </c>
      <c r="TQE129" s="70">
        <v>0</v>
      </c>
      <c r="TQF129" s="70">
        <v>0</v>
      </c>
      <c r="TQG129" s="70">
        <v>0</v>
      </c>
      <c r="TQH129" s="70">
        <v>0</v>
      </c>
      <c r="TQI129" s="70">
        <v>0</v>
      </c>
      <c r="TQJ129" s="70">
        <v>0</v>
      </c>
      <c r="TQK129" s="70">
        <v>0</v>
      </c>
      <c r="TQL129" s="70">
        <v>0</v>
      </c>
      <c r="TQM129" s="70">
        <v>0</v>
      </c>
      <c r="TQN129" s="70">
        <v>0</v>
      </c>
      <c r="TQO129" s="70">
        <v>0</v>
      </c>
      <c r="TQP129" s="70">
        <v>0</v>
      </c>
      <c r="TQQ129" s="70">
        <v>0</v>
      </c>
      <c r="TQR129" s="70">
        <v>0</v>
      </c>
      <c r="TQS129" s="70">
        <v>0</v>
      </c>
      <c r="TQT129" s="70">
        <v>0</v>
      </c>
      <c r="TQU129" s="70">
        <v>0</v>
      </c>
      <c r="TQV129" s="70">
        <v>0</v>
      </c>
      <c r="TQW129" s="70">
        <v>0</v>
      </c>
      <c r="TQX129" s="70">
        <v>0</v>
      </c>
      <c r="TQY129" s="70">
        <v>0</v>
      </c>
      <c r="TQZ129" s="70">
        <v>0</v>
      </c>
      <c r="TRA129" s="70">
        <v>0</v>
      </c>
      <c r="TRB129" s="70">
        <v>0</v>
      </c>
      <c r="TRC129" s="70">
        <v>0</v>
      </c>
      <c r="TRD129" s="70">
        <v>0</v>
      </c>
      <c r="TRE129" s="70">
        <v>0</v>
      </c>
      <c r="TRF129" s="70">
        <v>0</v>
      </c>
      <c r="TRG129" s="70">
        <v>0</v>
      </c>
      <c r="TRH129" s="70">
        <v>0</v>
      </c>
      <c r="TRI129" s="70">
        <v>0</v>
      </c>
      <c r="TRJ129" s="70">
        <v>0</v>
      </c>
      <c r="TRK129" s="70">
        <v>0</v>
      </c>
      <c r="TRL129" s="70">
        <v>0</v>
      </c>
      <c r="TRM129" s="70">
        <v>0</v>
      </c>
      <c r="TRN129" s="70">
        <v>0</v>
      </c>
      <c r="TRO129" s="70">
        <v>0</v>
      </c>
      <c r="TRP129" s="70">
        <v>0</v>
      </c>
      <c r="TRQ129" s="70">
        <v>0</v>
      </c>
      <c r="TRR129" s="70">
        <v>0</v>
      </c>
      <c r="TRS129" s="70">
        <v>0</v>
      </c>
      <c r="TRT129" s="70">
        <v>0</v>
      </c>
      <c r="TRU129" s="70">
        <v>0</v>
      </c>
      <c r="TRV129" s="70">
        <v>0</v>
      </c>
      <c r="TRW129" s="70">
        <v>0</v>
      </c>
      <c r="TRX129" s="70">
        <v>0</v>
      </c>
      <c r="TRY129" s="70">
        <v>0</v>
      </c>
      <c r="TRZ129" s="70">
        <v>0</v>
      </c>
      <c r="TSA129" s="70">
        <v>0</v>
      </c>
      <c r="TSB129" s="70">
        <v>0</v>
      </c>
      <c r="TSC129" s="70">
        <v>0</v>
      </c>
      <c r="TSD129" s="70">
        <v>0</v>
      </c>
      <c r="TSE129" s="70">
        <v>0</v>
      </c>
      <c r="TSF129" s="70">
        <v>0</v>
      </c>
      <c r="TSG129" s="70">
        <v>0</v>
      </c>
      <c r="TSH129" s="70">
        <v>0</v>
      </c>
      <c r="TSI129" s="70">
        <v>0</v>
      </c>
      <c r="TSJ129" s="70">
        <v>0</v>
      </c>
      <c r="TSK129" s="70">
        <v>0</v>
      </c>
      <c r="TSL129" s="70">
        <v>0</v>
      </c>
      <c r="TSM129" s="70">
        <v>0</v>
      </c>
      <c r="TSN129" s="70">
        <v>0</v>
      </c>
      <c r="TSO129" s="70">
        <v>0</v>
      </c>
      <c r="TSP129" s="70">
        <v>0</v>
      </c>
      <c r="TSQ129" s="70">
        <v>0</v>
      </c>
      <c r="TSR129" s="70">
        <v>0</v>
      </c>
      <c r="TSS129" s="70">
        <v>0</v>
      </c>
      <c r="TST129" s="70">
        <v>0</v>
      </c>
      <c r="TSU129" s="70">
        <v>0</v>
      </c>
      <c r="TSV129" s="70">
        <v>0</v>
      </c>
      <c r="TSW129" s="70">
        <v>0</v>
      </c>
      <c r="TSX129" s="70">
        <v>0</v>
      </c>
      <c r="TSY129" s="70">
        <v>0</v>
      </c>
      <c r="TSZ129" s="70">
        <v>0</v>
      </c>
      <c r="TTA129" s="70">
        <v>0</v>
      </c>
      <c r="TTB129" s="70">
        <v>0</v>
      </c>
      <c r="TTC129" s="70">
        <v>0</v>
      </c>
      <c r="TTD129" s="70">
        <v>0</v>
      </c>
      <c r="TTE129" s="70">
        <v>0</v>
      </c>
      <c r="TTF129" s="70">
        <v>0</v>
      </c>
      <c r="TTG129" s="70">
        <v>0</v>
      </c>
      <c r="TTH129" s="70">
        <v>0</v>
      </c>
      <c r="TTI129" s="70">
        <v>0</v>
      </c>
      <c r="TTJ129" s="70">
        <v>0</v>
      </c>
      <c r="TTK129" s="70">
        <v>0</v>
      </c>
      <c r="TTL129" s="70">
        <v>0</v>
      </c>
      <c r="TTM129" s="70">
        <v>0</v>
      </c>
      <c r="TTN129" s="70">
        <v>0</v>
      </c>
      <c r="TTO129" s="70">
        <v>0</v>
      </c>
      <c r="TTP129" s="70">
        <v>0</v>
      </c>
      <c r="TTQ129" s="70">
        <v>0</v>
      </c>
      <c r="TTR129" s="70">
        <v>0</v>
      </c>
      <c r="TTS129" s="70">
        <v>0</v>
      </c>
      <c r="TTT129" s="70">
        <v>0</v>
      </c>
      <c r="TTU129" s="70">
        <v>0</v>
      </c>
      <c r="TTV129" s="70">
        <v>0</v>
      </c>
      <c r="TTW129" s="70">
        <v>0</v>
      </c>
      <c r="TTX129" s="70">
        <v>0</v>
      </c>
      <c r="TTY129" s="70">
        <v>0</v>
      </c>
      <c r="TTZ129" s="70">
        <v>0</v>
      </c>
      <c r="TUA129" s="70">
        <v>0</v>
      </c>
      <c r="TUB129" s="70">
        <v>0</v>
      </c>
      <c r="TUC129" s="70">
        <v>0</v>
      </c>
      <c r="TUD129" s="70">
        <v>0</v>
      </c>
      <c r="TUE129" s="70">
        <v>0</v>
      </c>
      <c r="TUF129" s="70">
        <v>0</v>
      </c>
      <c r="TUG129" s="70">
        <v>0</v>
      </c>
      <c r="TUH129" s="70">
        <v>0</v>
      </c>
      <c r="TUI129" s="70">
        <v>0</v>
      </c>
      <c r="TUJ129" s="70">
        <v>0</v>
      </c>
      <c r="TUK129" s="70">
        <v>0</v>
      </c>
      <c r="TUL129" s="70">
        <v>0</v>
      </c>
      <c r="TUM129" s="70">
        <v>0</v>
      </c>
      <c r="TUN129" s="70">
        <v>0</v>
      </c>
      <c r="TUO129" s="70">
        <v>0</v>
      </c>
      <c r="TUP129" s="70">
        <v>0</v>
      </c>
      <c r="TUQ129" s="70">
        <v>0</v>
      </c>
      <c r="TUR129" s="70">
        <v>0</v>
      </c>
      <c r="TUS129" s="70">
        <v>0</v>
      </c>
      <c r="TUT129" s="70">
        <v>0</v>
      </c>
      <c r="TUU129" s="70">
        <v>0</v>
      </c>
      <c r="TUV129" s="70">
        <v>0</v>
      </c>
      <c r="TUW129" s="70">
        <v>0</v>
      </c>
      <c r="TUX129" s="70">
        <v>0</v>
      </c>
      <c r="TUY129" s="70">
        <v>0</v>
      </c>
      <c r="TUZ129" s="70">
        <v>0</v>
      </c>
      <c r="TVA129" s="70">
        <v>0</v>
      </c>
      <c r="TVB129" s="70">
        <v>0</v>
      </c>
      <c r="TVC129" s="70">
        <v>0</v>
      </c>
      <c r="TVD129" s="70">
        <v>0</v>
      </c>
      <c r="TVE129" s="70">
        <v>0</v>
      </c>
      <c r="TVF129" s="70">
        <v>0</v>
      </c>
      <c r="TVG129" s="70">
        <v>0</v>
      </c>
      <c r="TVH129" s="70">
        <v>0</v>
      </c>
      <c r="TVI129" s="70">
        <v>0</v>
      </c>
      <c r="TVJ129" s="70">
        <v>0</v>
      </c>
      <c r="TVK129" s="70">
        <v>0</v>
      </c>
      <c r="TVL129" s="70">
        <v>0</v>
      </c>
      <c r="TVM129" s="70">
        <v>0</v>
      </c>
      <c r="TVN129" s="70">
        <v>0</v>
      </c>
      <c r="TVO129" s="70">
        <v>0</v>
      </c>
      <c r="TVP129" s="70">
        <v>0</v>
      </c>
      <c r="TVQ129" s="70">
        <v>0</v>
      </c>
      <c r="TVR129" s="70">
        <v>0</v>
      </c>
      <c r="TVS129" s="70">
        <v>0</v>
      </c>
      <c r="TVT129" s="70">
        <v>0</v>
      </c>
      <c r="TVU129" s="70">
        <v>0</v>
      </c>
      <c r="TVV129" s="70">
        <v>0</v>
      </c>
      <c r="TVW129" s="70">
        <v>0</v>
      </c>
      <c r="TVX129" s="70">
        <v>0</v>
      </c>
      <c r="TVY129" s="70">
        <v>0</v>
      </c>
      <c r="TVZ129" s="70">
        <v>0</v>
      </c>
      <c r="TWA129" s="70">
        <v>0</v>
      </c>
      <c r="TWB129" s="70">
        <v>0</v>
      </c>
      <c r="TWC129" s="70">
        <v>0</v>
      </c>
      <c r="TWD129" s="70">
        <v>0</v>
      </c>
      <c r="TWE129" s="70">
        <v>0</v>
      </c>
      <c r="TWF129" s="70">
        <v>0</v>
      </c>
      <c r="TWG129" s="70">
        <v>0</v>
      </c>
      <c r="TWH129" s="70">
        <v>0</v>
      </c>
      <c r="TWI129" s="70">
        <v>0</v>
      </c>
      <c r="TWJ129" s="70">
        <v>0</v>
      </c>
      <c r="TWK129" s="70">
        <v>0</v>
      </c>
      <c r="TWL129" s="70">
        <v>0</v>
      </c>
      <c r="TWM129" s="70">
        <v>0</v>
      </c>
      <c r="TWN129" s="70">
        <v>0</v>
      </c>
      <c r="TWO129" s="70">
        <v>0</v>
      </c>
      <c r="TWP129" s="70">
        <v>0</v>
      </c>
      <c r="TWQ129" s="70">
        <v>0</v>
      </c>
      <c r="TWR129" s="70">
        <v>0</v>
      </c>
      <c r="TWS129" s="70">
        <v>0</v>
      </c>
      <c r="TWT129" s="70">
        <v>0</v>
      </c>
      <c r="TWU129" s="70">
        <v>0</v>
      </c>
      <c r="TWV129" s="70">
        <v>0</v>
      </c>
      <c r="TWW129" s="70">
        <v>0</v>
      </c>
      <c r="TWX129" s="70">
        <v>0</v>
      </c>
      <c r="TWY129" s="70">
        <v>0</v>
      </c>
      <c r="TWZ129" s="70">
        <v>0</v>
      </c>
      <c r="TXA129" s="70">
        <v>0</v>
      </c>
      <c r="TXB129" s="70">
        <v>0</v>
      </c>
      <c r="TXC129" s="70">
        <v>0</v>
      </c>
      <c r="TXD129" s="70">
        <v>0</v>
      </c>
      <c r="TXE129" s="70">
        <v>0</v>
      </c>
      <c r="TXF129" s="70">
        <v>0</v>
      </c>
      <c r="TXG129" s="70">
        <v>0</v>
      </c>
      <c r="TXH129" s="70">
        <v>0</v>
      </c>
      <c r="TXI129" s="70">
        <v>0</v>
      </c>
      <c r="TXJ129" s="70">
        <v>0</v>
      </c>
      <c r="TXK129" s="70">
        <v>0</v>
      </c>
      <c r="TXL129" s="70">
        <v>0</v>
      </c>
      <c r="TXM129" s="70">
        <v>0</v>
      </c>
      <c r="TXN129" s="70">
        <v>0</v>
      </c>
      <c r="TXO129" s="70">
        <v>0</v>
      </c>
      <c r="TXP129" s="70">
        <v>0</v>
      </c>
      <c r="TXQ129" s="70">
        <v>0</v>
      </c>
      <c r="TXR129" s="70">
        <v>0</v>
      </c>
      <c r="TXS129" s="70">
        <v>0</v>
      </c>
      <c r="TXT129" s="70">
        <v>0</v>
      </c>
      <c r="TXU129" s="70">
        <v>0</v>
      </c>
      <c r="TXV129" s="70">
        <v>0</v>
      </c>
      <c r="TXW129" s="70">
        <v>0</v>
      </c>
      <c r="TXX129" s="70">
        <v>0</v>
      </c>
      <c r="TXY129" s="70">
        <v>0</v>
      </c>
      <c r="TXZ129" s="70">
        <v>0</v>
      </c>
      <c r="TYA129" s="70">
        <v>0</v>
      </c>
      <c r="TYB129" s="70">
        <v>0</v>
      </c>
      <c r="TYC129" s="70">
        <v>0</v>
      </c>
      <c r="TYD129" s="70">
        <v>0</v>
      </c>
      <c r="TYE129" s="70">
        <v>0</v>
      </c>
      <c r="TYF129" s="70">
        <v>0</v>
      </c>
      <c r="TYG129" s="70">
        <v>0</v>
      </c>
      <c r="TYH129" s="70">
        <v>0</v>
      </c>
      <c r="TYI129" s="70">
        <v>0</v>
      </c>
      <c r="TYJ129" s="70">
        <v>0</v>
      </c>
      <c r="TYK129" s="70">
        <v>0</v>
      </c>
      <c r="TYL129" s="70">
        <v>0</v>
      </c>
      <c r="TYM129" s="70">
        <v>0</v>
      </c>
      <c r="TYN129" s="70">
        <v>0</v>
      </c>
      <c r="TYO129" s="70">
        <v>0</v>
      </c>
      <c r="TYP129" s="70">
        <v>0</v>
      </c>
      <c r="TYQ129" s="70">
        <v>0</v>
      </c>
      <c r="TYR129" s="70">
        <v>0</v>
      </c>
      <c r="TYS129" s="70">
        <v>0</v>
      </c>
      <c r="TYT129" s="70">
        <v>0</v>
      </c>
      <c r="TYU129" s="70">
        <v>0</v>
      </c>
      <c r="TYV129" s="70">
        <v>0</v>
      </c>
      <c r="TYW129" s="70">
        <v>0</v>
      </c>
      <c r="TYX129" s="70">
        <v>0</v>
      </c>
      <c r="TYY129" s="70">
        <v>0</v>
      </c>
      <c r="TYZ129" s="70">
        <v>0</v>
      </c>
      <c r="TZA129" s="70">
        <v>0</v>
      </c>
      <c r="TZB129" s="70">
        <v>0</v>
      </c>
      <c r="TZC129" s="70">
        <v>0</v>
      </c>
      <c r="TZD129" s="70">
        <v>0</v>
      </c>
      <c r="TZE129" s="70">
        <v>0</v>
      </c>
      <c r="TZF129" s="70">
        <v>0</v>
      </c>
      <c r="TZG129" s="70">
        <v>0</v>
      </c>
      <c r="TZH129" s="70">
        <v>0</v>
      </c>
      <c r="TZI129" s="70">
        <v>0</v>
      </c>
      <c r="TZJ129" s="70">
        <v>0</v>
      </c>
      <c r="TZK129" s="70">
        <v>0</v>
      </c>
      <c r="TZL129" s="70">
        <v>0</v>
      </c>
      <c r="TZM129" s="70">
        <v>0</v>
      </c>
      <c r="TZN129" s="70">
        <v>0</v>
      </c>
      <c r="TZO129" s="70">
        <v>0</v>
      </c>
      <c r="TZP129" s="70">
        <v>0</v>
      </c>
      <c r="TZQ129" s="70">
        <v>0</v>
      </c>
      <c r="TZR129" s="70">
        <v>0</v>
      </c>
      <c r="TZS129" s="70">
        <v>0</v>
      </c>
      <c r="TZT129" s="70">
        <v>0</v>
      </c>
      <c r="TZU129" s="70">
        <v>0</v>
      </c>
      <c r="TZV129" s="70">
        <v>0</v>
      </c>
      <c r="TZW129" s="70">
        <v>0</v>
      </c>
      <c r="TZX129" s="70">
        <v>0</v>
      </c>
      <c r="TZY129" s="70">
        <v>0</v>
      </c>
      <c r="TZZ129" s="70">
        <v>0</v>
      </c>
      <c r="UAA129" s="70">
        <v>0</v>
      </c>
      <c r="UAB129" s="70">
        <v>0</v>
      </c>
      <c r="UAC129" s="70">
        <v>0</v>
      </c>
      <c r="UAD129" s="70">
        <v>0</v>
      </c>
      <c r="UAE129" s="70">
        <v>0</v>
      </c>
      <c r="UAF129" s="70">
        <v>0</v>
      </c>
      <c r="UAG129" s="70">
        <v>0</v>
      </c>
      <c r="UAH129" s="70">
        <v>0</v>
      </c>
      <c r="UAI129" s="70">
        <v>0</v>
      </c>
      <c r="UAJ129" s="70">
        <v>0</v>
      </c>
      <c r="UAK129" s="70">
        <v>0</v>
      </c>
      <c r="UAL129" s="70">
        <v>0</v>
      </c>
      <c r="UAM129" s="70">
        <v>0</v>
      </c>
      <c r="UAN129" s="70">
        <v>0</v>
      </c>
      <c r="UAO129" s="70">
        <v>0</v>
      </c>
      <c r="UAP129" s="70">
        <v>0</v>
      </c>
      <c r="UAQ129" s="70">
        <v>0</v>
      </c>
      <c r="UAR129" s="70">
        <v>0</v>
      </c>
      <c r="UAS129" s="70">
        <v>0</v>
      </c>
      <c r="UAT129" s="70">
        <v>0</v>
      </c>
      <c r="UAU129" s="70">
        <v>0</v>
      </c>
      <c r="UAV129" s="70">
        <v>0</v>
      </c>
      <c r="UAW129" s="70">
        <v>0</v>
      </c>
      <c r="UAX129" s="70">
        <v>0</v>
      </c>
      <c r="UAY129" s="70">
        <v>0</v>
      </c>
      <c r="UAZ129" s="70">
        <v>0</v>
      </c>
      <c r="UBA129" s="70">
        <v>0</v>
      </c>
      <c r="UBB129" s="70">
        <v>0</v>
      </c>
      <c r="UBC129" s="70">
        <v>0</v>
      </c>
      <c r="UBD129" s="70">
        <v>0</v>
      </c>
      <c r="UBE129" s="70">
        <v>0</v>
      </c>
      <c r="UBF129" s="70">
        <v>0</v>
      </c>
      <c r="UBG129" s="70">
        <v>0</v>
      </c>
      <c r="UBH129" s="70">
        <v>0</v>
      </c>
      <c r="UBI129" s="70">
        <v>0</v>
      </c>
      <c r="UBJ129" s="70">
        <v>0</v>
      </c>
      <c r="UBK129" s="70">
        <v>0</v>
      </c>
      <c r="UBL129" s="70">
        <v>0</v>
      </c>
      <c r="UBM129" s="70">
        <v>0</v>
      </c>
      <c r="UBN129" s="70">
        <v>0</v>
      </c>
      <c r="UBO129" s="70">
        <v>0</v>
      </c>
      <c r="UBP129" s="70">
        <v>0</v>
      </c>
      <c r="UBQ129" s="70">
        <v>0</v>
      </c>
      <c r="UBR129" s="70">
        <v>0</v>
      </c>
      <c r="UBS129" s="70">
        <v>0</v>
      </c>
      <c r="UBT129" s="70">
        <v>0</v>
      </c>
      <c r="UBU129" s="70">
        <v>0</v>
      </c>
      <c r="UBV129" s="70">
        <v>0</v>
      </c>
      <c r="UBW129" s="70">
        <v>0</v>
      </c>
      <c r="UBX129" s="70">
        <v>0</v>
      </c>
      <c r="UBY129" s="70">
        <v>0</v>
      </c>
      <c r="UBZ129" s="70">
        <v>0</v>
      </c>
      <c r="UCA129" s="70">
        <v>0</v>
      </c>
      <c r="UCB129" s="70">
        <v>0</v>
      </c>
      <c r="UCC129" s="70">
        <v>0</v>
      </c>
      <c r="UCD129" s="70">
        <v>0</v>
      </c>
      <c r="UCE129" s="70">
        <v>0</v>
      </c>
      <c r="UCF129" s="70">
        <v>0</v>
      </c>
      <c r="UCG129" s="70">
        <v>0</v>
      </c>
      <c r="UCH129" s="70">
        <v>0</v>
      </c>
      <c r="UCI129" s="70">
        <v>0</v>
      </c>
      <c r="UCJ129" s="70">
        <v>0</v>
      </c>
      <c r="UCK129" s="70">
        <v>0</v>
      </c>
      <c r="UCL129" s="70">
        <v>0</v>
      </c>
      <c r="UCM129" s="70">
        <v>0</v>
      </c>
      <c r="UCN129" s="70">
        <v>0</v>
      </c>
      <c r="UCO129" s="70">
        <v>0</v>
      </c>
      <c r="UCP129" s="70">
        <v>0</v>
      </c>
      <c r="UCQ129" s="70">
        <v>0</v>
      </c>
      <c r="UCR129" s="70">
        <v>0</v>
      </c>
      <c r="UCS129" s="70">
        <v>0</v>
      </c>
      <c r="UCT129" s="70">
        <v>0</v>
      </c>
      <c r="UCU129" s="70">
        <v>0</v>
      </c>
      <c r="UCV129" s="70">
        <v>0</v>
      </c>
      <c r="UCW129" s="70">
        <v>0</v>
      </c>
      <c r="UCX129" s="70">
        <v>0</v>
      </c>
      <c r="UCY129" s="70">
        <v>0</v>
      </c>
      <c r="UCZ129" s="70">
        <v>0</v>
      </c>
      <c r="UDA129" s="70">
        <v>0</v>
      </c>
      <c r="UDB129" s="70">
        <v>0</v>
      </c>
      <c r="UDC129" s="70">
        <v>0</v>
      </c>
      <c r="UDD129" s="70">
        <v>0</v>
      </c>
      <c r="UDE129" s="70">
        <v>0</v>
      </c>
      <c r="UDF129" s="70">
        <v>0</v>
      </c>
      <c r="UDG129" s="70">
        <v>0</v>
      </c>
      <c r="UDH129" s="70">
        <v>0</v>
      </c>
      <c r="UDI129" s="70">
        <v>0</v>
      </c>
      <c r="UDJ129" s="70">
        <v>0</v>
      </c>
      <c r="UDK129" s="70">
        <v>0</v>
      </c>
      <c r="UDL129" s="70">
        <v>0</v>
      </c>
      <c r="UDM129" s="70">
        <v>0</v>
      </c>
      <c r="UDN129" s="70">
        <v>0</v>
      </c>
      <c r="UDO129" s="70">
        <v>0</v>
      </c>
      <c r="UDP129" s="70">
        <v>0</v>
      </c>
      <c r="UDQ129" s="70">
        <v>0</v>
      </c>
      <c r="UDR129" s="70">
        <v>0</v>
      </c>
      <c r="UDS129" s="70">
        <v>0</v>
      </c>
      <c r="UDT129" s="70">
        <v>0</v>
      </c>
      <c r="UDU129" s="70">
        <v>0</v>
      </c>
      <c r="UDV129" s="70">
        <v>0</v>
      </c>
      <c r="UDW129" s="70">
        <v>0</v>
      </c>
      <c r="UDX129" s="70">
        <v>0</v>
      </c>
      <c r="UDY129" s="70">
        <v>0</v>
      </c>
      <c r="UDZ129" s="70">
        <v>0</v>
      </c>
      <c r="UEA129" s="70">
        <v>0</v>
      </c>
      <c r="UEB129" s="70">
        <v>0</v>
      </c>
      <c r="UEC129" s="70">
        <v>0</v>
      </c>
      <c r="UED129" s="70">
        <v>0</v>
      </c>
      <c r="UEE129" s="70">
        <v>0</v>
      </c>
      <c r="UEF129" s="70">
        <v>0</v>
      </c>
      <c r="UEG129" s="70">
        <v>0</v>
      </c>
      <c r="UEH129" s="70">
        <v>0</v>
      </c>
      <c r="UEI129" s="70">
        <v>0</v>
      </c>
      <c r="UEJ129" s="70">
        <v>0</v>
      </c>
      <c r="UEK129" s="70">
        <v>0</v>
      </c>
      <c r="UEL129" s="70">
        <v>0</v>
      </c>
      <c r="UEM129" s="70">
        <v>0</v>
      </c>
      <c r="UEN129" s="70">
        <v>0</v>
      </c>
      <c r="UEO129" s="70">
        <v>0</v>
      </c>
      <c r="UEP129" s="70">
        <v>0</v>
      </c>
      <c r="UEQ129" s="70">
        <v>0</v>
      </c>
      <c r="UER129" s="70">
        <v>0</v>
      </c>
      <c r="UES129" s="70">
        <v>0</v>
      </c>
      <c r="UET129" s="70">
        <v>0</v>
      </c>
      <c r="UEU129" s="70">
        <v>0</v>
      </c>
      <c r="UEV129" s="70">
        <v>0</v>
      </c>
      <c r="UEW129" s="70">
        <v>0</v>
      </c>
      <c r="UEX129" s="70">
        <v>0</v>
      </c>
      <c r="UEY129" s="70">
        <v>0</v>
      </c>
      <c r="UEZ129" s="70">
        <v>0</v>
      </c>
      <c r="UFA129" s="70">
        <v>0</v>
      </c>
      <c r="UFB129" s="70">
        <v>0</v>
      </c>
      <c r="UFC129" s="70">
        <v>0</v>
      </c>
      <c r="UFD129" s="70">
        <v>0</v>
      </c>
      <c r="UFE129" s="70">
        <v>0</v>
      </c>
      <c r="UFF129" s="70">
        <v>0</v>
      </c>
      <c r="UFG129" s="70">
        <v>0</v>
      </c>
      <c r="UFH129" s="70">
        <v>0</v>
      </c>
      <c r="UFI129" s="70">
        <v>0</v>
      </c>
      <c r="UFJ129" s="70">
        <v>0</v>
      </c>
      <c r="UFK129" s="70">
        <v>0</v>
      </c>
      <c r="UFL129" s="70">
        <v>0</v>
      </c>
      <c r="UFM129" s="70">
        <v>0</v>
      </c>
      <c r="UFN129" s="70">
        <v>0</v>
      </c>
      <c r="UFO129" s="70">
        <v>0</v>
      </c>
      <c r="UFP129" s="70">
        <v>0</v>
      </c>
      <c r="UFQ129" s="70">
        <v>0</v>
      </c>
      <c r="UFR129" s="70">
        <v>0</v>
      </c>
      <c r="UFS129" s="70">
        <v>0</v>
      </c>
      <c r="UFT129" s="70">
        <v>0</v>
      </c>
      <c r="UFU129" s="70">
        <v>0</v>
      </c>
      <c r="UFV129" s="70">
        <v>0</v>
      </c>
      <c r="UFW129" s="70">
        <v>0</v>
      </c>
      <c r="UFX129" s="70">
        <v>0</v>
      </c>
      <c r="UFY129" s="70">
        <v>0</v>
      </c>
      <c r="UFZ129" s="70">
        <v>0</v>
      </c>
      <c r="UGA129" s="70">
        <v>0</v>
      </c>
      <c r="UGB129" s="70">
        <v>0</v>
      </c>
      <c r="UGC129" s="70">
        <v>0</v>
      </c>
      <c r="UGD129" s="70">
        <v>0</v>
      </c>
      <c r="UGE129" s="70">
        <v>0</v>
      </c>
      <c r="UGF129" s="70">
        <v>0</v>
      </c>
      <c r="UGG129" s="70">
        <v>0</v>
      </c>
      <c r="UGH129" s="70">
        <v>0</v>
      </c>
      <c r="UGI129" s="70">
        <v>0</v>
      </c>
      <c r="UGJ129" s="70">
        <v>0</v>
      </c>
      <c r="UGK129" s="70">
        <v>0</v>
      </c>
      <c r="UGL129" s="70">
        <v>0</v>
      </c>
      <c r="UGM129" s="70">
        <v>0</v>
      </c>
      <c r="UGN129" s="70">
        <v>0</v>
      </c>
      <c r="UGO129" s="70">
        <v>0</v>
      </c>
      <c r="UGP129" s="70">
        <v>0</v>
      </c>
      <c r="UGQ129" s="70">
        <v>0</v>
      </c>
      <c r="UGR129" s="70">
        <v>0</v>
      </c>
      <c r="UGS129" s="70">
        <v>0</v>
      </c>
      <c r="UGT129" s="70">
        <v>0</v>
      </c>
      <c r="UGU129" s="70">
        <v>0</v>
      </c>
      <c r="UGV129" s="70">
        <v>0</v>
      </c>
      <c r="UGW129" s="70">
        <v>0</v>
      </c>
      <c r="UGX129" s="70">
        <v>0</v>
      </c>
      <c r="UGY129" s="70">
        <v>0</v>
      </c>
      <c r="UGZ129" s="70">
        <v>0</v>
      </c>
      <c r="UHA129" s="70">
        <v>0</v>
      </c>
      <c r="UHB129" s="70">
        <v>0</v>
      </c>
      <c r="UHC129" s="70">
        <v>0</v>
      </c>
      <c r="UHD129" s="70">
        <v>0</v>
      </c>
      <c r="UHE129" s="70">
        <v>0</v>
      </c>
      <c r="UHF129" s="70">
        <v>0</v>
      </c>
      <c r="UHG129" s="70">
        <v>0</v>
      </c>
      <c r="UHH129" s="70">
        <v>0</v>
      </c>
      <c r="UHI129" s="70">
        <v>0</v>
      </c>
      <c r="UHJ129" s="70">
        <v>0</v>
      </c>
      <c r="UHK129" s="70">
        <v>0</v>
      </c>
      <c r="UHL129" s="70">
        <v>0</v>
      </c>
      <c r="UHM129" s="70">
        <v>0</v>
      </c>
      <c r="UHN129" s="70">
        <v>0</v>
      </c>
      <c r="UHO129" s="70">
        <v>0</v>
      </c>
      <c r="UHP129" s="70">
        <v>0</v>
      </c>
      <c r="UHQ129" s="70">
        <v>0</v>
      </c>
      <c r="UHR129" s="70">
        <v>0</v>
      </c>
      <c r="UHS129" s="70">
        <v>0</v>
      </c>
      <c r="UHT129" s="70">
        <v>0</v>
      </c>
      <c r="UHU129" s="70">
        <v>0</v>
      </c>
      <c r="UHV129" s="70">
        <v>0</v>
      </c>
      <c r="UHW129" s="70">
        <v>0</v>
      </c>
      <c r="UHX129" s="70">
        <v>0</v>
      </c>
      <c r="UHY129" s="70">
        <v>0</v>
      </c>
      <c r="UHZ129" s="70">
        <v>0</v>
      </c>
      <c r="UIA129" s="70">
        <v>0</v>
      </c>
      <c r="UIB129" s="70">
        <v>0</v>
      </c>
      <c r="UIC129" s="70">
        <v>0</v>
      </c>
      <c r="UID129" s="70">
        <v>0</v>
      </c>
      <c r="UIE129" s="70">
        <v>0</v>
      </c>
      <c r="UIF129" s="70">
        <v>0</v>
      </c>
      <c r="UIG129" s="70">
        <v>0</v>
      </c>
      <c r="UIH129" s="70">
        <v>0</v>
      </c>
      <c r="UII129" s="70">
        <v>0</v>
      </c>
      <c r="UIJ129" s="70">
        <v>0</v>
      </c>
      <c r="UIK129" s="70">
        <v>0</v>
      </c>
      <c r="UIL129" s="70">
        <v>0</v>
      </c>
      <c r="UIM129" s="70">
        <v>0</v>
      </c>
      <c r="UIN129" s="70">
        <v>0</v>
      </c>
      <c r="UIO129" s="70">
        <v>0</v>
      </c>
      <c r="UIP129" s="70">
        <v>0</v>
      </c>
      <c r="UIQ129" s="70">
        <v>0</v>
      </c>
      <c r="UIR129" s="70">
        <v>0</v>
      </c>
      <c r="UIS129" s="70">
        <v>0</v>
      </c>
      <c r="UIT129" s="70">
        <v>0</v>
      </c>
      <c r="UIU129" s="70">
        <v>0</v>
      </c>
      <c r="UIV129" s="70">
        <v>0</v>
      </c>
      <c r="UIW129" s="70">
        <v>0</v>
      </c>
      <c r="UIX129" s="70">
        <v>0</v>
      </c>
      <c r="UIY129" s="70">
        <v>0</v>
      </c>
      <c r="UIZ129" s="70">
        <v>0</v>
      </c>
      <c r="UJA129" s="70">
        <v>0</v>
      </c>
      <c r="UJB129" s="70">
        <v>0</v>
      </c>
      <c r="UJC129" s="70">
        <v>0</v>
      </c>
      <c r="UJD129" s="70">
        <v>0</v>
      </c>
      <c r="UJE129" s="70">
        <v>0</v>
      </c>
      <c r="UJF129" s="70">
        <v>0</v>
      </c>
      <c r="UJG129" s="70">
        <v>0</v>
      </c>
      <c r="UJH129" s="70">
        <v>0</v>
      </c>
      <c r="UJI129" s="70">
        <v>0</v>
      </c>
      <c r="UJJ129" s="70">
        <v>0</v>
      </c>
      <c r="UJK129" s="70">
        <v>0</v>
      </c>
      <c r="UJL129" s="70">
        <v>0</v>
      </c>
      <c r="UJM129" s="70">
        <v>0</v>
      </c>
      <c r="UJN129" s="70">
        <v>0</v>
      </c>
      <c r="UJO129" s="70">
        <v>0</v>
      </c>
      <c r="UJP129" s="70">
        <v>0</v>
      </c>
      <c r="UJQ129" s="70">
        <v>0</v>
      </c>
      <c r="UJR129" s="70">
        <v>0</v>
      </c>
      <c r="UJS129" s="70">
        <v>0</v>
      </c>
      <c r="UJT129" s="70">
        <v>0</v>
      </c>
      <c r="UJU129" s="70">
        <v>0</v>
      </c>
      <c r="UJV129" s="70">
        <v>0</v>
      </c>
      <c r="UJW129" s="70">
        <v>0</v>
      </c>
      <c r="UJX129" s="70">
        <v>0</v>
      </c>
      <c r="UJY129" s="70">
        <v>0</v>
      </c>
      <c r="UJZ129" s="70">
        <v>0</v>
      </c>
      <c r="UKA129" s="70">
        <v>0</v>
      </c>
      <c r="UKB129" s="70">
        <v>0</v>
      </c>
      <c r="UKC129" s="70">
        <v>0</v>
      </c>
      <c r="UKD129" s="70">
        <v>0</v>
      </c>
      <c r="UKE129" s="70">
        <v>0</v>
      </c>
      <c r="UKF129" s="70">
        <v>0</v>
      </c>
      <c r="UKG129" s="70">
        <v>0</v>
      </c>
      <c r="UKH129" s="70">
        <v>0</v>
      </c>
      <c r="UKI129" s="70">
        <v>0</v>
      </c>
      <c r="UKJ129" s="70">
        <v>0</v>
      </c>
      <c r="UKK129" s="70">
        <v>0</v>
      </c>
      <c r="UKL129" s="70">
        <v>0</v>
      </c>
      <c r="UKM129" s="70">
        <v>0</v>
      </c>
      <c r="UKN129" s="70">
        <v>0</v>
      </c>
      <c r="UKO129" s="70">
        <v>0</v>
      </c>
      <c r="UKP129" s="70">
        <v>0</v>
      </c>
      <c r="UKQ129" s="70">
        <v>0</v>
      </c>
      <c r="UKR129" s="70">
        <v>0</v>
      </c>
      <c r="UKS129" s="70">
        <v>0</v>
      </c>
      <c r="UKT129" s="70">
        <v>0</v>
      </c>
      <c r="UKU129" s="70">
        <v>0</v>
      </c>
      <c r="UKV129" s="70">
        <v>0</v>
      </c>
      <c r="UKW129" s="70">
        <v>0</v>
      </c>
      <c r="UKX129" s="70">
        <v>0</v>
      </c>
      <c r="UKY129" s="70">
        <v>0</v>
      </c>
      <c r="UKZ129" s="70">
        <v>0</v>
      </c>
      <c r="ULA129" s="70">
        <v>0</v>
      </c>
      <c r="ULB129" s="70">
        <v>0</v>
      </c>
      <c r="ULC129" s="70">
        <v>0</v>
      </c>
      <c r="ULD129" s="70">
        <v>0</v>
      </c>
      <c r="ULE129" s="70">
        <v>0</v>
      </c>
      <c r="ULF129" s="70">
        <v>0</v>
      </c>
      <c r="ULG129" s="70">
        <v>0</v>
      </c>
      <c r="ULH129" s="70">
        <v>0</v>
      </c>
      <c r="ULI129" s="70">
        <v>0</v>
      </c>
      <c r="ULJ129" s="70">
        <v>0</v>
      </c>
      <c r="ULK129" s="70">
        <v>0</v>
      </c>
      <c r="ULL129" s="70">
        <v>0</v>
      </c>
      <c r="ULM129" s="70">
        <v>0</v>
      </c>
      <c r="ULN129" s="70">
        <v>0</v>
      </c>
      <c r="ULO129" s="70">
        <v>0</v>
      </c>
      <c r="ULP129" s="70">
        <v>0</v>
      </c>
      <c r="ULQ129" s="70">
        <v>0</v>
      </c>
      <c r="ULR129" s="70">
        <v>0</v>
      </c>
      <c r="ULS129" s="70">
        <v>0</v>
      </c>
      <c r="ULT129" s="70">
        <v>0</v>
      </c>
      <c r="ULU129" s="70">
        <v>0</v>
      </c>
      <c r="ULV129" s="70">
        <v>0</v>
      </c>
      <c r="ULW129" s="70">
        <v>0</v>
      </c>
      <c r="ULX129" s="70">
        <v>0</v>
      </c>
      <c r="ULY129" s="70">
        <v>0</v>
      </c>
      <c r="ULZ129" s="70">
        <v>0</v>
      </c>
      <c r="UMA129" s="70">
        <v>0</v>
      </c>
      <c r="UMB129" s="70">
        <v>0</v>
      </c>
      <c r="UMC129" s="70">
        <v>0</v>
      </c>
      <c r="UMD129" s="70">
        <v>0</v>
      </c>
      <c r="UME129" s="70">
        <v>0</v>
      </c>
      <c r="UMF129" s="70">
        <v>0</v>
      </c>
      <c r="UMG129" s="70">
        <v>0</v>
      </c>
      <c r="UMH129" s="70">
        <v>0</v>
      </c>
      <c r="UMI129" s="70">
        <v>0</v>
      </c>
      <c r="UMJ129" s="70">
        <v>0</v>
      </c>
      <c r="UMK129" s="70">
        <v>0</v>
      </c>
      <c r="UML129" s="70">
        <v>0</v>
      </c>
      <c r="UMM129" s="70">
        <v>0</v>
      </c>
      <c r="UMN129" s="70">
        <v>0</v>
      </c>
      <c r="UMO129" s="70">
        <v>0</v>
      </c>
      <c r="UMP129" s="70">
        <v>0</v>
      </c>
      <c r="UMQ129" s="70">
        <v>0</v>
      </c>
      <c r="UMR129" s="70">
        <v>0</v>
      </c>
      <c r="UMS129" s="70">
        <v>0</v>
      </c>
      <c r="UMT129" s="70">
        <v>0</v>
      </c>
      <c r="UMU129" s="70">
        <v>0</v>
      </c>
      <c r="UMV129" s="70">
        <v>0</v>
      </c>
      <c r="UMW129" s="70">
        <v>0</v>
      </c>
      <c r="UMX129" s="70">
        <v>0</v>
      </c>
      <c r="UMY129" s="70">
        <v>0</v>
      </c>
      <c r="UMZ129" s="70">
        <v>0</v>
      </c>
      <c r="UNA129" s="70">
        <v>0</v>
      </c>
      <c r="UNB129" s="70">
        <v>0</v>
      </c>
      <c r="UNC129" s="70">
        <v>0</v>
      </c>
      <c r="UND129" s="70">
        <v>0</v>
      </c>
      <c r="UNE129" s="70">
        <v>0</v>
      </c>
      <c r="UNF129" s="70">
        <v>0</v>
      </c>
      <c r="UNG129" s="70">
        <v>0</v>
      </c>
      <c r="UNH129" s="70">
        <v>0</v>
      </c>
      <c r="UNI129" s="70">
        <v>0</v>
      </c>
      <c r="UNJ129" s="70">
        <v>0</v>
      </c>
      <c r="UNK129" s="70">
        <v>0</v>
      </c>
      <c r="UNL129" s="70">
        <v>0</v>
      </c>
      <c r="UNM129" s="70">
        <v>0</v>
      </c>
      <c r="UNN129" s="70">
        <v>0</v>
      </c>
      <c r="UNO129" s="70">
        <v>0</v>
      </c>
      <c r="UNP129" s="70">
        <v>0</v>
      </c>
      <c r="UNQ129" s="70">
        <v>0</v>
      </c>
      <c r="UNR129" s="70">
        <v>0</v>
      </c>
      <c r="UNS129" s="70">
        <v>0</v>
      </c>
      <c r="UNT129" s="70">
        <v>0</v>
      </c>
      <c r="UNU129" s="70">
        <v>0</v>
      </c>
      <c r="UNV129" s="70">
        <v>0</v>
      </c>
      <c r="UNW129" s="70">
        <v>0</v>
      </c>
      <c r="UNX129" s="70">
        <v>0</v>
      </c>
      <c r="UNY129" s="70">
        <v>0</v>
      </c>
      <c r="UNZ129" s="70">
        <v>0</v>
      </c>
      <c r="UOA129" s="70">
        <v>0</v>
      </c>
      <c r="UOB129" s="70">
        <v>0</v>
      </c>
      <c r="UOC129" s="70">
        <v>0</v>
      </c>
      <c r="UOD129" s="70">
        <v>0</v>
      </c>
      <c r="UOE129" s="70">
        <v>0</v>
      </c>
      <c r="UOF129" s="70">
        <v>0</v>
      </c>
      <c r="UOG129" s="70">
        <v>0</v>
      </c>
      <c r="UOH129" s="70">
        <v>0</v>
      </c>
      <c r="UOI129" s="70">
        <v>0</v>
      </c>
      <c r="UOJ129" s="70">
        <v>0</v>
      </c>
      <c r="UOK129" s="70">
        <v>0</v>
      </c>
      <c r="UOL129" s="70">
        <v>0</v>
      </c>
      <c r="UOM129" s="70">
        <v>0</v>
      </c>
      <c r="UON129" s="70">
        <v>0</v>
      </c>
      <c r="UOO129" s="70">
        <v>0</v>
      </c>
      <c r="UOP129" s="70">
        <v>0</v>
      </c>
      <c r="UOQ129" s="70">
        <v>0</v>
      </c>
      <c r="UOR129" s="70">
        <v>0</v>
      </c>
      <c r="UOS129" s="70">
        <v>0</v>
      </c>
      <c r="UOT129" s="70">
        <v>0</v>
      </c>
      <c r="UOU129" s="70">
        <v>0</v>
      </c>
      <c r="UOV129" s="70">
        <v>0</v>
      </c>
      <c r="UOW129" s="70">
        <v>0</v>
      </c>
      <c r="UOX129" s="70">
        <v>0</v>
      </c>
      <c r="UOY129" s="70">
        <v>0</v>
      </c>
      <c r="UOZ129" s="70">
        <v>0</v>
      </c>
      <c r="UPA129" s="70">
        <v>0</v>
      </c>
      <c r="UPB129" s="70">
        <v>0</v>
      </c>
      <c r="UPC129" s="70">
        <v>0</v>
      </c>
      <c r="UPD129" s="70">
        <v>0</v>
      </c>
      <c r="UPE129" s="70">
        <v>0</v>
      </c>
      <c r="UPF129" s="70">
        <v>0</v>
      </c>
      <c r="UPG129" s="70">
        <v>0</v>
      </c>
      <c r="UPH129" s="70">
        <v>0</v>
      </c>
      <c r="UPI129" s="70">
        <v>0</v>
      </c>
      <c r="UPJ129" s="70">
        <v>0</v>
      </c>
      <c r="UPK129" s="70">
        <v>0</v>
      </c>
      <c r="UPL129" s="70">
        <v>0</v>
      </c>
      <c r="UPM129" s="70">
        <v>0</v>
      </c>
      <c r="UPN129" s="70">
        <v>0</v>
      </c>
      <c r="UPO129" s="70">
        <v>0</v>
      </c>
      <c r="UPP129" s="70">
        <v>0</v>
      </c>
      <c r="UPQ129" s="70">
        <v>0</v>
      </c>
      <c r="UPR129" s="70">
        <v>0</v>
      </c>
      <c r="UPS129" s="70">
        <v>0</v>
      </c>
      <c r="UPT129" s="70">
        <v>0</v>
      </c>
      <c r="UPU129" s="70">
        <v>0</v>
      </c>
      <c r="UPV129" s="70">
        <v>0</v>
      </c>
      <c r="UPW129" s="70">
        <v>0</v>
      </c>
      <c r="UPX129" s="70">
        <v>0</v>
      </c>
      <c r="UPY129" s="70">
        <v>0</v>
      </c>
      <c r="UPZ129" s="70">
        <v>0</v>
      </c>
      <c r="UQA129" s="70">
        <v>0</v>
      </c>
      <c r="UQB129" s="70">
        <v>0</v>
      </c>
      <c r="UQC129" s="70">
        <v>0</v>
      </c>
      <c r="UQD129" s="70">
        <v>0</v>
      </c>
      <c r="UQE129" s="70">
        <v>0</v>
      </c>
      <c r="UQF129" s="70">
        <v>0</v>
      </c>
      <c r="UQG129" s="70">
        <v>0</v>
      </c>
      <c r="UQH129" s="70">
        <v>0</v>
      </c>
      <c r="UQI129" s="70">
        <v>0</v>
      </c>
      <c r="UQJ129" s="70">
        <v>0</v>
      </c>
      <c r="UQK129" s="70">
        <v>0</v>
      </c>
      <c r="UQL129" s="70">
        <v>0</v>
      </c>
      <c r="UQM129" s="70">
        <v>0</v>
      </c>
      <c r="UQN129" s="70">
        <v>0</v>
      </c>
      <c r="UQO129" s="70">
        <v>0</v>
      </c>
      <c r="UQP129" s="70">
        <v>0</v>
      </c>
      <c r="UQQ129" s="70">
        <v>0</v>
      </c>
      <c r="UQR129" s="70">
        <v>0</v>
      </c>
      <c r="UQS129" s="70">
        <v>0</v>
      </c>
      <c r="UQT129" s="70">
        <v>0</v>
      </c>
      <c r="UQU129" s="70">
        <v>0</v>
      </c>
      <c r="UQV129" s="70">
        <v>0</v>
      </c>
      <c r="UQW129" s="70">
        <v>0</v>
      </c>
      <c r="UQX129" s="70">
        <v>0</v>
      </c>
      <c r="UQY129" s="70">
        <v>0</v>
      </c>
      <c r="UQZ129" s="70">
        <v>0</v>
      </c>
      <c r="URA129" s="70">
        <v>0</v>
      </c>
      <c r="URB129" s="70">
        <v>0</v>
      </c>
      <c r="URC129" s="70">
        <v>0</v>
      </c>
      <c r="URD129" s="70">
        <v>0</v>
      </c>
      <c r="URE129" s="70">
        <v>0</v>
      </c>
      <c r="URF129" s="70">
        <v>0</v>
      </c>
      <c r="URG129" s="70">
        <v>0</v>
      </c>
      <c r="URH129" s="70">
        <v>0</v>
      </c>
      <c r="URI129" s="70">
        <v>0</v>
      </c>
      <c r="URJ129" s="70">
        <v>0</v>
      </c>
      <c r="URK129" s="70">
        <v>0</v>
      </c>
      <c r="URL129" s="70">
        <v>0</v>
      </c>
      <c r="URM129" s="70">
        <v>0</v>
      </c>
      <c r="URN129" s="70">
        <v>0</v>
      </c>
      <c r="URO129" s="70">
        <v>0</v>
      </c>
      <c r="URP129" s="70">
        <v>0</v>
      </c>
      <c r="URQ129" s="70">
        <v>0</v>
      </c>
      <c r="URR129" s="70">
        <v>0</v>
      </c>
      <c r="URS129" s="70">
        <v>0</v>
      </c>
      <c r="URT129" s="70">
        <v>0</v>
      </c>
      <c r="URU129" s="70">
        <v>0</v>
      </c>
      <c r="URV129" s="70">
        <v>0</v>
      </c>
      <c r="URW129" s="70">
        <v>0</v>
      </c>
      <c r="URX129" s="70">
        <v>0</v>
      </c>
      <c r="URY129" s="70">
        <v>0</v>
      </c>
      <c r="URZ129" s="70">
        <v>0</v>
      </c>
      <c r="USA129" s="70">
        <v>0</v>
      </c>
      <c r="USB129" s="70">
        <v>0</v>
      </c>
      <c r="USC129" s="70">
        <v>0</v>
      </c>
      <c r="USD129" s="70">
        <v>0</v>
      </c>
      <c r="USE129" s="70">
        <v>0</v>
      </c>
      <c r="USF129" s="70">
        <v>0</v>
      </c>
      <c r="USG129" s="70">
        <v>0</v>
      </c>
      <c r="USH129" s="70">
        <v>0</v>
      </c>
      <c r="USI129" s="70">
        <v>0</v>
      </c>
      <c r="USJ129" s="70">
        <v>0</v>
      </c>
      <c r="USK129" s="70">
        <v>0</v>
      </c>
      <c r="USL129" s="70">
        <v>0</v>
      </c>
      <c r="USM129" s="70">
        <v>0</v>
      </c>
      <c r="USN129" s="70">
        <v>0</v>
      </c>
      <c r="USO129" s="70">
        <v>0</v>
      </c>
      <c r="USP129" s="70">
        <v>0</v>
      </c>
      <c r="USQ129" s="70">
        <v>0</v>
      </c>
      <c r="USR129" s="70">
        <v>0</v>
      </c>
      <c r="USS129" s="70">
        <v>0</v>
      </c>
      <c r="UST129" s="70">
        <v>0</v>
      </c>
      <c r="USU129" s="70">
        <v>0</v>
      </c>
      <c r="USV129" s="70">
        <v>0</v>
      </c>
      <c r="USW129" s="70">
        <v>0</v>
      </c>
      <c r="USX129" s="70">
        <v>0</v>
      </c>
      <c r="USY129" s="70">
        <v>0</v>
      </c>
      <c r="USZ129" s="70">
        <v>0</v>
      </c>
      <c r="UTA129" s="70">
        <v>0</v>
      </c>
      <c r="UTB129" s="70">
        <v>0</v>
      </c>
      <c r="UTC129" s="70">
        <v>0</v>
      </c>
      <c r="UTD129" s="70">
        <v>0</v>
      </c>
      <c r="UTE129" s="70">
        <v>0</v>
      </c>
      <c r="UTF129" s="70">
        <v>0</v>
      </c>
      <c r="UTG129" s="70">
        <v>0</v>
      </c>
      <c r="UTH129" s="70">
        <v>0</v>
      </c>
      <c r="UTI129" s="70">
        <v>0</v>
      </c>
      <c r="UTJ129" s="70">
        <v>0</v>
      </c>
      <c r="UTK129" s="70">
        <v>0</v>
      </c>
      <c r="UTL129" s="70">
        <v>0</v>
      </c>
      <c r="UTM129" s="70">
        <v>0</v>
      </c>
      <c r="UTN129" s="70">
        <v>0</v>
      </c>
      <c r="UTO129" s="70">
        <v>0</v>
      </c>
      <c r="UTP129" s="70">
        <v>0</v>
      </c>
      <c r="UTQ129" s="70">
        <v>0</v>
      </c>
      <c r="UTR129" s="70">
        <v>0</v>
      </c>
      <c r="UTS129" s="70">
        <v>0</v>
      </c>
      <c r="UTT129" s="70">
        <v>0</v>
      </c>
      <c r="UTU129" s="70">
        <v>0</v>
      </c>
      <c r="UTV129" s="70">
        <v>0</v>
      </c>
      <c r="UTW129" s="70">
        <v>0</v>
      </c>
      <c r="UTX129" s="70">
        <v>0</v>
      </c>
      <c r="UTY129" s="70">
        <v>0</v>
      </c>
      <c r="UTZ129" s="70">
        <v>0</v>
      </c>
      <c r="UUA129" s="70">
        <v>0</v>
      </c>
      <c r="UUB129" s="70">
        <v>0</v>
      </c>
      <c r="UUC129" s="70">
        <v>0</v>
      </c>
      <c r="UUD129" s="70">
        <v>0</v>
      </c>
      <c r="UUE129" s="70">
        <v>0</v>
      </c>
      <c r="UUF129" s="70">
        <v>0</v>
      </c>
      <c r="UUG129" s="70">
        <v>0</v>
      </c>
      <c r="UUH129" s="70">
        <v>0</v>
      </c>
      <c r="UUI129" s="70">
        <v>0</v>
      </c>
      <c r="UUJ129" s="70">
        <v>0</v>
      </c>
      <c r="UUK129" s="70">
        <v>0</v>
      </c>
      <c r="UUL129" s="70">
        <v>0</v>
      </c>
      <c r="UUM129" s="70">
        <v>0</v>
      </c>
      <c r="UUN129" s="70">
        <v>0</v>
      </c>
      <c r="UUO129" s="70">
        <v>0</v>
      </c>
      <c r="UUP129" s="70">
        <v>0</v>
      </c>
      <c r="UUQ129" s="70">
        <v>0</v>
      </c>
      <c r="UUR129" s="70">
        <v>0</v>
      </c>
      <c r="UUS129" s="70">
        <v>0</v>
      </c>
      <c r="UUT129" s="70">
        <v>0</v>
      </c>
      <c r="UUU129" s="70">
        <v>0</v>
      </c>
      <c r="UUV129" s="70">
        <v>0</v>
      </c>
      <c r="UUW129" s="70">
        <v>0</v>
      </c>
      <c r="UUX129" s="70">
        <v>0</v>
      </c>
      <c r="UUY129" s="70">
        <v>0</v>
      </c>
      <c r="UUZ129" s="70">
        <v>0</v>
      </c>
      <c r="UVA129" s="70">
        <v>0</v>
      </c>
      <c r="UVB129" s="70">
        <v>0</v>
      </c>
      <c r="UVC129" s="70">
        <v>0</v>
      </c>
      <c r="UVD129" s="70">
        <v>0</v>
      </c>
      <c r="UVE129" s="70">
        <v>0</v>
      </c>
      <c r="UVF129" s="70">
        <v>0</v>
      </c>
      <c r="UVG129" s="70">
        <v>0</v>
      </c>
      <c r="UVH129" s="70">
        <v>0</v>
      </c>
      <c r="UVI129" s="70">
        <v>0</v>
      </c>
      <c r="UVJ129" s="70">
        <v>0</v>
      </c>
      <c r="UVK129" s="70">
        <v>0</v>
      </c>
      <c r="UVL129" s="70">
        <v>0</v>
      </c>
      <c r="UVM129" s="70">
        <v>0</v>
      </c>
      <c r="UVN129" s="70">
        <v>0</v>
      </c>
      <c r="UVO129" s="70">
        <v>0</v>
      </c>
      <c r="UVP129" s="70">
        <v>0</v>
      </c>
      <c r="UVQ129" s="70">
        <v>0</v>
      </c>
      <c r="UVR129" s="70">
        <v>0</v>
      </c>
      <c r="UVS129" s="70">
        <v>0</v>
      </c>
      <c r="UVT129" s="70">
        <v>0</v>
      </c>
      <c r="UVU129" s="70">
        <v>0</v>
      </c>
      <c r="UVV129" s="70">
        <v>0</v>
      </c>
      <c r="UVW129" s="70">
        <v>0</v>
      </c>
      <c r="UVX129" s="70">
        <v>0</v>
      </c>
      <c r="UVY129" s="70">
        <v>0</v>
      </c>
      <c r="UVZ129" s="70">
        <v>0</v>
      </c>
      <c r="UWA129" s="70">
        <v>0</v>
      </c>
      <c r="UWB129" s="70">
        <v>0</v>
      </c>
      <c r="UWC129" s="70">
        <v>0</v>
      </c>
      <c r="UWD129" s="70">
        <v>0</v>
      </c>
      <c r="UWE129" s="70">
        <v>0</v>
      </c>
      <c r="UWF129" s="70">
        <v>0</v>
      </c>
      <c r="UWG129" s="70">
        <v>0</v>
      </c>
      <c r="UWH129" s="70">
        <v>0</v>
      </c>
      <c r="UWI129" s="70">
        <v>0</v>
      </c>
      <c r="UWJ129" s="70">
        <v>0</v>
      </c>
      <c r="UWK129" s="70">
        <v>0</v>
      </c>
      <c r="UWL129" s="70">
        <v>0</v>
      </c>
      <c r="UWM129" s="70">
        <v>0</v>
      </c>
      <c r="UWN129" s="70">
        <v>0</v>
      </c>
      <c r="UWO129" s="70">
        <v>0</v>
      </c>
      <c r="UWP129" s="70">
        <v>0</v>
      </c>
      <c r="UWQ129" s="70">
        <v>0</v>
      </c>
      <c r="UWR129" s="70">
        <v>0</v>
      </c>
      <c r="UWS129" s="70">
        <v>0</v>
      </c>
      <c r="UWT129" s="70">
        <v>0</v>
      </c>
      <c r="UWU129" s="70">
        <v>0</v>
      </c>
      <c r="UWV129" s="70">
        <v>0</v>
      </c>
      <c r="UWW129" s="70">
        <v>0</v>
      </c>
      <c r="UWX129" s="70">
        <v>0</v>
      </c>
      <c r="UWY129" s="70">
        <v>0</v>
      </c>
      <c r="UWZ129" s="70">
        <v>0</v>
      </c>
      <c r="UXA129" s="70">
        <v>0</v>
      </c>
      <c r="UXB129" s="70">
        <v>0</v>
      </c>
      <c r="UXC129" s="70">
        <v>0</v>
      </c>
      <c r="UXD129" s="70">
        <v>0</v>
      </c>
      <c r="UXE129" s="70">
        <v>0</v>
      </c>
      <c r="UXF129" s="70">
        <v>0</v>
      </c>
      <c r="UXG129" s="70">
        <v>0</v>
      </c>
      <c r="UXH129" s="70">
        <v>0</v>
      </c>
      <c r="UXI129" s="70">
        <v>0</v>
      </c>
      <c r="UXJ129" s="70">
        <v>0</v>
      </c>
      <c r="UXK129" s="70">
        <v>0</v>
      </c>
      <c r="UXL129" s="70">
        <v>0</v>
      </c>
      <c r="UXM129" s="70">
        <v>0</v>
      </c>
      <c r="UXN129" s="70">
        <v>0</v>
      </c>
      <c r="UXO129" s="70">
        <v>0</v>
      </c>
      <c r="UXP129" s="70">
        <v>0</v>
      </c>
      <c r="UXQ129" s="70">
        <v>0</v>
      </c>
      <c r="UXR129" s="70">
        <v>0</v>
      </c>
      <c r="UXS129" s="70">
        <v>0</v>
      </c>
      <c r="UXT129" s="70">
        <v>0</v>
      </c>
      <c r="UXU129" s="70">
        <v>0</v>
      </c>
      <c r="UXV129" s="70">
        <v>0</v>
      </c>
      <c r="UXW129" s="70">
        <v>0</v>
      </c>
      <c r="UXX129" s="70">
        <v>0</v>
      </c>
      <c r="UXY129" s="70">
        <v>0</v>
      </c>
      <c r="UXZ129" s="70">
        <v>0</v>
      </c>
      <c r="UYA129" s="70">
        <v>0</v>
      </c>
      <c r="UYB129" s="70">
        <v>0</v>
      </c>
      <c r="UYC129" s="70">
        <v>0</v>
      </c>
      <c r="UYD129" s="70">
        <v>0</v>
      </c>
      <c r="UYE129" s="70">
        <v>0</v>
      </c>
      <c r="UYF129" s="70">
        <v>0</v>
      </c>
      <c r="UYG129" s="70">
        <v>0</v>
      </c>
      <c r="UYH129" s="70">
        <v>0</v>
      </c>
      <c r="UYI129" s="70">
        <v>0</v>
      </c>
      <c r="UYJ129" s="70">
        <v>0</v>
      </c>
      <c r="UYK129" s="70">
        <v>0</v>
      </c>
      <c r="UYL129" s="70">
        <v>0</v>
      </c>
      <c r="UYM129" s="70">
        <v>0</v>
      </c>
      <c r="UYN129" s="70">
        <v>0</v>
      </c>
      <c r="UYO129" s="70">
        <v>0</v>
      </c>
      <c r="UYP129" s="70">
        <v>0</v>
      </c>
      <c r="UYQ129" s="70">
        <v>0</v>
      </c>
      <c r="UYR129" s="70">
        <v>0</v>
      </c>
      <c r="UYS129" s="70">
        <v>0</v>
      </c>
      <c r="UYT129" s="70">
        <v>0</v>
      </c>
      <c r="UYU129" s="70">
        <v>0</v>
      </c>
      <c r="UYV129" s="70">
        <v>0</v>
      </c>
      <c r="UYW129" s="70">
        <v>0</v>
      </c>
      <c r="UYX129" s="70">
        <v>0</v>
      </c>
      <c r="UYY129" s="70">
        <v>0</v>
      </c>
      <c r="UYZ129" s="70">
        <v>0</v>
      </c>
      <c r="UZA129" s="70">
        <v>0</v>
      </c>
      <c r="UZB129" s="70">
        <v>0</v>
      </c>
      <c r="UZC129" s="70">
        <v>0</v>
      </c>
      <c r="UZD129" s="70">
        <v>0</v>
      </c>
      <c r="UZE129" s="70">
        <v>0</v>
      </c>
      <c r="UZF129" s="70">
        <v>0</v>
      </c>
      <c r="UZG129" s="70">
        <v>0</v>
      </c>
      <c r="UZH129" s="70">
        <v>0</v>
      </c>
      <c r="UZI129" s="70">
        <v>0</v>
      </c>
      <c r="UZJ129" s="70">
        <v>0</v>
      </c>
      <c r="UZK129" s="70">
        <v>0</v>
      </c>
      <c r="UZL129" s="70">
        <v>0</v>
      </c>
      <c r="UZM129" s="70">
        <v>0</v>
      </c>
      <c r="UZN129" s="70">
        <v>0</v>
      </c>
      <c r="UZO129" s="70">
        <v>0</v>
      </c>
      <c r="UZP129" s="70">
        <v>0</v>
      </c>
      <c r="UZQ129" s="70">
        <v>0</v>
      </c>
      <c r="UZR129" s="70">
        <v>0</v>
      </c>
      <c r="UZS129" s="70">
        <v>0</v>
      </c>
      <c r="UZT129" s="70">
        <v>0</v>
      </c>
      <c r="UZU129" s="70">
        <v>0</v>
      </c>
      <c r="UZV129" s="70">
        <v>0</v>
      </c>
      <c r="UZW129" s="70">
        <v>0</v>
      </c>
      <c r="UZX129" s="70">
        <v>0</v>
      </c>
      <c r="UZY129" s="70">
        <v>0</v>
      </c>
      <c r="UZZ129" s="70">
        <v>0</v>
      </c>
      <c r="VAA129" s="70">
        <v>0</v>
      </c>
      <c r="VAB129" s="70">
        <v>0</v>
      </c>
      <c r="VAC129" s="70">
        <v>0</v>
      </c>
      <c r="VAD129" s="70">
        <v>0</v>
      </c>
      <c r="VAE129" s="70">
        <v>0</v>
      </c>
      <c r="VAF129" s="70">
        <v>0</v>
      </c>
      <c r="VAG129" s="70">
        <v>0</v>
      </c>
      <c r="VAH129" s="70">
        <v>0</v>
      </c>
      <c r="VAI129" s="70">
        <v>0</v>
      </c>
      <c r="VAJ129" s="70">
        <v>0</v>
      </c>
      <c r="VAK129" s="70">
        <v>0</v>
      </c>
      <c r="VAL129" s="70">
        <v>0</v>
      </c>
      <c r="VAM129" s="70">
        <v>0</v>
      </c>
      <c r="VAN129" s="70">
        <v>0</v>
      </c>
      <c r="VAO129" s="70">
        <v>0</v>
      </c>
      <c r="VAP129" s="70">
        <v>0</v>
      </c>
      <c r="VAQ129" s="70">
        <v>0</v>
      </c>
      <c r="VAR129" s="70">
        <v>0</v>
      </c>
      <c r="VAS129" s="70">
        <v>0</v>
      </c>
      <c r="VAT129" s="70">
        <v>0</v>
      </c>
      <c r="VAU129" s="70">
        <v>0</v>
      </c>
      <c r="VAV129" s="70">
        <v>0</v>
      </c>
      <c r="VAW129" s="70">
        <v>0</v>
      </c>
      <c r="VAX129" s="70">
        <v>0</v>
      </c>
      <c r="VAY129" s="70">
        <v>0</v>
      </c>
      <c r="VAZ129" s="70">
        <v>0</v>
      </c>
      <c r="VBA129" s="70">
        <v>0</v>
      </c>
      <c r="VBB129" s="70">
        <v>0</v>
      </c>
      <c r="VBC129" s="70">
        <v>0</v>
      </c>
      <c r="VBD129" s="70">
        <v>0</v>
      </c>
      <c r="VBE129" s="70">
        <v>0</v>
      </c>
      <c r="VBF129" s="70">
        <v>0</v>
      </c>
      <c r="VBG129" s="70">
        <v>0</v>
      </c>
      <c r="VBH129" s="70">
        <v>0</v>
      </c>
      <c r="VBI129" s="70">
        <v>0</v>
      </c>
      <c r="VBJ129" s="70">
        <v>0</v>
      </c>
      <c r="VBK129" s="70">
        <v>0</v>
      </c>
      <c r="VBL129" s="70">
        <v>0</v>
      </c>
      <c r="VBM129" s="70">
        <v>0</v>
      </c>
      <c r="VBN129" s="70">
        <v>0</v>
      </c>
      <c r="VBO129" s="70">
        <v>0</v>
      </c>
      <c r="VBP129" s="70">
        <v>0</v>
      </c>
      <c r="VBQ129" s="70">
        <v>0</v>
      </c>
      <c r="VBR129" s="70">
        <v>0</v>
      </c>
      <c r="VBS129" s="70">
        <v>0</v>
      </c>
      <c r="VBT129" s="70">
        <v>0</v>
      </c>
      <c r="VBU129" s="70">
        <v>0</v>
      </c>
      <c r="VBV129" s="70">
        <v>0</v>
      </c>
      <c r="VBW129" s="70">
        <v>0</v>
      </c>
      <c r="VBX129" s="70">
        <v>0</v>
      </c>
      <c r="VBY129" s="70">
        <v>0</v>
      </c>
      <c r="VBZ129" s="70">
        <v>0</v>
      </c>
      <c r="VCA129" s="70">
        <v>0</v>
      </c>
      <c r="VCB129" s="70">
        <v>0</v>
      </c>
      <c r="VCC129" s="70">
        <v>0</v>
      </c>
      <c r="VCD129" s="70">
        <v>0</v>
      </c>
      <c r="VCE129" s="70">
        <v>0</v>
      </c>
      <c r="VCF129" s="70">
        <v>0</v>
      </c>
      <c r="VCG129" s="70">
        <v>0</v>
      </c>
      <c r="VCH129" s="70">
        <v>0</v>
      </c>
      <c r="VCI129" s="70">
        <v>0</v>
      </c>
      <c r="VCJ129" s="70">
        <v>0</v>
      </c>
      <c r="VCK129" s="70">
        <v>0</v>
      </c>
      <c r="VCL129" s="70">
        <v>0</v>
      </c>
      <c r="VCM129" s="70">
        <v>0</v>
      </c>
      <c r="VCN129" s="70">
        <v>0</v>
      </c>
      <c r="VCO129" s="70">
        <v>0</v>
      </c>
      <c r="VCP129" s="70">
        <v>0</v>
      </c>
      <c r="VCQ129" s="70">
        <v>0</v>
      </c>
      <c r="VCR129" s="70">
        <v>0</v>
      </c>
      <c r="VCS129" s="70">
        <v>0</v>
      </c>
      <c r="VCT129" s="70">
        <v>0</v>
      </c>
      <c r="VCU129" s="70">
        <v>0</v>
      </c>
      <c r="VCV129" s="70">
        <v>0</v>
      </c>
      <c r="VCW129" s="70">
        <v>0</v>
      </c>
      <c r="VCX129" s="70">
        <v>0</v>
      </c>
      <c r="VCY129" s="70">
        <v>0</v>
      </c>
      <c r="VCZ129" s="70">
        <v>0</v>
      </c>
      <c r="VDA129" s="70">
        <v>0</v>
      </c>
      <c r="VDB129" s="70">
        <v>0</v>
      </c>
      <c r="VDC129" s="70">
        <v>0</v>
      </c>
      <c r="VDD129" s="70">
        <v>0</v>
      </c>
      <c r="VDE129" s="70">
        <v>0</v>
      </c>
      <c r="VDF129" s="70">
        <v>0</v>
      </c>
      <c r="VDG129" s="70">
        <v>0</v>
      </c>
      <c r="VDH129" s="70">
        <v>0</v>
      </c>
      <c r="VDI129" s="70">
        <v>0</v>
      </c>
      <c r="VDJ129" s="70">
        <v>0</v>
      </c>
      <c r="VDK129" s="70">
        <v>0</v>
      </c>
      <c r="VDL129" s="70">
        <v>0</v>
      </c>
      <c r="VDM129" s="70">
        <v>0</v>
      </c>
      <c r="VDN129" s="70">
        <v>0</v>
      </c>
      <c r="VDO129" s="70">
        <v>0</v>
      </c>
      <c r="VDP129" s="70">
        <v>0</v>
      </c>
      <c r="VDQ129" s="70">
        <v>0</v>
      </c>
      <c r="VDR129" s="70">
        <v>0</v>
      </c>
      <c r="VDS129" s="70">
        <v>0</v>
      </c>
      <c r="VDT129" s="70">
        <v>0</v>
      </c>
      <c r="VDU129" s="70">
        <v>0</v>
      </c>
      <c r="VDV129" s="70">
        <v>0</v>
      </c>
      <c r="VDW129" s="70">
        <v>0</v>
      </c>
      <c r="VDX129" s="70">
        <v>0</v>
      </c>
      <c r="VDY129" s="70">
        <v>0</v>
      </c>
      <c r="VDZ129" s="70">
        <v>0</v>
      </c>
      <c r="VEA129" s="70">
        <v>0</v>
      </c>
      <c r="VEB129" s="70">
        <v>0</v>
      </c>
      <c r="VEC129" s="70">
        <v>0</v>
      </c>
      <c r="VED129" s="70">
        <v>0</v>
      </c>
      <c r="VEE129" s="70">
        <v>0</v>
      </c>
      <c r="VEF129" s="70">
        <v>0</v>
      </c>
      <c r="VEG129" s="70">
        <v>0</v>
      </c>
      <c r="VEH129" s="70">
        <v>0</v>
      </c>
      <c r="VEI129" s="70">
        <v>0</v>
      </c>
      <c r="VEJ129" s="70">
        <v>0</v>
      </c>
      <c r="VEK129" s="70">
        <v>0</v>
      </c>
      <c r="VEL129" s="70">
        <v>0</v>
      </c>
      <c r="VEM129" s="70">
        <v>0</v>
      </c>
      <c r="VEN129" s="70">
        <v>0</v>
      </c>
      <c r="VEO129" s="70">
        <v>0</v>
      </c>
      <c r="VEP129" s="70">
        <v>0</v>
      </c>
      <c r="VEQ129" s="70">
        <v>0</v>
      </c>
      <c r="VER129" s="70">
        <v>0</v>
      </c>
      <c r="VES129" s="70">
        <v>0</v>
      </c>
      <c r="VET129" s="70">
        <v>0</v>
      </c>
      <c r="VEU129" s="70">
        <v>0</v>
      </c>
      <c r="VEV129" s="70">
        <v>0</v>
      </c>
      <c r="VEW129" s="70">
        <v>0</v>
      </c>
      <c r="VEX129" s="70">
        <v>0</v>
      </c>
      <c r="VEY129" s="70">
        <v>0</v>
      </c>
      <c r="VEZ129" s="70">
        <v>0</v>
      </c>
      <c r="VFA129" s="70">
        <v>0</v>
      </c>
      <c r="VFB129" s="70">
        <v>0</v>
      </c>
      <c r="VFC129" s="70">
        <v>0</v>
      </c>
      <c r="VFD129" s="70">
        <v>0</v>
      </c>
      <c r="VFE129" s="70">
        <v>0</v>
      </c>
      <c r="VFF129" s="70">
        <v>0</v>
      </c>
      <c r="VFG129" s="70">
        <v>0</v>
      </c>
      <c r="VFH129" s="70">
        <v>0</v>
      </c>
      <c r="VFI129" s="70">
        <v>0</v>
      </c>
      <c r="VFJ129" s="70">
        <v>0</v>
      </c>
      <c r="VFK129" s="70">
        <v>0</v>
      </c>
      <c r="VFL129" s="70">
        <v>0</v>
      </c>
      <c r="VFM129" s="70">
        <v>0</v>
      </c>
      <c r="VFN129" s="70">
        <v>0</v>
      </c>
      <c r="VFO129" s="70">
        <v>0</v>
      </c>
      <c r="VFP129" s="70">
        <v>0</v>
      </c>
      <c r="VFQ129" s="70">
        <v>0</v>
      </c>
      <c r="VFR129" s="70">
        <v>0</v>
      </c>
      <c r="VFS129" s="70">
        <v>0</v>
      </c>
      <c r="VFT129" s="70">
        <v>0</v>
      </c>
      <c r="VFU129" s="70">
        <v>0</v>
      </c>
      <c r="VFV129" s="70">
        <v>0</v>
      </c>
      <c r="VFW129" s="70">
        <v>0</v>
      </c>
      <c r="VFX129" s="70">
        <v>0</v>
      </c>
      <c r="VFY129" s="70">
        <v>0</v>
      </c>
      <c r="VFZ129" s="70">
        <v>0</v>
      </c>
      <c r="VGA129" s="70">
        <v>0</v>
      </c>
      <c r="VGB129" s="70">
        <v>0</v>
      </c>
      <c r="VGC129" s="70">
        <v>0</v>
      </c>
      <c r="VGD129" s="70">
        <v>0</v>
      </c>
      <c r="VGE129" s="70">
        <v>0</v>
      </c>
      <c r="VGF129" s="70">
        <v>0</v>
      </c>
      <c r="VGG129" s="70">
        <v>0</v>
      </c>
      <c r="VGH129" s="70">
        <v>0</v>
      </c>
      <c r="VGI129" s="70">
        <v>0</v>
      </c>
      <c r="VGJ129" s="70">
        <v>0</v>
      </c>
      <c r="VGK129" s="70">
        <v>0</v>
      </c>
      <c r="VGL129" s="70">
        <v>0</v>
      </c>
      <c r="VGM129" s="70">
        <v>0</v>
      </c>
      <c r="VGN129" s="70">
        <v>0</v>
      </c>
      <c r="VGO129" s="70">
        <v>0</v>
      </c>
      <c r="VGP129" s="70">
        <v>0</v>
      </c>
      <c r="VGQ129" s="70">
        <v>0</v>
      </c>
      <c r="VGR129" s="70">
        <v>0</v>
      </c>
      <c r="VGS129" s="70">
        <v>0</v>
      </c>
      <c r="VGT129" s="70">
        <v>0</v>
      </c>
      <c r="VGU129" s="70">
        <v>0</v>
      </c>
      <c r="VGV129" s="70">
        <v>0</v>
      </c>
      <c r="VGW129" s="70">
        <v>0</v>
      </c>
      <c r="VGX129" s="70">
        <v>0</v>
      </c>
      <c r="VGY129" s="70">
        <v>0</v>
      </c>
      <c r="VGZ129" s="70">
        <v>0</v>
      </c>
      <c r="VHA129" s="70">
        <v>0</v>
      </c>
      <c r="VHB129" s="70">
        <v>0</v>
      </c>
      <c r="VHC129" s="70">
        <v>0</v>
      </c>
      <c r="VHD129" s="70">
        <v>0</v>
      </c>
      <c r="VHE129" s="70">
        <v>0</v>
      </c>
      <c r="VHF129" s="70">
        <v>0</v>
      </c>
      <c r="VHG129" s="70">
        <v>0</v>
      </c>
      <c r="VHH129" s="70">
        <v>0</v>
      </c>
      <c r="VHI129" s="70">
        <v>0</v>
      </c>
      <c r="VHJ129" s="70">
        <v>0</v>
      </c>
      <c r="VHK129" s="70">
        <v>0</v>
      </c>
      <c r="VHL129" s="70">
        <v>0</v>
      </c>
      <c r="VHM129" s="70">
        <v>0</v>
      </c>
      <c r="VHN129" s="70">
        <v>0</v>
      </c>
      <c r="VHO129" s="70">
        <v>0</v>
      </c>
      <c r="VHP129" s="70">
        <v>0</v>
      </c>
      <c r="VHQ129" s="70">
        <v>0</v>
      </c>
      <c r="VHR129" s="70">
        <v>0</v>
      </c>
      <c r="VHS129" s="70">
        <v>0</v>
      </c>
      <c r="VHT129" s="70">
        <v>0</v>
      </c>
      <c r="VHU129" s="70">
        <v>0</v>
      </c>
      <c r="VHV129" s="70">
        <v>0</v>
      </c>
      <c r="VHW129" s="70">
        <v>0</v>
      </c>
      <c r="VHX129" s="70">
        <v>0</v>
      </c>
      <c r="VHY129" s="70">
        <v>0</v>
      </c>
      <c r="VHZ129" s="70">
        <v>0</v>
      </c>
      <c r="VIA129" s="70">
        <v>0</v>
      </c>
      <c r="VIB129" s="70">
        <v>0</v>
      </c>
      <c r="VIC129" s="70">
        <v>0</v>
      </c>
      <c r="VID129" s="70">
        <v>0</v>
      </c>
      <c r="VIE129" s="70">
        <v>0</v>
      </c>
      <c r="VIF129" s="70">
        <v>0</v>
      </c>
      <c r="VIG129" s="70">
        <v>0</v>
      </c>
      <c r="VIH129" s="70">
        <v>0</v>
      </c>
      <c r="VII129" s="70">
        <v>0</v>
      </c>
      <c r="VIJ129" s="70">
        <v>0</v>
      </c>
      <c r="VIK129" s="70">
        <v>0</v>
      </c>
      <c r="VIL129" s="70">
        <v>0</v>
      </c>
      <c r="VIM129" s="70">
        <v>0</v>
      </c>
      <c r="VIN129" s="70">
        <v>0</v>
      </c>
      <c r="VIO129" s="70">
        <v>0</v>
      </c>
      <c r="VIP129" s="70">
        <v>0</v>
      </c>
      <c r="VIQ129" s="70">
        <v>0</v>
      </c>
      <c r="VIR129" s="70">
        <v>0</v>
      </c>
      <c r="VIS129" s="70">
        <v>0</v>
      </c>
      <c r="VIT129" s="70">
        <v>0</v>
      </c>
      <c r="VIU129" s="70">
        <v>0</v>
      </c>
      <c r="VIV129" s="70">
        <v>0</v>
      </c>
      <c r="VIW129" s="70">
        <v>0</v>
      </c>
      <c r="VIX129" s="70">
        <v>0</v>
      </c>
      <c r="VIY129" s="70">
        <v>0</v>
      </c>
      <c r="VIZ129" s="70">
        <v>0</v>
      </c>
      <c r="VJA129" s="70">
        <v>0</v>
      </c>
      <c r="VJB129" s="70">
        <v>0</v>
      </c>
      <c r="VJC129" s="70">
        <v>0</v>
      </c>
      <c r="VJD129" s="70">
        <v>0</v>
      </c>
      <c r="VJE129" s="70">
        <v>0</v>
      </c>
      <c r="VJF129" s="70">
        <v>0</v>
      </c>
      <c r="VJG129" s="70">
        <v>0</v>
      </c>
      <c r="VJH129" s="70">
        <v>0</v>
      </c>
      <c r="VJI129" s="70">
        <v>0</v>
      </c>
      <c r="VJJ129" s="70">
        <v>0</v>
      </c>
      <c r="VJK129" s="70">
        <v>0</v>
      </c>
      <c r="VJL129" s="70">
        <v>0</v>
      </c>
      <c r="VJM129" s="70">
        <v>0</v>
      </c>
      <c r="VJN129" s="70">
        <v>0</v>
      </c>
      <c r="VJO129" s="70">
        <v>0</v>
      </c>
      <c r="VJP129" s="70">
        <v>0</v>
      </c>
      <c r="VJQ129" s="70">
        <v>0</v>
      </c>
      <c r="VJR129" s="70">
        <v>0</v>
      </c>
      <c r="VJS129" s="70">
        <v>0</v>
      </c>
      <c r="VJT129" s="70">
        <v>0</v>
      </c>
      <c r="VJU129" s="70">
        <v>0</v>
      </c>
      <c r="VJV129" s="70">
        <v>0</v>
      </c>
      <c r="VJW129" s="70">
        <v>0</v>
      </c>
      <c r="VJX129" s="70">
        <v>0</v>
      </c>
      <c r="VJY129" s="70">
        <v>0</v>
      </c>
      <c r="VJZ129" s="70">
        <v>0</v>
      </c>
      <c r="VKA129" s="70">
        <v>0</v>
      </c>
      <c r="VKB129" s="70">
        <v>0</v>
      </c>
      <c r="VKC129" s="70">
        <v>0</v>
      </c>
      <c r="VKD129" s="70">
        <v>0</v>
      </c>
      <c r="VKE129" s="70">
        <v>0</v>
      </c>
      <c r="VKF129" s="70">
        <v>0</v>
      </c>
      <c r="VKG129" s="70">
        <v>0</v>
      </c>
      <c r="VKH129" s="70">
        <v>0</v>
      </c>
      <c r="VKI129" s="70">
        <v>0</v>
      </c>
      <c r="VKJ129" s="70">
        <v>0</v>
      </c>
      <c r="VKK129" s="70">
        <v>0</v>
      </c>
      <c r="VKL129" s="70">
        <v>0</v>
      </c>
      <c r="VKM129" s="70">
        <v>0</v>
      </c>
      <c r="VKN129" s="70">
        <v>0</v>
      </c>
      <c r="VKO129" s="70">
        <v>0</v>
      </c>
      <c r="VKP129" s="70">
        <v>0</v>
      </c>
      <c r="VKQ129" s="70">
        <v>0</v>
      </c>
      <c r="VKR129" s="70">
        <v>0</v>
      </c>
      <c r="VKS129" s="70">
        <v>0</v>
      </c>
      <c r="VKT129" s="70">
        <v>0</v>
      </c>
      <c r="VKU129" s="70">
        <v>0</v>
      </c>
      <c r="VKV129" s="70">
        <v>0</v>
      </c>
      <c r="VKW129" s="70">
        <v>0</v>
      </c>
      <c r="VKX129" s="70">
        <v>0</v>
      </c>
      <c r="VKY129" s="70">
        <v>0</v>
      </c>
      <c r="VKZ129" s="70">
        <v>0</v>
      </c>
      <c r="VLA129" s="70">
        <v>0</v>
      </c>
      <c r="VLB129" s="70">
        <v>0</v>
      </c>
      <c r="VLC129" s="70">
        <v>0</v>
      </c>
      <c r="VLD129" s="70">
        <v>0</v>
      </c>
      <c r="VLE129" s="70">
        <v>0</v>
      </c>
      <c r="VLF129" s="70">
        <v>0</v>
      </c>
      <c r="VLG129" s="70">
        <v>0</v>
      </c>
      <c r="VLH129" s="70">
        <v>0</v>
      </c>
      <c r="VLI129" s="70">
        <v>0</v>
      </c>
      <c r="VLJ129" s="70">
        <v>0</v>
      </c>
      <c r="VLK129" s="70">
        <v>0</v>
      </c>
      <c r="VLL129" s="70">
        <v>0</v>
      </c>
      <c r="VLM129" s="70">
        <v>0</v>
      </c>
      <c r="VLN129" s="70">
        <v>0</v>
      </c>
      <c r="VLO129" s="70">
        <v>0</v>
      </c>
      <c r="VLP129" s="70">
        <v>0</v>
      </c>
      <c r="VLQ129" s="70">
        <v>0</v>
      </c>
      <c r="VLR129" s="70">
        <v>0</v>
      </c>
      <c r="VLS129" s="70">
        <v>0</v>
      </c>
      <c r="VLT129" s="70">
        <v>0</v>
      </c>
      <c r="VLU129" s="70">
        <v>0</v>
      </c>
      <c r="VLV129" s="70">
        <v>0</v>
      </c>
      <c r="VLW129" s="70">
        <v>0</v>
      </c>
      <c r="VLX129" s="70">
        <v>0</v>
      </c>
      <c r="VLY129" s="70">
        <v>0</v>
      </c>
      <c r="VLZ129" s="70">
        <v>0</v>
      </c>
      <c r="VMA129" s="70">
        <v>0</v>
      </c>
      <c r="VMB129" s="70">
        <v>0</v>
      </c>
      <c r="VMC129" s="70">
        <v>0</v>
      </c>
      <c r="VMD129" s="70">
        <v>0</v>
      </c>
      <c r="VME129" s="70">
        <v>0</v>
      </c>
      <c r="VMF129" s="70">
        <v>0</v>
      </c>
      <c r="VMG129" s="70">
        <v>0</v>
      </c>
      <c r="VMH129" s="70">
        <v>0</v>
      </c>
      <c r="VMI129" s="70">
        <v>0</v>
      </c>
      <c r="VMJ129" s="70">
        <v>0</v>
      </c>
      <c r="VMK129" s="70">
        <v>0</v>
      </c>
      <c r="VML129" s="70">
        <v>0</v>
      </c>
      <c r="VMM129" s="70">
        <v>0</v>
      </c>
      <c r="VMN129" s="70">
        <v>0</v>
      </c>
      <c r="VMO129" s="70">
        <v>0</v>
      </c>
      <c r="VMP129" s="70">
        <v>0</v>
      </c>
      <c r="VMQ129" s="70">
        <v>0</v>
      </c>
      <c r="VMR129" s="70">
        <v>0</v>
      </c>
      <c r="VMS129" s="70">
        <v>0</v>
      </c>
      <c r="VMT129" s="70">
        <v>0</v>
      </c>
      <c r="VMU129" s="70">
        <v>0</v>
      </c>
      <c r="VMV129" s="70">
        <v>0</v>
      </c>
      <c r="VMW129" s="70">
        <v>0</v>
      </c>
      <c r="VMX129" s="70">
        <v>0</v>
      </c>
      <c r="VMY129" s="70">
        <v>0</v>
      </c>
      <c r="VMZ129" s="70">
        <v>0</v>
      </c>
      <c r="VNA129" s="70">
        <v>0</v>
      </c>
      <c r="VNB129" s="70">
        <v>0</v>
      </c>
      <c r="VNC129" s="70">
        <v>0</v>
      </c>
      <c r="VND129" s="70">
        <v>0</v>
      </c>
      <c r="VNE129" s="70">
        <v>0</v>
      </c>
      <c r="VNF129" s="70">
        <v>0</v>
      </c>
      <c r="VNG129" s="70">
        <v>0</v>
      </c>
      <c r="VNH129" s="70">
        <v>0</v>
      </c>
      <c r="VNI129" s="70">
        <v>0</v>
      </c>
      <c r="VNJ129" s="70">
        <v>0</v>
      </c>
      <c r="VNK129" s="70">
        <v>0</v>
      </c>
      <c r="VNL129" s="70">
        <v>0</v>
      </c>
      <c r="VNM129" s="70">
        <v>0</v>
      </c>
      <c r="VNN129" s="70">
        <v>0</v>
      </c>
      <c r="VNO129" s="70">
        <v>0</v>
      </c>
      <c r="VNP129" s="70">
        <v>0</v>
      </c>
      <c r="VNQ129" s="70">
        <v>0</v>
      </c>
      <c r="VNR129" s="70">
        <v>0</v>
      </c>
      <c r="VNS129" s="70">
        <v>0</v>
      </c>
      <c r="VNT129" s="70">
        <v>0</v>
      </c>
      <c r="VNU129" s="70">
        <v>0</v>
      </c>
      <c r="VNV129" s="70">
        <v>0</v>
      </c>
      <c r="VNW129" s="70">
        <v>0</v>
      </c>
      <c r="VNX129" s="70">
        <v>0</v>
      </c>
      <c r="VNY129" s="70">
        <v>0</v>
      </c>
      <c r="VNZ129" s="70">
        <v>0</v>
      </c>
      <c r="VOA129" s="70">
        <v>0</v>
      </c>
      <c r="VOB129" s="70">
        <v>0</v>
      </c>
      <c r="VOC129" s="70">
        <v>0</v>
      </c>
      <c r="VOD129" s="70">
        <v>0</v>
      </c>
      <c r="VOE129" s="70">
        <v>0</v>
      </c>
      <c r="VOF129" s="70">
        <v>0</v>
      </c>
      <c r="VOG129" s="70">
        <v>0</v>
      </c>
      <c r="VOH129" s="70">
        <v>0</v>
      </c>
      <c r="VOI129" s="70">
        <v>0</v>
      </c>
      <c r="VOJ129" s="70">
        <v>0</v>
      </c>
      <c r="VOK129" s="70">
        <v>0</v>
      </c>
      <c r="VOL129" s="70">
        <v>0</v>
      </c>
      <c r="VOM129" s="70">
        <v>0</v>
      </c>
      <c r="VON129" s="70">
        <v>0</v>
      </c>
      <c r="VOO129" s="70">
        <v>0</v>
      </c>
      <c r="VOP129" s="70">
        <v>0</v>
      </c>
      <c r="VOQ129" s="70">
        <v>0</v>
      </c>
      <c r="VOR129" s="70">
        <v>0</v>
      </c>
      <c r="VOS129" s="70">
        <v>0</v>
      </c>
      <c r="VOT129" s="70">
        <v>0</v>
      </c>
      <c r="VOU129" s="70">
        <v>0</v>
      </c>
      <c r="VOV129" s="70">
        <v>0</v>
      </c>
      <c r="VOW129" s="70">
        <v>0</v>
      </c>
      <c r="VOX129" s="70">
        <v>0</v>
      </c>
      <c r="VOY129" s="70">
        <v>0</v>
      </c>
      <c r="VOZ129" s="70">
        <v>0</v>
      </c>
      <c r="VPA129" s="70">
        <v>0</v>
      </c>
      <c r="VPB129" s="70">
        <v>0</v>
      </c>
      <c r="VPC129" s="70">
        <v>0</v>
      </c>
      <c r="VPD129" s="70">
        <v>0</v>
      </c>
      <c r="VPE129" s="70">
        <v>0</v>
      </c>
      <c r="VPF129" s="70">
        <v>0</v>
      </c>
      <c r="VPG129" s="70">
        <v>0</v>
      </c>
      <c r="VPH129" s="70">
        <v>0</v>
      </c>
      <c r="VPI129" s="70">
        <v>0</v>
      </c>
      <c r="VPJ129" s="70">
        <v>0</v>
      </c>
      <c r="VPK129" s="70">
        <v>0</v>
      </c>
      <c r="VPL129" s="70">
        <v>0</v>
      </c>
      <c r="VPM129" s="70">
        <v>0</v>
      </c>
      <c r="VPN129" s="70">
        <v>0</v>
      </c>
      <c r="VPO129" s="70">
        <v>0</v>
      </c>
      <c r="VPP129" s="70">
        <v>0</v>
      </c>
      <c r="VPQ129" s="70">
        <v>0</v>
      </c>
      <c r="VPR129" s="70">
        <v>0</v>
      </c>
      <c r="VPS129" s="70">
        <v>0</v>
      </c>
      <c r="VPT129" s="70">
        <v>0</v>
      </c>
      <c r="VPU129" s="70">
        <v>0</v>
      </c>
      <c r="VPV129" s="70">
        <v>0</v>
      </c>
      <c r="VPW129" s="70">
        <v>0</v>
      </c>
      <c r="VPX129" s="70">
        <v>0</v>
      </c>
      <c r="VPY129" s="70">
        <v>0</v>
      </c>
      <c r="VPZ129" s="70">
        <v>0</v>
      </c>
      <c r="VQA129" s="70">
        <v>0</v>
      </c>
      <c r="VQB129" s="70">
        <v>0</v>
      </c>
      <c r="VQC129" s="70">
        <v>0</v>
      </c>
      <c r="VQD129" s="70">
        <v>0</v>
      </c>
      <c r="VQE129" s="70">
        <v>0</v>
      </c>
      <c r="VQF129" s="70">
        <v>0</v>
      </c>
      <c r="VQG129" s="70">
        <v>0</v>
      </c>
      <c r="VQH129" s="70">
        <v>0</v>
      </c>
      <c r="VQI129" s="70">
        <v>0</v>
      </c>
      <c r="VQJ129" s="70">
        <v>0</v>
      </c>
      <c r="VQK129" s="70">
        <v>0</v>
      </c>
      <c r="VQL129" s="70">
        <v>0</v>
      </c>
      <c r="VQM129" s="70">
        <v>0</v>
      </c>
      <c r="VQN129" s="70">
        <v>0</v>
      </c>
      <c r="VQO129" s="70">
        <v>0</v>
      </c>
      <c r="VQP129" s="70">
        <v>0</v>
      </c>
      <c r="VQQ129" s="70">
        <v>0</v>
      </c>
      <c r="VQR129" s="70">
        <v>0</v>
      </c>
      <c r="VQS129" s="70">
        <v>0</v>
      </c>
      <c r="VQT129" s="70">
        <v>0</v>
      </c>
      <c r="VQU129" s="70">
        <v>0</v>
      </c>
      <c r="VQV129" s="70">
        <v>0</v>
      </c>
      <c r="VQW129" s="70">
        <v>0</v>
      </c>
      <c r="VQX129" s="70">
        <v>0</v>
      </c>
      <c r="VQY129" s="70">
        <v>0</v>
      </c>
      <c r="VQZ129" s="70">
        <v>0</v>
      </c>
      <c r="VRA129" s="70">
        <v>0</v>
      </c>
      <c r="VRB129" s="70">
        <v>0</v>
      </c>
      <c r="VRC129" s="70">
        <v>0</v>
      </c>
      <c r="VRD129" s="70">
        <v>0</v>
      </c>
      <c r="VRE129" s="70">
        <v>0</v>
      </c>
      <c r="VRF129" s="70">
        <v>0</v>
      </c>
      <c r="VRG129" s="70">
        <v>0</v>
      </c>
      <c r="VRH129" s="70">
        <v>0</v>
      </c>
      <c r="VRI129" s="70">
        <v>0</v>
      </c>
      <c r="VRJ129" s="70">
        <v>0</v>
      </c>
      <c r="VRK129" s="70">
        <v>0</v>
      </c>
      <c r="VRL129" s="70">
        <v>0</v>
      </c>
      <c r="VRM129" s="70">
        <v>0</v>
      </c>
      <c r="VRN129" s="70">
        <v>0</v>
      </c>
      <c r="VRO129" s="70">
        <v>0</v>
      </c>
      <c r="VRP129" s="70">
        <v>0</v>
      </c>
      <c r="VRQ129" s="70">
        <v>0</v>
      </c>
      <c r="VRR129" s="70">
        <v>0</v>
      </c>
      <c r="VRS129" s="70">
        <v>0</v>
      </c>
      <c r="VRT129" s="70">
        <v>0</v>
      </c>
      <c r="VRU129" s="70">
        <v>0</v>
      </c>
      <c r="VRV129" s="70">
        <v>0</v>
      </c>
      <c r="VRW129" s="70">
        <v>0</v>
      </c>
      <c r="VRX129" s="70">
        <v>0</v>
      </c>
      <c r="VRY129" s="70">
        <v>0</v>
      </c>
      <c r="VRZ129" s="70">
        <v>0</v>
      </c>
      <c r="VSA129" s="70">
        <v>0</v>
      </c>
      <c r="VSB129" s="70">
        <v>0</v>
      </c>
      <c r="VSC129" s="70">
        <v>0</v>
      </c>
      <c r="VSD129" s="70">
        <v>0</v>
      </c>
      <c r="VSE129" s="70">
        <v>0</v>
      </c>
      <c r="VSF129" s="70">
        <v>0</v>
      </c>
      <c r="VSG129" s="70">
        <v>0</v>
      </c>
      <c r="VSH129" s="70">
        <v>0</v>
      </c>
      <c r="VSI129" s="70">
        <v>0</v>
      </c>
      <c r="VSJ129" s="70">
        <v>0</v>
      </c>
      <c r="VSK129" s="70">
        <v>0</v>
      </c>
      <c r="VSL129" s="70">
        <v>0</v>
      </c>
      <c r="VSM129" s="70">
        <v>0</v>
      </c>
      <c r="VSN129" s="70">
        <v>0</v>
      </c>
      <c r="VSO129" s="70">
        <v>0</v>
      </c>
      <c r="VSP129" s="70">
        <v>0</v>
      </c>
      <c r="VSQ129" s="70">
        <v>0</v>
      </c>
      <c r="VSR129" s="70">
        <v>0</v>
      </c>
      <c r="VSS129" s="70">
        <v>0</v>
      </c>
      <c r="VST129" s="70">
        <v>0</v>
      </c>
      <c r="VSU129" s="70">
        <v>0</v>
      </c>
      <c r="VSV129" s="70">
        <v>0</v>
      </c>
      <c r="VSW129" s="70">
        <v>0</v>
      </c>
      <c r="VSX129" s="70">
        <v>0</v>
      </c>
      <c r="VSY129" s="70">
        <v>0</v>
      </c>
      <c r="VSZ129" s="70">
        <v>0</v>
      </c>
      <c r="VTA129" s="70">
        <v>0</v>
      </c>
      <c r="VTB129" s="70">
        <v>0</v>
      </c>
      <c r="VTC129" s="70">
        <v>0</v>
      </c>
      <c r="VTD129" s="70">
        <v>0</v>
      </c>
      <c r="VTE129" s="70">
        <v>0</v>
      </c>
      <c r="VTF129" s="70">
        <v>0</v>
      </c>
      <c r="VTG129" s="70">
        <v>0</v>
      </c>
      <c r="VTH129" s="70">
        <v>0</v>
      </c>
      <c r="VTI129" s="70">
        <v>0</v>
      </c>
      <c r="VTJ129" s="70">
        <v>0</v>
      </c>
      <c r="VTK129" s="70">
        <v>0</v>
      </c>
      <c r="VTL129" s="70">
        <v>0</v>
      </c>
      <c r="VTM129" s="70">
        <v>0</v>
      </c>
      <c r="VTN129" s="70">
        <v>0</v>
      </c>
      <c r="VTO129" s="70">
        <v>0</v>
      </c>
      <c r="VTP129" s="70">
        <v>0</v>
      </c>
      <c r="VTQ129" s="70">
        <v>0</v>
      </c>
      <c r="VTR129" s="70">
        <v>0</v>
      </c>
      <c r="VTS129" s="70">
        <v>0</v>
      </c>
      <c r="VTT129" s="70">
        <v>0</v>
      </c>
      <c r="VTU129" s="70">
        <v>0</v>
      </c>
      <c r="VTV129" s="70">
        <v>0</v>
      </c>
      <c r="VTW129" s="70">
        <v>0</v>
      </c>
      <c r="VTX129" s="70">
        <v>0</v>
      </c>
      <c r="VTY129" s="70">
        <v>0</v>
      </c>
      <c r="VTZ129" s="70">
        <v>0</v>
      </c>
      <c r="VUA129" s="70">
        <v>0</v>
      </c>
      <c r="VUB129" s="70">
        <v>0</v>
      </c>
      <c r="VUC129" s="70">
        <v>0</v>
      </c>
      <c r="VUD129" s="70">
        <v>0</v>
      </c>
      <c r="VUE129" s="70">
        <v>0</v>
      </c>
      <c r="VUF129" s="70">
        <v>0</v>
      </c>
      <c r="VUG129" s="70">
        <v>0</v>
      </c>
      <c r="VUH129" s="70">
        <v>0</v>
      </c>
      <c r="VUI129" s="70">
        <v>0</v>
      </c>
      <c r="VUJ129" s="70">
        <v>0</v>
      </c>
      <c r="VUK129" s="70">
        <v>0</v>
      </c>
      <c r="VUL129" s="70">
        <v>0</v>
      </c>
      <c r="VUM129" s="70">
        <v>0</v>
      </c>
      <c r="VUN129" s="70">
        <v>0</v>
      </c>
      <c r="VUO129" s="70">
        <v>0</v>
      </c>
      <c r="VUP129" s="70">
        <v>0</v>
      </c>
      <c r="VUQ129" s="70">
        <v>0</v>
      </c>
      <c r="VUR129" s="70">
        <v>0</v>
      </c>
      <c r="VUS129" s="70">
        <v>0</v>
      </c>
      <c r="VUT129" s="70">
        <v>0</v>
      </c>
      <c r="VUU129" s="70">
        <v>0</v>
      </c>
      <c r="VUV129" s="70">
        <v>0</v>
      </c>
      <c r="VUW129" s="70">
        <v>0</v>
      </c>
      <c r="VUX129" s="70">
        <v>0</v>
      </c>
      <c r="VUY129" s="70">
        <v>0</v>
      </c>
      <c r="VUZ129" s="70">
        <v>0</v>
      </c>
      <c r="VVA129" s="70">
        <v>0</v>
      </c>
      <c r="VVB129" s="70">
        <v>0</v>
      </c>
      <c r="VVC129" s="70">
        <v>0</v>
      </c>
      <c r="VVD129" s="70">
        <v>0</v>
      </c>
      <c r="VVE129" s="70">
        <v>0</v>
      </c>
      <c r="VVF129" s="70">
        <v>0</v>
      </c>
      <c r="VVG129" s="70">
        <v>0</v>
      </c>
      <c r="VVH129" s="70">
        <v>0</v>
      </c>
      <c r="VVI129" s="70">
        <v>0</v>
      </c>
      <c r="VVJ129" s="70">
        <v>0</v>
      </c>
      <c r="VVK129" s="70">
        <v>0</v>
      </c>
      <c r="VVL129" s="70">
        <v>0</v>
      </c>
      <c r="VVM129" s="70">
        <v>0</v>
      </c>
      <c r="VVN129" s="70">
        <v>0</v>
      </c>
      <c r="VVO129" s="70">
        <v>0</v>
      </c>
      <c r="VVP129" s="70">
        <v>0</v>
      </c>
      <c r="VVQ129" s="70">
        <v>0</v>
      </c>
      <c r="VVR129" s="70">
        <v>0</v>
      </c>
      <c r="VVS129" s="70">
        <v>0</v>
      </c>
      <c r="VVT129" s="70">
        <v>0</v>
      </c>
      <c r="VVU129" s="70">
        <v>0</v>
      </c>
      <c r="VVV129" s="70">
        <v>0</v>
      </c>
      <c r="VVW129" s="70">
        <v>0</v>
      </c>
      <c r="VVX129" s="70">
        <v>0</v>
      </c>
      <c r="VVY129" s="70">
        <v>0</v>
      </c>
      <c r="VVZ129" s="70">
        <v>0</v>
      </c>
      <c r="VWA129" s="70">
        <v>0</v>
      </c>
      <c r="VWB129" s="70">
        <v>0</v>
      </c>
      <c r="VWC129" s="70">
        <v>0</v>
      </c>
      <c r="VWD129" s="70">
        <v>0</v>
      </c>
      <c r="VWE129" s="70">
        <v>0</v>
      </c>
      <c r="VWF129" s="70">
        <v>0</v>
      </c>
      <c r="VWG129" s="70">
        <v>0</v>
      </c>
      <c r="VWH129" s="70">
        <v>0</v>
      </c>
      <c r="VWI129" s="70">
        <v>0</v>
      </c>
      <c r="VWJ129" s="70">
        <v>0</v>
      </c>
      <c r="VWK129" s="70">
        <v>0</v>
      </c>
      <c r="VWL129" s="70">
        <v>0</v>
      </c>
      <c r="VWM129" s="70">
        <v>0</v>
      </c>
      <c r="VWN129" s="70">
        <v>0</v>
      </c>
      <c r="VWO129" s="70">
        <v>0</v>
      </c>
      <c r="VWP129" s="70">
        <v>0</v>
      </c>
      <c r="VWQ129" s="70">
        <v>0</v>
      </c>
      <c r="VWR129" s="70">
        <v>0</v>
      </c>
      <c r="VWS129" s="70">
        <v>0</v>
      </c>
      <c r="VWT129" s="70">
        <v>0</v>
      </c>
      <c r="VWU129" s="70">
        <v>0</v>
      </c>
      <c r="VWV129" s="70">
        <v>0</v>
      </c>
      <c r="VWW129" s="70">
        <v>0</v>
      </c>
      <c r="VWX129" s="70">
        <v>0</v>
      </c>
      <c r="VWY129" s="70">
        <v>0</v>
      </c>
      <c r="VWZ129" s="70">
        <v>0</v>
      </c>
      <c r="VXA129" s="70">
        <v>0</v>
      </c>
      <c r="VXB129" s="70">
        <v>0</v>
      </c>
      <c r="VXC129" s="70">
        <v>0</v>
      </c>
      <c r="VXD129" s="70">
        <v>0</v>
      </c>
      <c r="VXE129" s="70">
        <v>0</v>
      </c>
      <c r="VXF129" s="70">
        <v>0</v>
      </c>
      <c r="VXG129" s="70">
        <v>0</v>
      </c>
      <c r="VXH129" s="70">
        <v>0</v>
      </c>
      <c r="VXI129" s="70">
        <v>0</v>
      </c>
      <c r="VXJ129" s="70">
        <v>0</v>
      </c>
      <c r="VXK129" s="70">
        <v>0</v>
      </c>
      <c r="VXL129" s="70">
        <v>0</v>
      </c>
      <c r="VXM129" s="70">
        <v>0</v>
      </c>
      <c r="VXN129" s="70">
        <v>0</v>
      </c>
      <c r="VXO129" s="70">
        <v>0</v>
      </c>
      <c r="VXP129" s="70">
        <v>0</v>
      </c>
      <c r="VXQ129" s="70">
        <v>0</v>
      </c>
      <c r="VXR129" s="70">
        <v>0</v>
      </c>
      <c r="VXS129" s="70">
        <v>0</v>
      </c>
      <c r="VXT129" s="70">
        <v>0</v>
      </c>
      <c r="VXU129" s="70">
        <v>0</v>
      </c>
      <c r="VXV129" s="70">
        <v>0</v>
      </c>
      <c r="VXW129" s="70">
        <v>0</v>
      </c>
      <c r="VXX129" s="70">
        <v>0</v>
      </c>
      <c r="VXY129" s="70">
        <v>0</v>
      </c>
      <c r="VXZ129" s="70">
        <v>0</v>
      </c>
      <c r="VYA129" s="70">
        <v>0</v>
      </c>
      <c r="VYB129" s="70">
        <v>0</v>
      </c>
      <c r="VYC129" s="70">
        <v>0</v>
      </c>
      <c r="VYD129" s="70">
        <v>0</v>
      </c>
      <c r="VYE129" s="70">
        <v>0</v>
      </c>
      <c r="VYF129" s="70">
        <v>0</v>
      </c>
      <c r="VYG129" s="70">
        <v>0</v>
      </c>
      <c r="VYH129" s="70">
        <v>0</v>
      </c>
      <c r="VYI129" s="70">
        <v>0</v>
      </c>
      <c r="VYJ129" s="70">
        <v>0</v>
      </c>
      <c r="VYK129" s="70">
        <v>0</v>
      </c>
      <c r="VYL129" s="70">
        <v>0</v>
      </c>
      <c r="VYM129" s="70">
        <v>0</v>
      </c>
      <c r="VYN129" s="70">
        <v>0</v>
      </c>
      <c r="VYO129" s="70">
        <v>0</v>
      </c>
      <c r="VYP129" s="70">
        <v>0</v>
      </c>
      <c r="VYQ129" s="70">
        <v>0</v>
      </c>
      <c r="VYR129" s="70">
        <v>0</v>
      </c>
      <c r="VYS129" s="70">
        <v>0</v>
      </c>
      <c r="VYT129" s="70">
        <v>0</v>
      </c>
      <c r="VYU129" s="70">
        <v>0</v>
      </c>
      <c r="VYV129" s="70">
        <v>0</v>
      </c>
      <c r="VYW129" s="70">
        <v>0</v>
      </c>
      <c r="VYX129" s="70">
        <v>0</v>
      </c>
      <c r="VYY129" s="70">
        <v>0</v>
      </c>
      <c r="VYZ129" s="70">
        <v>0</v>
      </c>
      <c r="VZA129" s="70">
        <v>0</v>
      </c>
      <c r="VZB129" s="70">
        <v>0</v>
      </c>
      <c r="VZC129" s="70">
        <v>0</v>
      </c>
      <c r="VZD129" s="70">
        <v>0</v>
      </c>
      <c r="VZE129" s="70">
        <v>0</v>
      </c>
      <c r="VZF129" s="70">
        <v>0</v>
      </c>
      <c r="VZG129" s="70">
        <v>0</v>
      </c>
      <c r="VZH129" s="70">
        <v>0</v>
      </c>
      <c r="VZI129" s="70">
        <v>0</v>
      </c>
      <c r="VZJ129" s="70">
        <v>0</v>
      </c>
      <c r="VZK129" s="70">
        <v>0</v>
      </c>
      <c r="VZL129" s="70">
        <v>0</v>
      </c>
      <c r="VZM129" s="70">
        <v>0</v>
      </c>
      <c r="VZN129" s="70">
        <v>0</v>
      </c>
      <c r="VZO129" s="70">
        <v>0</v>
      </c>
      <c r="VZP129" s="70">
        <v>0</v>
      </c>
      <c r="VZQ129" s="70">
        <v>0</v>
      </c>
      <c r="VZR129" s="70">
        <v>0</v>
      </c>
      <c r="VZS129" s="70">
        <v>0</v>
      </c>
      <c r="VZT129" s="70">
        <v>0</v>
      </c>
      <c r="VZU129" s="70">
        <v>0</v>
      </c>
      <c r="VZV129" s="70">
        <v>0</v>
      </c>
      <c r="VZW129" s="70">
        <v>0</v>
      </c>
      <c r="VZX129" s="70">
        <v>0</v>
      </c>
      <c r="VZY129" s="70">
        <v>0</v>
      </c>
      <c r="VZZ129" s="70">
        <v>0</v>
      </c>
      <c r="WAA129" s="70">
        <v>0</v>
      </c>
      <c r="WAB129" s="70">
        <v>0</v>
      </c>
      <c r="WAC129" s="70">
        <v>0</v>
      </c>
      <c r="WAD129" s="70">
        <v>0</v>
      </c>
      <c r="WAE129" s="70">
        <v>0</v>
      </c>
      <c r="WAF129" s="70">
        <v>0</v>
      </c>
      <c r="WAG129" s="70">
        <v>0</v>
      </c>
      <c r="WAH129" s="70">
        <v>0</v>
      </c>
      <c r="WAI129" s="70">
        <v>0</v>
      </c>
      <c r="WAJ129" s="70">
        <v>0</v>
      </c>
      <c r="WAK129" s="70">
        <v>0</v>
      </c>
      <c r="WAL129" s="70">
        <v>0</v>
      </c>
      <c r="WAM129" s="70">
        <v>0</v>
      </c>
      <c r="WAN129" s="70">
        <v>0</v>
      </c>
      <c r="WAO129" s="70">
        <v>0</v>
      </c>
      <c r="WAP129" s="70">
        <v>0</v>
      </c>
      <c r="WAQ129" s="70">
        <v>0</v>
      </c>
      <c r="WAR129" s="70">
        <v>0</v>
      </c>
      <c r="WAS129" s="70">
        <v>0</v>
      </c>
      <c r="WAT129" s="70">
        <v>0</v>
      </c>
      <c r="WAU129" s="70">
        <v>0</v>
      </c>
      <c r="WAV129" s="70">
        <v>0</v>
      </c>
      <c r="WAW129" s="70">
        <v>0</v>
      </c>
      <c r="WAX129" s="70">
        <v>0</v>
      </c>
      <c r="WAY129" s="70">
        <v>0</v>
      </c>
      <c r="WAZ129" s="70">
        <v>0</v>
      </c>
      <c r="WBA129" s="70">
        <v>0</v>
      </c>
      <c r="WBB129" s="70">
        <v>0</v>
      </c>
      <c r="WBC129" s="70">
        <v>0</v>
      </c>
      <c r="WBD129" s="70">
        <v>0</v>
      </c>
      <c r="WBE129" s="70">
        <v>0</v>
      </c>
      <c r="WBF129" s="70">
        <v>0</v>
      </c>
      <c r="WBG129" s="70">
        <v>0</v>
      </c>
      <c r="WBH129" s="70">
        <v>0</v>
      </c>
      <c r="WBI129" s="70">
        <v>0</v>
      </c>
      <c r="WBJ129" s="70">
        <v>0</v>
      </c>
      <c r="WBK129" s="70">
        <v>0</v>
      </c>
      <c r="WBL129" s="70">
        <v>0</v>
      </c>
      <c r="WBM129" s="70">
        <v>0</v>
      </c>
      <c r="WBN129" s="70">
        <v>0</v>
      </c>
      <c r="WBO129" s="70">
        <v>0</v>
      </c>
      <c r="WBP129" s="70">
        <v>0</v>
      </c>
      <c r="WBQ129" s="70">
        <v>0</v>
      </c>
      <c r="WBR129" s="70">
        <v>0</v>
      </c>
      <c r="WBS129" s="70">
        <v>0</v>
      </c>
      <c r="WBT129" s="70">
        <v>0</v>
      </c>
      <c r="WBU129" s="70">
        <v>0</v>
      </c>
      <c r="WBV129" s="70">
        <v>0</v>
      </c>
      <c r="WBW129" s="70">
        <v>0</v>
      </c>
      <c r="WBX129" s="70">
        <v>0</v>
      </c>
      <c r="WBY129" s="70">
        <v>0</v>
      </c>
      <c r="WBZ129" s="70">
        <v>0</v>
      </c>
      <c r="WCA129" s="70">
        <v>0</v>
      </c>
      <c r="WCB129" s="70">
        <v>0</v>
      </c>
      <c r="WCC129" s="70">
        <v>0</v>
      </c>
      <c r="WCD129" s="70">
        <v>0</v>
      </c>
      <c r="WCE129" s="70">
        <v>0</v>
      </c>
      <c r="WCF129" s="70">
        <v>0</v>
      </c>
      <c r="WCG129" s="70">
        <v>0</v>
      </c>
      <c r="WCH129" s="70">
        <v>0</v>
      </c>
      <c r="WCI129" s="70">
        <v>0</v>
      </c>
      <c r="WCJ129" s="70">
        <v>0</v>
      </c>
      <c r="WCK129" s="70">
        <v>0</v>
      </c>
      <c r="WCL129" s="70">
        <v>0</v>
      </c>
      <c r="WCM129" s="70">
        <v>0</v>
      </c>
      <c r="WCN129" s="70">
        <v>0</v>
      </c>
      <c r="WCO129" s="70">
        <v>0</v>
      </c>
      <c r="WCP129" s="70">
        <v>0</v>
      </c>
      <c r="WCQ129" s="70">
        <v>0</v>
      </c>
      <c r="WCR129" s="70">
        <v>0</v>
      </c>
      <c r="WCS129" s="70">
        <v>0</v>
      </c>
      <c r="WCT129" s="70">
        <v>0</v>
      </c>
      <c r="WCU129" s="70">
        <v>0</v>
      </c>
      <c r="WCV129" s="70">
        <v>0</v>
      </c>
      <c r="WCW129" s="70">
        <v>0</v>
      </c>
      <c r="WCX129" s="70">
        <v>0</v>
      </c>
      <c r="WCY129" s="70">
        <v>0</v>
      </c>
      <c r="WCZ129" s="70">
        <v>0</v>
      </c>
      <c r="WDA129" s="70">
        <v>0</v>
      </c>
      <c r="WDB129" s="70">
        <v>0</v>
      </c>
      <c r="WDC129" s="70">
        <v>0</v>
      </c>
      <c r="WDD129" s="70">
        <v>0</v>
      </c>
      <c r="WDE129" s="70">
        <v>0</v>
      </c>
      <c r="WDF129" s="70">
        <v>0</v>
      </c>
      <c r="WDG129" s="70">
        <v>0</v>
      </c>
      <c r="WDH129" s="70">
        <v>0</v>
      </c>
      <c r="WDI129" s="70">
        <v>0</v>
      </c>
      <c r="WDJ129" s="70">
        <v>0</v>
      </c>
      <c r="WDK129" s="70">
        <v>0</v>
      </c>
      <c r="WDL129" s="70">
        <v>0</v>
      </c>
      <c r="WDM129" s="70">
        <v>0</v>
      </c>
      <c r="WDN129" s="70">
        <v>0</v>
      </c>
      <c r="WDO129" s="70">
        <v>0</v>
      </c>
      <c r="WDP129" s="70">
        <v>0</v>
      </c>
      <c r="WDQ129" s="70">
        <v>0</v>
      </c>
      <c r="WDR129" s="70">
        <v>0</v>
      </c>
      <c r="WDS129" s="70">
        <v>0</v>
      </c>
      <c r="WDT129" s="70">
        <v>0</v>
      </c>
      <c r="WDU129" s="70">
        <v>0</v>
      </c>
      <c r="WDV129" s="70">
        <v>0</v>
      </c>
      <c r="WDW129" s="70">
        <v>0</v>
      </c>
      <c r="WDX129" s="70">
        <v>0</v>
      </c>
      <c r="WDY129" s="70">
        <v>0</v>
      </c>
      <c r="WDZ129" s="70">
        <v>0</v>
      </c>
      <c r="WEA129" s="70">
        <v>0</v>
      </c>
      <c r="WEB129" s="70">
        <v>0</v>
      </c>
      <c r="WEC129" s="70">
        <v>0</v>
      </c>
      <c r="WED129" s="70">
        <v>0</v>
      </c>
      <c r="WEE129" s="70">
        <v>0</v>
      </c>
      <c r="WEF129" s="70">
        <v>0</v>
      </c>
      <c r="WEG129" s="70">
        <v>0</v>
      </c>
      <c r="WEH129" s="70">
        <v>0</v>
      </c>
      <c r="WEI129" s="70">
        <v>0</v>
      </c>
      <c r="WEJ129" s="70">
        <v>0</v>
      </c>
      <c r="WEK129" s="70">
        <v>0</v>
      </c>
      <c r="WEL129" s="70">
        <v>0</v>
      </c>
      <c r="WEM129" s="70">
        <v>0</v>
      </c>
      <c r="WEN129" s="70">
        <v>0</v>
      </c>
      <c r="WEO129" s="70">
        <v>0</v>
      </c>
      <c r="WEP129" s="70">
        <v>0</v>
      </c>
      <c r="WEQ129" s="70">
        <v>0</v>
      </c>
      <c r="WER129" s="70">
        <v>0</v>
      </c>
      <c r="WES129" s="70">
        <v>0</v>
      </c>
      <c r="WET129" s="70">
        <v>0</v>
      </c>
      <c r="WEU129" s="70">
        <v>0</v>
      </c>
      <c r="WEV129" s="70">
        <v>0</v>
      </c>
      <c r="WEW129" s="70">
        <v>0</v>
      </c>
      <c r="WEX129" s="70">
        <v>0</v>
      </c>
      <c r="WEY129" s="70">
        <v>0</v>
      </c>
      <c r="WEZ129" s="70">
        <v>0</v>
      </c>
      <c r="WFA129" s="70">
        <v>0</v>
      </c>
      <c r="WFB129" s="70">
        <v>0</v>
      </c>
      <c r="WFC129" s="70">
        <v>0</v>
      </c>
      <c r="WFD129" s="70">
        <v>0</v>
      </c>
      <c r="WFE129" s="70">
        <v>0</v>
      </c>
      <c r="WFF129" s="70">
        <v>0</v>
      </c>
      <c r="WFG129" s="70">
        <v>0</v>
      </c>
      <c r="WFH129" s="70">
        <v>0</v>
      </c>
      <c r="WFI129" s="70">
        <v>0</v>
      </c>
      <c r="WFJ129" s="70">
        <v>0</v>
      </c>
      <c r="WFK129" s="70">
        <v>0</v>
      </c>
      <c r="WFL129" s="70">
        <v>0</v>
      </c>
      <c r="WFM129" s="70">
        <v>0</v>
      </c>
      <c r="WFN129" s="70">
        <v>0</v>
      </c>
      <c r="WFO129" s="70">
        <v>0</v>
      </c>
      <c r="WFP129" s="70">
        <v>0</v>
      </c>
      <c r="WFQ129" s="70">
        <v>0</v>
      </c>
      <c r="WFR129" s="70">
        <v>0</v>
      </c>
      <c r="WFS129" s="70">
        <v>0</v>
      </c>
      <c r="WFT129" s="70">
        <v>0</v>
      </c>
      <c r="WFU129" s="70">
        <v>0</v>
      </c>
      <c r="WFV129" s="70">
        <v>0</v>
      </c>
      <c r="WFW129" s="70">
        <v>0</v>
      </c>
      <c r="WFX129" s="70">
        <v>0</v>
      </c>
      <c r="WFY129" s="70">
        <v>0</v>
      </c>
      <c r="WFZ129" s="70">
        <v>0</v>
      </c>
      <c r="WGA129" s="70">
        <v>0</v>
      </c>
      <c r="WGB129" s="70">
        <v>0</v>
      </c>
      <c r="WGC129" s="70">
        <v>0</v>
      </c>
      <c r="WGD129" s="70">
        <v>0</v>
      </c>
      <c r="WGE129" s="70">
        <v>0</v>
      </c>
      <c r="WGF129" s="70">
        <v>0</v>
      </c>
      <c r="WGG129" s="70">
        <v>0</v>
      </c>
      <c r="WGH129" s="70">
        <v>0</v>
      </c>
      <c r="WGI129" s="70">
        <v>0</v>
      </c>
      <c r="WGJ129" s="70">
        <v>0</v>
      </c>
      <c r="WGK129" s="70">
        <v>0</v>
      </c>
      <c r="WGL129" s="70">
        <v>0</v>
      </c>
      <c r="WGM129" s="70">
        <v>0</v>
      </c>
      <c r="WGN129" s="70">
        <v>0</v>
      </c>
      <c r="WGO129" s="70">
        <v>0</v>
      </c>
      <c r="WGP129" s="70">
        <v>0</v>
      </c>
      <c r="WGQ129" s="70">
        <v>0</v>
      </c>
      <c r="WGR129" s="70">
        <v>0</v>
      </c>
      <c r="WGS129" s="70">
        <v>0</v>
      </c>
      <c r="WGT129" s="70">
        <v>0</v>
      </c>
      <c r="WGU129" s="70">
        <v>0</v>
      </c>
      <c r="WGV129" s="70">
        <v>0</v>
      </c>
      <c r="WGW129" s="70">
        <v>0</v>
      </c>
      <c r="WGX129" s="70">
        <v>0</v>
      </c>
      <c r="WGY129" s="70">
        <v>0</v>
      </c>
      <c r="WGZ129" s="70">
        <v>0</v>
      </c>
      <c r="WHA129" s="70">
        <v>0</v>
      </c>
      <c r="WHB129" s="70">
        <v>0</v>
      </c>
      <c r="WHC129" s="70">
        <v>0</v>
      </c>
      <c r="WHD129" s="70">
        <v>0</v>
      </c>
      <c r="WHE129" s="70">
        <v>0</v>
      </c>
      <c r="WHF129" s="70">
        <v>0</v>
      </c>
      <c r="WHG129" s="70">
        <v>0</v>
      </c>
      <c r="WHH129" s="70">
        <v>0</v>
      </c>
      <c r="WHI129" s="70">
        <v>0</v>
      </c>
      <c r="WHJ129" s="70">
        <v>0</v>
      </c>
      <c r="WHK129" s="70">
        <v>0</v>
      </c>
      <c r="WHL129" s="70">
        <v>0</v>
      </c>
      <c r="WHM129" s="70">
        <v>0</v>
      </c>
      <c r="WHN129" s="70">
        <v>0</v>
      </c>
      <c r="WHO129" s="70">
        <v>0</v>
      </c>
      <c r="WHP129" s="70">
        <v>0</v>
      </c>
      <c r="WHQ129" s="70">
        <v>0</v>
      </c>
      <c r="WHR129" s="70">
        <v>0</v>
      </c>
      <c r="WHS129" s="70">
        <v>0</v>
      </c>
      <c r="WHT129" s="70">
        <v>0</v>
      </c>
      <c r="WHU129" s="70">
        <v>0</v>
      </c>
      <c r="WHV129" s="70">
        <v>0</v>
      </c>
      <c r="WHW129" s="70">
        <v>0</v>
      </c>
      <c r="WHX129" s="70">
        <v>0</v>
      </c>
      <c r="WHY129" s="70">
        <v>0</v>
      </c>
      <c r="WHZ129" s="70">
        <v>0</v>
      </c>
      <c r="WIA129" s="70">
        <v>0</v>
      </c>
      <c r="WIB129" s="70">
        <v>0</v>
      </c>
      <c r="WIC129" s="70">
        <v>0</v>
      </c>
      <c r="WID129" s="70">
        <v>0</v>
      </c>
      <c r="WIE129" s="70">
        <v>0</v>
      </c>
      <c r="WIF129" s="70">
        <v>0</v>
      </c>
      <c r="WIG129" s="70">
        <v>0</v>
      </c>
      <c r="WIH129" s="70">
        <v>0</v>
      </c>
      <c r="WII129" s="70">
        <v>0</v>
      </c>
      <c r="WIJ129" s="70">
        <v>0</v>
      </c>
      <c r="WIK129" s="70">
        <v>0</v>
      </c>
      <c r="WIL129" s="70">
        <v>0</v>
      </c>
      <c r="WIM129" s="70">
        <v>0</v>
      </c>
      <c r="WIN129" s="70">
        <v>0</v>
      </c>
      <c r="WIO129" s="70">
        <v>0</v>
      </c>
      <c r="WIP129" s="70">
        <v>0</v>
      </c>
      <c r="WIQ129" s="70">
        <v>0</v>
      </c>
      <c r="WIR129" s="70">
        <v>0</v>
      </c>
      <c r="WIS129" s="70">
        <v>0</v>
      </c>
      <c r="WIT129" s="70">
        <v>0</v>
      </c>
      <c r="WIU129" s="70">
        <v>0</v>
      </c>
      <c r="WIV129" s="70">
        <v>0</v>
      </c>
      <c r="WIW129" s="70">
        <v>0</v>
      </c>
      <c r="WIX129" s="70">
        <v>0</v>
      </c>
      <c r="WIY129" s="70">
        <v>0</v>
      </c>
      <c r="WIZ129" s="70">
        <v>0</v>
      </c>
      <c r="WJA129" s="70">
        <v>0</v>
      </c>
      <c r="WJB129" s="70">
        <v>0</v>
      </c>
      <c r="WJC129" s="70">
        <v>0</v>
      </c>
      <c r="WJD129" s="70">
        <v>0</v>
      </c>
      <c r="WJE129" s="70">
        <v>0</v>
      </c>
      <c r="WJF129" s="70">
        <v>0</v>
      </c>
      <c r="WJG129" s="70">
        <v>0</v>
      </c>
      <c r="WJH129" s="70">
        <v>0</v>
      </c>
      <c r="WJI129" s="70">
        <v>0</v>
      </c>
      <c r="WJJ129" s="70">
        <v>0</v>
      </c>
      <c r="WJK129" s="70">
        <v>0</v>
      </c>
      <c r="WJL129" s="70">
        <v>0</v>
      </c>
      <c r="WJM129" s="70">
        <v>0</v>
      </c>
      <c r="WJN129" s="70">
        <v>0</v>
      </c>
      <c r="WJO129" s="70">
        <v>0</v>
      </c>
      <c r="WJP129" s="70">
        <v>0</v>
      </c>
      <c r="WJQ129" s="70">
        <v>0</v>
      </c>
      <c r="WJR129" s="70">
        <v>0</v>
      </c>
      <c r="WJS129" s="70">
        <v>0</v>
      </c>
      <c r="WJT129" s="70">
        <v>0</v>
      </c>
      <c r="WJU129" s="70">
        <v>0</v>
      </c>
      <c r="WJV129" s="70">
        <v>0</v>
      </c>
      <c r="WJW129" s="70">
        <v>0</v>
      </c>
      <c r="WJX129" s="70">
        <v>0</v>
      </c>
      <c r="WJY129" s="70">
        <v>0</v>
      </c>
      <c r="WJZ129" s="70">
        <v>0</v>
      </c>
      <c r="WKA129" s="70">
        <v>0</v>
      </c>
      <c r="WKB129" s="70">
        <v>0</v>
      </c>
      <c r="WKC129" s="70">
        <v>0</v>
      </c>
      <c r="WKD129" s="70">
        <v>0</v>
      </c>
      <c r="WKE129" s="70">
        <v>0</v>
      </c>
      <c r="WKF129" s="70">
        <v>0</v>
      </c>
      <c r="WKG129" s="70">
        <v>0</v>
      </c>
      <c r="WKH129" s="70">
        <v>0</v>
      </c>
      <c r="WKI129" s="70">
        <v>0</v>
      </c>
      <c r="WKJ129" s="70">
        <v>0</v>
      </c>
      <c r="WKK129" s="70">
        <v>0</v>
      </c>
      <c r="WKL129" s="70">
        <v>0</v>
      </c>
      <c r="WKM129" s="70">
        <v>0</v>
      </c>
      <c r="WKN129" s="70">
        <v>0</v>
      </c>
      <c r="WKO129" s="70">
        <v>0</v>
      </c>
      <c r="WKP129" s="70">
        <v>0</v>
      </c>
      <c r="WKQ129" s="70">
        <v>0</v>
      </c>
      <c r="WKR129" s="70">
        <v>0</v>
      </c>
      <c r="WKS129" s="70">
        <v>0</v>
      </c>
      <c r="WKT129" s="70">
        <v>0</v>
      </c>
      <c r="WKU129" s="70">
        <v>0</v>
      </c>
      <c r="WKV129" s="70">
        <v>0</v>
      </c>
      <c r="WKW129" s="70">
        <v>0</v>
      </c>
      <c r="WKX129" s="70">
        <v>0</v>
      </c>
      <c r="WKY129" s="70">
        <v>0</v>
      </c>
      <c r="WKZ129" s="70">
        <v>0</v>
      </c>
      <c r="WLA129" s="70">
        <v>0</v>
      </c>
      <c r="WLB129" s="70">
        <v>0</v>
      </c>
      <c r="WLC129" s="70">
        <v>0</v>
      </c>
      <c r="WLD129" s="70">
        <v>0</v>
      </c>
      <c r="WLE129" s="70">
        <v>0</v>
      </c>
      <c r="WLF129" s="70">
        <v>0</v>
      </c>
      <c r="WLG129" s="70">
        <v>0</v>
      </c>
      <c r="WLH129" s="70">
        <v>0</v>
      </c>
      <c r="WLI129" s="70">
        <v>0</v>
      </c>
      <c r="WLJ129" s="70">
        <v>0</v>
      </c>
      <c r="WLK129" s="70">
        <v>0</v>
      </c>
      <c r="WLL129" s="70">
        <v>0</v>
      </c>
      <c r="WLM129" s="70">
        <v>0</v>
      </c>
      <c r="WLN129" s="70">
        <v>0</v>
      </c>
      <c r="WLO129" s="70">
        <v>0</v>
      </c>
      <c r="WLP129" s="70">
        <v>0</v>
      </c>
      <c r="WLQ129" s="70">
        <v>0</v>
      </c>
      <c r="WLR129" s="70">
        <v>0</v>
      </c>
      <c r="WLS129" s="70">
        <v>0</v>
      </c>
      <c r="WLT129" s="70">
        <v>0</v>
      </c>
      <c r="WLU129" s="70">
        <v>0</v>
      </c>
      <c r="WLV129" s="70">
        <v>0</v>
      </c>
      <c r="WLW129" s="70">
        <v>0</v>
      </c>
      <c r="WLX129" s="70">
        <v>0</v>
      </c>
      <c r="WLY129" s="70">
        <v>0</v>
      </c>
      <c r="WLZ129" s="70">
        <v>0</v>
      </c>
      <c r="WMA129" s="70">
        <v>0</v>
      </c>
      <c r="WMB129" s="70">
        <v>0</v>
      </c>
      <c r="WMC129" s="70">
        <v>0</v>
      </c>
      <c r="WMD129" s="70">
        <v>0</v>
      </c>
      <c r="WME129" s="70">
        <v>0</v>
      </c>
      <c r="WMF129" s="70">
        <v>0</v>
      </c>
      <c r="WMG129" s="70">
        <v>0</v>
      </c>
      <c r="WMH129" s="70">
        <v>0</v>
      </c>
      <c r="WMI129" s="70">
        <v>0</v>
      </c>
      <c r="WMJ129" s="70">
        <v>0</v>
      </c>
      <c r="WMK129" s="70">
        <v>0</v>
      </c>
      <c r="WML129" s="70">
        <v>0</v>
      </c>
      <c r="WMM129" s="70">
        <v>0</v>
      </c>
      <c r="WMN129" s="70">
        <v>0</v>
      </c>
      <c r="WMO129" s="70">
        <v>0</v>
      </c>
      <c r="WMP129" s="70">
        <v>0</v>
      </c>
      <c r="WMQ129" s="70">
        <v>0</v>
      </c>
      <c r="WMR129" s="70">
        <v>0</v>
      </c>
      <c r="WMS129" s="70">
        <v>0</v>
      </c>
      <c r="WMT129" s="70">
        <v>0</v>
      </c>
      <c r="WMU129" s="70">
        <v>0</v>
      </c>
      <c r="WMV129" s="70">
        <v>0</v>
      </c>
      <c r="WMW129" s="70">
        <v>0</v>
      </c>
      <c r="WMX129" s="70">
        <v>0</v>
      </c>
      <c r="WMY129" s="70">
        <v>0</v>
      </c>
      <c r="WMZ129" s="70">
        <v>0</v>
      </c>
      <c r="WNA129" s="70">
        <v>0</v>
      </c>
      <c r="WNB129" s="70">
        <v>0</v>
      </c>
      <c r="WNC129" s="70">
        <v>0</v>
      </c>
      <c r="WND129" s="70">
        <v>0</v>
      </c>
      <c r="WNE129" s="70">
        <v>0</v>
      </c>
      <c r="WNF129" s="70">
        <v>0</v>
      </c>
      <c r="WNG129" s="70">
        <v>0</v>
      </c>
      <c r="WNH129" s="70">
        <v>0</v>
      </c>
      <c r="WNI129" s="70">
        <v>0</v>
      </c>
      <c r="WNJ129" s="70">
        <v>0</v>
      </c>
      <c r="WNK129" s="70">
        <v>0</v>
      </c>
      <c r="WNL129" s="70">
        <v>0</v>
      </c>
      <c r="WNM129" s="70">
        <v>0</v>
      </c>
      <c r="WNN129" s="70">
        <v>0</v>
      </c>
      <c r="WNO129" s="70">
        <v>0</v>
      </c>
      <c r="WNP129" s="70">
        <v>0</v>
      </c>
      <c r="WNQ129" s="70">
        <v>0</v>
      </c>
      <c r="WNR129" s="70">
        <v>0</v>
      </c>
      <c r="WNS129" s="70">
        <v>0</v>
      </c>
      <c r="WNT129" s="70">
        <v>0</v>
      </c>
      <c r="WNU129" s="70">
        <v>0</v>
      </c>
      <c r="WNV129" s="70">
        <v>0</v>
      </c>
      <c r="WNW129" s="70">
        <v>0</v>
      </c>
      <c r="WNX129" s="70">
        <v>0</v>
      </c>
      <c r="WNY129" s="70">
        <v>0</v>
      </c>
      <c r="WNZ129" s="70">
        <v>0</v>
      </c>
      <c r="WOA129" s="70">
        <v>0</v>
      </c>
      <c r="WOB129" s="70">
        <v>0</v>
      </c>
      <c r="WOC129" s="70">
        <v>0</v>
      </c>
      <c r="WOD129" s="70">
        <v>0</v>
      </c>
      <c r="WOE129" s="70">
        <v>0</v>
      </c>
      <c r="WOF129" s="70">
        <v>0</v>
      </c>
      <c r="WOG129" s="70">
        <v>0</v>
      </c>
      <c r="WOH129" s="70">
        <v>0</v>
      </c>
      <c r="WOI129" s="70">
        <v>0</v>
      </c>
      <c r="WOJ129" s="70">
        <v>0</v>
      </c>
      <c r="WOK129" s="70">
        <v>0</v>
      </c>
      <c r="WOL129" s="70">
        <v>0</v>
      </c>
      <c r="WOM129" s="70">
        <v>0</v>
      </c>
      <c r="WON129" s="70">
        <v>0</v>
      </c>
      <c r="WOO129" s="70">
        <v>0</v>
      </c>
      <c r="WOP129" s="70">
        <v>0</v>
      </c>
      <c r="WOQ129" s="70">
        <v>0</v>
      </c>
      <c r="WOR129" s="70">
        <v>0</v>
      </c>
      <c r="WOS129" s="70">
        <v>0</v>
      </c>
      <c r="WOT129" s="70">
        <v>0</v>
      </c>
      <c r="WOU129" s="70">
        <v>0</v>
      </c>
      <c r="WOV129" s="70">
        <v>0</v>
      </c>
      <c r="WOW129" s="70">
        <v>0</v>
      </c>
      <c r="WOX129" s="70">
        <v>0</v>
      </c>
      <c r="WOY129" s="70">
        <v>0</v>
      </c>
      <c r="WOZ129" s="70">
        <v>0</v>
      </c>
      <c r="WPA129" s="70">
        <v>0</v>
      </c>
      <c r="WPB129" s="70">
        <v>0</v>
      </c>
      <c r="WPC129" s="70">
        <v>0</v>
      </c>
      <c r="WPD129" s="70">
        <v>0</v>
      </c>
      <c r="WPE129" s="70">
        <v>0</v>
      </c>
      <c r="WPF129" s="70">
        <v>0</v>
      </c>
      <c r="WPG129" s="70">
        <v>0</v>
      </c>
      <c r="WPH129" s="70">
        <v>0</v>
      </c>
      <c r="WPI129" s="70">
        <v>0</v>
      </c>
      <c r="WPJ129" s="70">
        <v>0</v>
      </c>
      <c r="WPK129" s="70">
        <v>0</v>
      </c>
      <c r="WPL129" s="70">
        <v>0</v>
      </c>
      <c r="WPM129" s="70">
        <v>0</v>
      </c>
      <c r="WPN129" s="70">
        <v>0</v>
      </c>
      <c r="WPO129" s="70">
        <v>0</v>
      </c>
      <c r="WPP129" s="70">
        <v>0</v>
      </c>
      <c r="WPQ129" s="70">
        <v>0</v>
      </c>
      <c r="WPR129" s="70">
        <v>0</v>
      </c>
      <c r="WPS129" s="70">
        <v>0</v>
      </c>
      <c r="WPT129" s="70">
        <v>0</v>
      </c>
      <c r="WPU129" s="70">
        <v>0</v>
      </c>
      <c r="WPV129" s="70">
        <v>0</v>
      </c>
      <c r="WPW129" s="70">
        <v>0</v>
      </c>
      <c r="WPX129" s="70">
        <v>0</v>
      </c>
      <c r="WPY129" s="70">
        <v>0</v>
      </c>
      <c r="WPZ129" s="70">
        <v>0</v>
      </c>
      <c r="WQA129" s="70">
        <v>0</v>
      </c>
      <c r="WQB129" s="70">
        <v>0</v>
      </c>
      <c r="WQC129" s="70">
        <v>0</v>
      </c>
      <c r="WQD129" s="70">
        <v>0</v>
      </c>
      <c r="WQE129" s="70">
        <v>0</v>
      </c>
      <c r="WQF129" s="70">
        <v>0</v>
      </c>
      <c r="WQG129" s="70">
        <v>0</v>
      </c>
      <c r="WQH129" s="70">
        <v>0</v>
      </c>
      <c r="WQI129" s="70">
        <v>0</v>
      </c>
      <c r="WQJ129" s="70">
        <v>0</v>
      </c>
      <c r="WQK129" s="70">
        <v>0</v>
      </c>
      <c r="WQL129" s="70">
        <v>0</v>
      </c>
      <c r="WQM129" s="70">
        <v>0</v>
      </c>
      <c r="WQN129" s="70">
        <v>0</v>
      </c>
      <c r="WQO129" s="70">
        <v>0</v>
      </c>
      <c r="WQP129" s="70">
        <v>0</v>
      </c>
      <c r="WQQ129" s="70">
        <v>0</v>
      </c>
      <c r="WQR129" s="70">
        <v>0</v>
      </c>
      <c r="WQS129" s="70">
        <v>0</v>
      </c>
      <c r="WQT129" s="70">
        <v>0</v>
      </c>
      <c r="WQU129" s="70">
        <v>0</v>
      </c>
      <c r="WQV129" s="70">
        <v>0</v>
      </c>
      <c r="WQW129" s="70">
        <v>0</v>
      </c>
      <c r="WQX129" s="70">
        <v>0</v>
      </c>
      <c r="WQY129" s="70">
        <v>0</v>
      </c>
      <c r="WQZ129" s="70">
        <v>0</v>
      </c>
      <c r="WRA129" s="70">
        <v>0</v>
      </c>
      <c r="WRB129" s="70">
        <v>0</v>
      </c>
      <c r="WRC129" s="70">
        <v>0</v>
      </c>
      <c r="WRD129" s="70">
        <v>0</v>
      </c>
      <c r="WRE129" s="70">
        <v>0</v>
      </c>
      <c r="WRF129" s="70">
        <v>0</v>
      </c>
      <c r="WRG129" s="70">
        <v>0</v>
      </c>
      <c r="WRH129" s="70">
        <v>0</v>
      </c>
      <c r="WRI129" s="70">
        <v>0</v>
      </c>
      <c r="WRJ129" s="70">
        <v>0</v>
      </c>
      <c r="WRK129" s="70">
        <v>0</v>
      </c>
      <c r="WRL129" s="70">
        <v>0</v>
      </c>
      <c r="WRM129" s="70">
        <v>0</v>
      </c>
      <c r="WRN129" s="70">
        <v>0</v>
      </c>
      <c r="WRO129" s="70">
        <v>0</v>
      </c>
      <c r="WRP129" s="70">
        <v>0</v>
      </c>
      <c r="WRQ129" s="70">
        <v>0</v>
      </c>
      <c r="WRR129" s="70">
        <v>0</v>
      </c>
      <c r="WRS129" s="70">
        <v>0</v>
      </c>
      <c r="WRT129" s="70">
        <v>0</v>
      </c>
      <c r="WRU129" s="70">
        <v>0</v>
      </c>
      <c r="WRV129" s="70">
        <v>0</v>
      </c>
      <c r="WRW129" s="70">
        <v>0</v>
      </c>
      <c r="WRX129" s="70">
        <v>0</v>
      </c>
      <c r="WRY129" s="70">
        <v>0</v>
      </c>
      <c r="WRZ129" s="70">
        <v>0</v>
      </c>
      <c r="WSA129" s="70">
        <v>0</v>
      </c>
      <c r="WSB129" s="70">
        <v>0</v>
      </c>
      <c r="WSC129" s="70">
        <v>0</v>
      </c>
      <c r="WSD129" s="70">
        <v>0</v>
      </c>
      <c r="WSE129" s="70">
        <v>0</v>
      </c>
      <c r="WSF129" s="70">
        <v>0</v>
      </c>
      <c r="WSG129" s="70">
        <v>0</v>
      </c>
      <c r="WSH129" s="70">
        <v>0</v>
      </c>
      <c r="WSI129" s="70">
        <v>0</v>
      </c>
      <c r="WSJ129" s="70">
        <v>0</v>
      </c>
      <c r="WSK129" s="70">
        <v>0</v>
      </c>
      <c r="WSL129" s="70">
        <v>0</v>
      </c>
      <c r="WSM129" s="70">
        <v>0</v>
      </c>
      <c r="WSN129" s="70">
        <v>0</v>
      </c>
      <c r="WSO129" s="70">
        <v>0</v>
      </c>
      <c r="WSP129" s="70">
        <v>0</v>
      </c>
      <c r="WSQ129" s="70">
        <v>0</v>
      </c>
      <c r="WSR129" s="70">
        <v>0</v>
      </c>
      <c r="WSS129" s="70">
        <v>0</v>
      </c>
      <c r="WST129" s="70">
        <v>0</v>
      </c>
      <c r="WSU129" s="70">
        <v>0</v>
      </c>
      <c r="WSV129" s="70">
        <v>0</v>
      </c>
      <c r="WSW129" s="70">
        <v>0</v>
      </c>
      <c r="WSX129" s="70">
        <v>0</v>
      </c>
      <c r="WSY129" s="70">
        <v>0</v>
      </c>
      <c r="WSZ129" s="70">
        <v>0</v>
      </c>
      <c r="WTA129" s="70">
        <v>0</v>
      </c>
      <c r="WTB129" s="70">
        <v>0</v>
      </c>
      <c r="WTC129" s="70">
        <v>0</v>
      </c>
      <c r="WTD129" s="70">
        <v>0</v>
      </c>
      <c r="WTE129" s="70">
        <v>0</v>
      </c>
      <c r="WTF129" s="70">
        <v>0</v>
      </c>
      <c r="WTG129" s="70">
        <v>0</v>
      </c>
      <c r="WTH129" s="70">
        <v>0</v>
      </c>
      <c r="WTI129" s="70">
        <v>0</v>
      </c>
      <c r="WTJ129" s="70">
        <v>0</v>
      </c>
      <c r="WTK129" s="70">
        <v>0</v>
      </c>
      <c r="WTL129" s="70">
        <v>0</v>
      </c>
      <c r="WTM129" s="70">
        <v>0</v>
      </c>
      <c r="WTN129" s="70">
        <v>0</v>
      </c>
      <c r="WTO129" s="70">
        <v>0</v>
      </c>
      <c r="WTP129" s="70">
        <v>0</v>
      </c>
      <c r="WTQ129" s="70">
        <v>0</v>
      </c>
      <c r="WTR129" s="70">
        <v>0</v>
      </c>
      <c r="WTS129" s="70">
        <v>0</v>
      </c>
      <c r="WTT129" s="70">
        <v>0</v>
      </c>
      <c r="WTU129" s="70">
        <v>0</v>
      </c>
      <c r="WTV129" s="70">
        <v>0</v>
      </c>
      <c r="WTW129" s="70">
        <v>0</v>
      </c>
      <c r="WTX129" s="70">
        <v>0</v>
      </c>
      <c r="WTY129" s="70">
        <v>0</v>
      </c>
      <c r="WTZ129" s="70">
        <v>0</v>
      </c>
      <c r="WUA129" s="70">
        <v>0</v>
      </c>
      <c r="WUB129" s="70">
        <v>0</v>
      </c>
      <c r="WUC129" s="70">
        <v>0</v>
      </c>
      <c r="WUD129" s="70">
        <v>0</v>
      </c>
      <c r="WUE129" s="70">
        <v>0</v>
      </c>
      <c r="WUF129" s="70">
        <v>0</v>
      </c>
      <c r="WUG129" s="70">
        <v>0</v>
      </c>
      <c r="WUH129" s="70">
        <v>0</v>
      </c>
      <c r="WUI129" s="70">
        <v>0</v>
      </c>
      <c r="WUJ129" s="70">
        <v>0</v>
      </c>
      <c r="WUK129" s="70">
        <v>0</v>
      </c>
      <c r="WUL129" s="70">
        <v>0</v>
      </c>
      <c r="WUM129" s="70">
        <v>0</v>
      </c>
      <c r="WUN129" s="70">
        <v>0</v>
      </c>
      <c r="WUO129" s="70">
        <v>0</v>
      </c>
      <c r="WUP129" s="70">
        <v>0</v>
      </c>
      <c r="WUQ129" s="70">
        <v>0</v>
      </c>
      <c r="WUR129" s="70">
        <v>0</v>
      </c>
      <c r="WUS129" s="70">
        <v>0</v>
      </c>
      <c r="WUT129" s="70">
        <v>0</v>
      </c>
      <c r="WUU129" s="70">
        <v>0</v>
      </c>
      <c r="WUV129" s="70">
        <v>0</v>
      </c>
      <c r="WUW129" s="70">
        <v>0</v>
      </c>
      <c r="WUX129" s="70">
        <v>0</v>
      </c>
      <c r="WUY129" s="70">
        <v>0</v>
      </c>
      <c r="WUZ129" s="70">
        <v>0</v>
      </c>
      <c r="WVA129" s="70">
        <v>0</v>
      </c>
      <c r="WVB129" s="70">
        <v>0</v>
      </c>
      <c r="WVC129" s="70">
        <v>0</v>
      </c>
      <c r="WVD129" s="70">
        <v>0</v>
      </c>
      <c r="WVE129" s="70">
        <v>0</v>
      </c>
      <c r="WVF129" s="70">
        <v>0</v>
      </c>
      <c r="WVG129" s="70">
        <v>0</v>
      </c>
      <c r="WVH129" s="70">
        <v>0</v>
      </c>
      <c r="WVI129" s="70">
        <v>0</v>
      </c>
      <c r="WVJ129" s="70">
        <v>0</v>
      </c>
      <c r="WVK129" s="70">
        <v>0</v>
      </c>
      <c r="WVL129" s="70">
        <v>0</v>
      </c>
      <c r="WVM129" s="70">
        <v>0</v>
      </c>
      <c r="WVN129" s="70">
        <v>0</v>
      </c>
      <c r="WVO129" s="70">
        <v>0</v>
      </c>
      <c r="WVP129" s="70">
        <v>0</v>
      </c>
      <c r="WVQ129" s="70">
        <v>0</v>
      </c>
      <c r="WVR129" s="70">
        <v>0</v>
      </c>
      <c r="WVS129" s="70">
        <v>0</v>
      </c>
      <c r="WVT129" s="70">
        <v>0</v>
      </c>
      <c r="WVU129" s="70">
        <v>0</v>
      </c>
      <c r="WVV129" s="70">
        <v>0</v>
      </c>
      <c r="WVW129" s="70">
        <v>0</v>
      </c>
      <c r="WVX129" s="70">
        <v>0</v>
      </c>
      <c r="WVY129" s="70">
        <v>0</v>
      </c>
      <c r="WVZ129" s="70">
        <v>0</v>
      </c>
      <c r="WWA129" s="70">
        <v>0</v>
      </c>
      <c r="WWB129" s="70">
        <v>0</v>
      </c>
      <c r="WWC129" s="70">
        <v>0</v>
      </c>
      <c r="WWD129" s="70">
        <v>0</v>
      </c>
      <c r="WWE129" s="70">
        <v>0</v>
      </c>
      <c r="WWF129" s="70">
        <v>0</v>
      </c>
      <c r="WWG129" s="70">
        <v>0</v>
      </c>
      <c r="WWH129" s="70">
        <v>0</v>
      </c>
      <c r="WWI129" s="70">
        <v>0</v>
      </c>
      <c r="WWJ129" s="70">
        <v>0</v>
      </c>
      <c r="WWK129" s="70">
        <v>0</v>
      </c>
      <c r="WWL129" s="70">
        <v>0</v>
      </c>
      <c r="WWM129" s="70">
        <v>0</v>
      </c>
      <c r="WWN129" s="70">
        <v>0</v>
      </c>
      <c r="WWO129" s="70">
        <v>0</v>
      </c>
      <c r="WWP129" s="70">
        <v>0</v>
      </c>
      <c r="WWQ129" s="70">
        <v>0</v>
      </c>
      <c r="WWR129" s="70">
        <v>0</v>
      </c>
      <c r="WWS129" s="70">
        <v>0</v>
      </c>
      <c r="WWT129" s="70">
        <v>0</v>
      </c>
      <c r="WWU129" s="70">
        <v>0</v>
      </c>
      <c r="WWV129" s="70">
        <v>0</v>
      </c>
      <c r="WWW129" s="70">
        <v>0</v>
      </c>
      <c r="WWX129" s="70">
        <v>0</v>
      </c>
      <c r="WWY129" s="70">
        <v>0</v>
      </c>
      <c r="WWZ129" s="70">
        <v>0</v>
      </c>
      <c r="WXA129" s="70">
        <v>0</v>
      </c>
      <c r="WXB129" s="70">
        <v>0</v>
      </c>
      <c r="WXC129" s="70">
        <v>0</v>
      </c>
      <c r="WXD129" s="70">
        <v>0</v>
      </c>
      <c r="WXE129" s="70">
        <v>0</v>
      </c>
      <c r="WXF129" s="70">
        <v>0</v>
      </c>
      <c r="WXG129" s="70">
        <v>0</v>
      </c>
      <c r="WXH129" s="70">
        <v>0</v>
      </c>
      <c r="WXI129" s="70">
        <v>0</v>
      </c>
      <c r="WXJ129" s="70">
        <v>0</v>
      </c>
      <c r="WXK129" s="70">
        <v>0</v>
      </c>
      <c r="WXL129" s="70">
        <v>0</v>
      </c>
      <c r="WXM129" s="70">
        <v>0</v>
      </c>
      <c r="WXN129" s="70">
        <v>0</v>
      </c>
      <c r="WXO129" s="70">
        <v>0</v>
      </c>
      <c r="WXP129" s="70">
        <v>0</v>
      </c>
      <c r="WXQ129" s="70">
        <v>0</v>
      </c>
      <c r="WXR129" s="70">
        <v>0</v>
      </c>
      <c r="WXS129" s="70">
        <v>0</v>
      </c>
      <c r="WXT129" s="70">
        <v>0</v>
      </c>
      <c r="WXU129" s="70">
        <v>0</v>
      </c>
      <c r="WXV129" s="70">
        <v>0</v>
      </c>
      <c r="WXW129" s="70">
        <v>0</v>
      </c>
      <c r="WXX129" s="70">
        <v>0</v>
      </c>
      <c r="WXY129" s="70">
        <v>0</v>
      </c>
      <c r="WXZ129" s="70">
        <v>0</v>
      </c>
      <c r="WYA129" s="70">
        <v>0</v>
      </c>
      <c r="WYB129" s="70">
        <v>0</v>
      </c>
      <c r="WYC129" s="70">
        <v>0</v>
      </c>
      <c r="WYD129" s="70">
        <v>0</v>
      </c>
      <c r="WYE129" s="70">
        <v>0</v>
      </c>
      <c r="WYF129" s="70">
        <v>0</v>
      </c>
      <c r="WYG129" s="70">
        <v>0</v>
      </c>
      <c r="WYH129" s="70">
        <v>0</v>
      </c>
      <c r="WYI129" s="70">
        <v>0</v>
      </c>
      <c r="WYJ129" s="70">
        <v>0</v>
      </c>
      <c r="WYK129" s="70">
        <v>0</v>
      </c>
      <c r="WYL129" s="70">
        <v>0</v>
      </c>
      <c r="WYM129" s="70">
        <v>0</v>
      </c>
      <c r="WYN129" s="70">
        <v>0</v>
      </c>
      <c r="WYO129" s="70">
        <v>0</v>
      </c>
      <c r="WYP129" s="70">
        <v>0</v>
      </c>
      <c r="WYQ129" s="70">
        <v>0</v>
      </c>
      <c r="WYR129" s="70">
        <v>0</v>
      </c>
      <c r="WYS129" s="70">
        <v>0</v>
      </c>
      <c r="WYT129" s="70">
        <v>0</v>
      </c>
      <c r="WYU129" s="70">
        <v>0</v>
      </c>
      <c r="WYV129" s="70">
        <v>0</v>
      </c>
      <c r="WYW129" s="70">
        <v>0</v>
      </c>
      <c r="WYX129" s="70">
        <v>0</v>
      </c>
      <c r="WYY129" s="70">
        <v>0</v>
      </c>
      <c r="WYZ129" s="70">
        <v>0</v>
      </c>
      <c r="WZA129" s="70">
        <v>0</v>
      </c>
      <c r="WZB129" s="70">
        <v>0</v>
      </c>
      <c r="WZC129" s="70">
        <v>0</v>
      </c>
      <c r="WZD129" s="70">
        <v>0</v>
      </c>
      <c r="WZE129" s="70">
        <v>0</v>
      </c>
      <c r="WZF129" s="70">
        <v>0</v>
      </c>
      <c r="WZG129" s="70">
        <v>0</v>
      </c>
      <c r="WZH129" s="70">
        <v>0</v>
      </c>
      <c r="WZI129" s="70">
        <v>0</v>
      </c>
      <c r="WZJ129" s="70">
        <v>0</v>
      </c>
      <c r="WZK129" s="70">
        <v>0</v>
      </c>
      <c r="WZL129" s="70">
        <v>0</v>
      </c>
      <c r="WZM129" s="70">
        <v>0</v>
      </c>
      <c r="WZN129" s="70">
        <v>0</v>
      </c>
      <c r="WZO129" s="70">
        <v>0</v>
      </c>
      <c r="WZP129" s="70">
        <v>0</v>
      </c>
      <c r="WZQ129" s="70">
        <v>0</v>
      </c>
      <c r="WZR129" s="70">
        <v>0</v>
      </c>
      <c r="WZS129" s="70">
        <v>0</v>
      </c>
      <c r="WZT129" s="70">
        <v>0</v>
      </c>
      <c r="WZU129" s="70">
        <v>0</v>
      </c>
      <c r="WZV129" s="70">
        <v>0</v>
      </c>
      <c r="WZW129" s="70">
        <v>0</v>
      </c>
      <c r="WZX129" s="70">
        <v>0</v>
      </c>
      <c r="WZY129" s="70">
        <v>0</v>
      </c>
      <c r="WZZ129" s="70">
        <v>0</v>
      </c>
      <c r="XAA129" s="70">
        <v>0</v>
      </c>
      <c r="XAB129" s="70">
        <v>0</v>
      </c>
      <c r="XAC129" s="70">
        <v>0</v>
      </c>
      <c r="XAD129" s="70">
        <v>0</v>
      </c>
      <c r="XAE129" s="70">
        <v>0</v>
      </c>
      <c r="XAF129" s="70">
        <v>0</v>
      </c>
      <c r="XAG129" s="70">
        <v>0</v>
      </c>
      <c r="XAH129" s="70">
        <v>0</v>
      </c>
      <c r="XAI129" s="70">
        <v>0</v>
      </c>
      <c r="XAJ129" s="70">
        <v>0</v>
      </c>
      <c r="XAK129" s="70">
        <v>0</v>
      </c>
      <c r="XAL129" s="70">
        <v>0</v>
      </c>
      <c r="XAM129" s="70">
        <v>0</v>
      </c>
      <c r="XAN129" s="70">
        <v>0</v>
      </c>
      <c r="XAO129" s="70">
        <v>0</v>
      </c>
      <c r="XAP129" s="70">
        <v>0</v>
      </c>
      <c r="XAQ129" s="70">
        <v>0</v>
      </c>
      <c r="XAR129" s="70">
        <v>0</v>
      </c>
      <c r="XAS129" s="70">
        <v>0</v>
      </c>
      <c r="XAT129" s="70">
        <v>0</v>
      </c>
      <c r="XAU129" s="70">
        <v>0</v>
      </c>
      <c r="XAV129" s="70">
        <v>0</v>
      </c>
      <c r="XAW129" s="70">
        <v>0</v>
      </c>
      <c r="XAX129" s="70">
        <v>0</v>
      </c>
      <c r="XAY129" s="70">
        <v>0</v>
      </c>
      <c r="XAZ129" s="70">
        <v>0</v>
      </c>
      <c r="XBA129" s="70">
        <v>0</v>
      </c>
      <c r="XBB129" s="70">
        <v>0</v>
      </c>
      <c r="XBC129" s="70">
        <v>0</v>
      </c>
      <c r="XBD129" s="70">
        <v>0</v>
      </c>
      <c r="XBE129" s="70">
        <v>0</v>
      </c>
      <c r="XBF129" s="70">
        <v>0</v>
      </c>
      <c r="XBG129" s="70">
        <v>0</v>
      </c>
      <c r="XBH129" s="70">
        <v>0</v>
      </c>
      <c r="XBI129" s="70">
        <v>0</v>
      </c>
      <c r="XBJ129" s="70">
        <v>0</v>
      </c>
      <c r="XBK129" s="70">
        <v>0</v>
      </c>
      <c r="XBL129" s="70">
        <v>0</v>
      </c>
      <c r="XBM129" s="70">
        <v>0</v>
      </c>
      <c r="XBN129" s="70">
        <v>0</v>
      </c>
      <c r="XBO129" s="70">
        <v>0</v>
      </c>
      <c r="XBP129" s="70">
        <v>0</v>
      </c>
      <c r="XBQ129" s="70">
        <v>0</v>
      </c>
      <c r="XBR129" s="70">
        <v>0</v>
      </c>
      <c r="XBS129" s="70">
        <v>0</v>
      </c>
      <c r="XBT129" s="70">
        <v>0</v>
      </c>
      <c r="XBU129" s="70">
        <v>0</v>
      </c>
      <c r="XBV129" s="70">
        <v>0</v>
      </c>
      <c r="XBW129" s="70">
        <v>0</v>
      </c>
      <c r="XBX129" s="70">
        <v>0</v>
      </c>
      <c r="XBY129" s="70">
        <v>0</v>
      </c>
      <c r="XBZ129" s="70">
        <v>0</v>
      </c>
      <c r="XCA129" s="70">
        <v>0</v>
      </c>
      <c r="XCB129" s="70">
        <v>0</v>
      </c>
      <c r="XCC129" s="70">
        <v>0</v>
      </c>
      <c r="XCD129" s="70">
        <v>0</v>
      </c>
      <c r="XCE129" s="70">
        <v>0</v>
      </c>
      <c r="XCF129" s="70">
        <v>0</v>
      </c>
      <c r="XCG129" s="70">
        <v>0</v>
      </c>
      <c r="XCH129" s="70">
        <v>0</v>
      </c>
      <c r="XCI129" s="70">
        <v>0</v>
      </c>
      <c r="XCJ129" s="70">
        <v>0</v>
      </c>
      <c r="XCK129" s="70">
        <v>0</v>
      </c>
      <c r="XCL129" s="70">
        <v>0</v>
      </c>
      <c r="XCM129" s="70">
        <v>0</v>
      </c>
      <c r="XCN129" s="70">
        <v>0</v>
      </c>
      <c r="XCO129" s="70">
        <v>0</v>
      </c>
      <c r="XCP129" s="70">
        <v>0</v>
      </c>
      <c r="XCQ129" s="70">
        <v>0</v>
      </c>
      <c r="XCR129" s="70">
        <v>0</v>
      </c>
      <c r="XCS129" s="70">
        <v>0</v>
      </c>
      <c r="XCT129" s="70">
        <v>0</v>
      </c>
      <c r="XCU129" s="70">
        <v>0</v>
      </c>
      <c r="XCV129" s="70">
        <v>0</v>
      </c>
      <c r="XCW129" s="70">
        <v>0</v>
      </c>
      <c r="XCX129" s="70">
        <v>0</v>
      </c>
      <c r="XCY129" s="70">
        <v>0</v>
      </c>
      <c r="XCZ129" s="70">
        <v>0</v>
      </c>
      <c r="XDA129" s="70">
        <v>0</v>
      </c>
      <c r="XDB129" s="70">
        <v>0</v>
      </c>
      <c r="XDC129" s="70">
        <v>0</v>
      </c>
      <c r="XDD129" s="70">
        <v>0</v>
      </c>
      <c r="XDE129" s="70">
        <v>0</v>
      </c>
      <c r="XDF129" s="70">
        <v>0</v>
      </c>
      <c r="XDG129" s="70">
        <v>0</v>
      </c>
      <c r="XDH129" s="70">
        <v>0</v>
      </c>
      <c r="XDI129" s="70">
        <v>0</v>
      </c>
      <c r="XDJ129" s="70">
        <v>0</v>
      </c>
      <c r="XDK129" s="70">
        <v>0</v>
      </c>
      <c r="XDL129" s="70">
        <v>0</v>
      </c>
      <c r="XDM129" s="70">
        <v>0</v>
      </c>
      <c r="XDN129" s="70">
        <v>0</v>
      </c>
      <c r="XDO129" s="70">
        <v>0</v>
      </c>
      <c r="XDP129" s="70">
        <v>0</v>
      </c>
      <c r="XDQ129" s="70">
        <v>0</v>
      </c>
      <c r="XDR129" s="70">
        <v>0</v>
      </c>
      <c r="XDS129" s="70">
        <v>0</v>
      </c>
      <c r="XDT129" s="70">
        <v>0</v>
      </c>
      <c r="XDU129" s="70">
        <v>0</v>
      </c>
      <c r="XDV129" s="70">
        <v>0</v>
      </c>
      <c r="XDW129" s="70">
        <v>0</v>
      </c>
      <c r="XDX129" s="70">
        <v>0</v>
      </c>
      <c r="XDY129" s="70">
        <v>0</v>
      </c>
      <c r="XDZ129" s="70">
        <v>0</v>
      </c>
      <c r="XEA129" s="70">
        <v>0</v>
      </c>
      <c r="XEB129" s="70">
        <v>0</v>
      </c>
      <c r="XEC129" s="70">
        <v>0</v>
      </c>
      <c r="XED129" s="70">
        <v>0</v>
      </c>
      <c r="XEE129" s="70">
        <v>0</v>
      </c>
      <c r="XEF129" s="70">
        <v>0</v>
      </c>
      <c r="XEG129" s="70">
        <v>0</v>
      </c>
      <c r="XEH129" s="70">
        <v>0</v>
      </c>
      <c r="XEI129" s="70">
        <v>0</v>
      </c>
      <c r="XEJ129" s="70">
        <v>0</v>
      </c>
      <c r="XEK129" s="70">
        <v>0</v>
      </c>
      <c r="XEL129" s="70">
        <v>0</v>
      </c>
      <c r="XEM129" s="70">
        <v>0</v>
      </c>
      <c r="XEN129" s="70">
        <v>0</v>
      </c>
      <c r="XEO129" s="70">
        <v>0</v>
      </c>
      <c r="XEP129" s="70">
        <v>0</v>
      </c>
      <c r="XEQ129" s="70">
        <v>0</v>
      </c>
      <c r="XER129" s="70">
        <v>0</v>
      </c>
      <c r="XES129" s="70">
        <v>0</v>
      </c>
      <c r="XET129" s="70">
        <v>0</v>
      </c>
      <c r="XEU129" s="70">
        <v>0</v>
      </c>
      <c r="XEV129" s="70">
        <v>0</v>
      </c>
      <c r="XEW129" s="70">
        <v>0</v>
      </c>
      <c r="XEX129" s="70">
        <v>0</v>
      </c>
      <c r="XEY129" s="70">
        <v>0</v>
      </c>
      <c r="XEZ129" s="70">
        <v>0</v>
      </c>
      <c r="XFA129" s="70">
        <v>0</v>
      </c>
      <c r="XFB129" s="70">
        <v>0</v>
      </c>
      <c r="XFC129" s="70">
        <v>0</v>
      </c>
      <c r="XFD129" s="70">
        <v>0</v>
      </c>
    </row>
    <row r="130" spans="1:16384" x14ac:dyDescent="0.5">
      <c r="C130" s="8" t="s">
        <v>12</v>
      </c>
      <c r="D130" s="88"/>
      <c r="E130" s="88"/>
      <c r="F130" s="88"/>
      <c r="G130" s="88"/>
      <c r="H130" s="24">
        <v>0.26</v>
      </c>
      <c r="I130" s="24">
        <v>0.57999999999999996</v>
      </c>
      <c r="J130" s="24">
        <v>0.41</v>
      </c>
      <c r="K130" s="24">
        <v>0.42</v>
      </c>
      <c r="L130" s="24">
        <v>0.49</v>
      </c>
      <c r="M130" s="24">
        <v>0.73</v>
      </c>
      <c r="N130" s="24">
        <v>0.93</v>
      </c>
      <c r="O130" s="24">
        <v>0.95</v>
      </c>
      <c r="P130" s="24">
        <v>1.54</v>
      </c>
      <c r="S130" s="29"/>
    </row>
    <row r="131" spans="1:16384" x14ac:dyDescent="0.5">
      <c r="C131" s="12" t="s">
        <v>14</v>
      </c>
      <c r="D131" s="88"/>
      <c r="E131" s="88"/>
      <c r="F131" s="88"/>
      <c r="G131" s="88"/>
      <c r="H131" s="10">
        <v>0.09</v>
      </c>
      <c r="I131" s="10">
        <v>0.91</v>
      </c>
      <c r="J131" s="10">
        <v>0.13</v>
      </c>
      <c r="K131" s="10">
        <v>-0.1</v>
      </c>
      <c r="L131" s="10">
        <v>0.88</v>
      </c>
      <c r="M131" s="10">
        <v>0.26</v>
      </c>
      <c r="N131" s="10">
        <v>1.27</v>
      </c>
      <c r="O131" s="10">
        <v>1.26</v>
      </c>
      <c r="P131" s="10">
        <v>2.14</v>
      </c>
    </row>
    <row r="132" spans="1:16384" x14ac:dyDescent="0.5">
      <c r="C132" s="8" t="s">
        <v>2</v>
      </c>
      <c r="D132" s="88"/>
      <c r="E132" s="88"/>
      <c r="F132" s="88"/>
      <c r="G132" s="88"/>
      <c r="H132" s="24">
        <v>-0.11</v>
      </c>
      <c r="I132" s="24">
        <v>-7.0000000000000007E-2</v>
      </c>
      <c r="J132" s="24">
        <v>-0.02</v>
      </c>
      <c r="K132" s="24">
        <v>0.03</v>
      </c>
      <c r="L132" s="24">
        <v>0.01</v>
      </c>
      <c r="M132" s="24">
        <v>0.01</v>
      </c>
      <c r="N132" s="24">
        <v>-0.11</v>
      </c>
      <c r="O132" s="24">
        <v>0.1</v>
      </c>
      <c r="P132" s="24">
        <v>0.16</v>
      </c>
    </row>
    <row r="133" spans="1:16384" x14ac:dyDescent="0.5">
      <c r="C133" s="12" t="s">
        <v>133</v>
      </c>
      <c r="D133" s="88"/>
      <c r="E133" s="88"/>
      <c r="F133" s="88"/>
      <c r="G133" s="88"/>
      <c r="H133" s="10">
        <v>-0.04</v>
      </c>
      <c r="I133" s="10">
        <v>-0.02</v>
      </c>
      <c r="J133" s="10">
        <v>-0.01</v>
      </c>
      <c r="K133" s="109">
        <v>5.0000000000000001E-3</v>
      </c>
      <c r="L133" s="109">
        <v>1E-3</v>
      </c>
      <c r="M133" s="109">
        <v>1E-3</v>
      </c>
      <c r="N133" s="109">
        <v>-0.01</v>
      </c>
      <c r="O133" s="109">
        <v>0.01</v>
      </c>
      <c r="P133" s="109">
        <v>0.01</v>
      </c>
    </row>
    <row r="134" spans="1:16384" ht="5.25" customHeight="1" x14ac:dyDescent="0.5">
      <c r="C134"/>
      <c r="D134"/>
      <c r="E134"/>
      <c r="F134"/>
    </row>
    <row r="135" spans="1:16384" ht="18.75" customHeight="1" x14ac:dyDescent="0.5">
      <c r="C135" s="15" t="s">
        <v>63</v>
      </c>
      <c r="D135"/>
      <c r="E135"/>
      <c r="F135"/>
    </row>
    <row r="136" spans="1:16384" x14ac:dyDescent="0.5">
      <c r="C136" s="352" t="s">
        <v>190</v>
      </c>
      <c r="D136" s="352"/>
      <c r="E136" s="352"/>
      <c r="F136" s="352"/>
      <c r="G136" s="352"/>
      <c r="H136" s="352"/>
      <c r="I136" s="41"/>
      <c r="J136" s="41"/>
      <c r="K136" s="41"/>
      <c r="L136" s="41"/>
      <c r="M136" s="41"/>
      <c r="N136" s="41"/>
      <c r="O136" s="41"/>
      <c r="P136" s="41"/>
    </row>
    <row r="137" spans="1:16384" ht="16" customHeight="1" x14ac:dyDescent="0.5">
      <c r="C137" s="352"/>
      <c r="D137" s="352"/>
      <c r="E137" s="352"/>
      <c r="F137" s="352"/>
      <c r="G137" s="352"/>
      <c r="H137" s="352"/>
      <c r="I137" s="41"/>
      <c r="J137" s="41"/>
      <c r="K137" s="41"/>
      <c r="L137" s="41"/>
      <c r="M137" s="41"/>
      <c r="N137" s="41"/>
      <c r="O137" s="41"/>
      <c r="P137" s="41"/>
    </row>
    <row r="138" spans="1:16384" ht="16" customHeight="1" x14ac:dyDescent="0.5">
      <c r="C138" s="352"/>
      <c r="D138" s="352"/>
      <c r="E138" s="352"/>
      <c r="F138" s="352"/>
      <c r="G138" s="352"/>
      <c r="H138" s="352"/>
      <c r="I138" s="41"/>
      <c r="J138" s="41"/>
      <c r="K138" s="41"/>
      <c r="L138" s="41"/>
      <c r="M138" s="41"/>
      <c r="N138" s="41"/>
      <c r="O138" s="41"/>
      <c r="P138" s="41"/>
    </row>
    <row r="139" spans="1:16384" ht="16" customHeight="1" x14ac:dyDescent="0.5">
      <c r="C139" s="352"/>
      <c r="D139" s="352"/>
      <c r="E139" s="352"/>
      <c r="F139" s="352"/>
      <c r="G139" s="352"/>
      <c r="H139" s="352"/>
      <c r="I139" s="41"/>
      <c r="J139" s="41"/>
      <c r="K139" s="41"/>
      <c r="L139" s="41"/>
      <c r="M139" s="41"/>
      <c r="N139" s="41"/>
      <c r="O139" s="41"/>
      <c r="P139" s="41"/>
    </row>
    <row r="140" spans="1:16384" x14ac:dyDescent="0.5">
      <c r="C140" s="15" t="s">
        <v>191</v>
      </c>
      <c r="D140"/>
      <c r="E140"/>
      <c r="F140"/>
    </row>
    <row r="141" spans="1:16384" x14ac:dyDescent="0.5">
      <c r="C141" s="80" t="s">
        <v>90</v>
      </c>
    </row>
  </sheetData>
  <mergeCells count="15">
    <mergeCell ref="D29:H29"/>
    <mergeCell ref="C56:H59"/>
    <mergeCell ref="C136:H139"/>
    <mergeCell ref="D46:D47"/>
    <mergeCell ref="E46:E47"/>
    <mergeCell ref="F46:F47"/>
    <mergeCell ref="G46:G47"/>
    <mergeCell ref="D34:D35"/>
    <mergeCell ref="E34:E35"/>
    <mergeCell ref="F34:F35"/>
    <mergeCell ref="G34:G35"/>
    <mergeCell ref="C54:H55"/>
    <mergeCell ref="C60:H62"/>
    <mergeCell ref="C63:H64"/>
    <mergeCell ref="C119:G120"/>
  </mergeCells>
  <hyperlinks>
    <hyperlink ref="C7" location="'A. Quarterly data'!A70" display="Food delivery" xr:uid="{B517197C-F75E-4151-ADB5-B71C3F2B394C}"/>
    <hyperlink ref="C67" location="'A. Quarterly data'!A1" display="Back to Top" xr:uid="{3450A12C-BED9-48EE-BF99-A18D6D583657}"/>
    <hyperlink ref="C85" location="'A. Quarterly data'!A1" display="Back to Top" xr:uid="{94924AD4-AA48-40C0-923A-C2D1FCE35C16}"/>
    <hyperlink ref="C98" location="'A. Quarterly data'!A1" display="Back to Top" xr:uid="{CD7D6DDC-9E54-43AB-8E3D-2A42311CF961}"/>
    <hyperlink ref="C122" location="'A. Quarterly data'!A1" display="Back to Top" xr:uid="{690D8730-7135-421D-9A71-F28D24C5CE66}"/>
    <hyperlink ref="D3" location="'Table of contents'!A1" display="Back to Table of contents" xr:uid="{7A03FA9D-5042-45CF-AD54-6E2DFE0D120E}"/>
    <hyperlink ref="C5" location="'A. Quarterly data'!A15" display="Company level" xr:uid="{6318BE14-9252-4FD6-AEF4-A2934480D402}"/>
    <hyperlink ref="C9" location="'A. Quarterly data'!A88" display="Hyperpure" xr:uid="{2CE63D68-5C5E-4E9F-9D3D-C93DE1B76EBF}"/>
    <hyperlink ref="C11" location="'A. Quarterly data'!A101" display="Quick commerce" xr:uid="{7FB8115C-372E-498B-A3FF-7D81DB96E29D}"/>
    <hyperlink ref="C141" location="'A. Quarterly data'!A1" display="Back to Top" xr:uid="{A346DB0A-8817-489A-B6AD-414183C3FBAF}"/>
    <hyperlink ref="C13" location="'A. Quarterly data'!A124" display="Going-out" xr:uid="{B6AAB7A4-13D3-4F63-A84D-268EBB1E7700}"/>
  </hyperlinks>
  <pageMargins left="0.7" right="0.7" top="0.75" bottom="0.75" header="0.3" footer="0.3"/>
  <pageSetup scale="10" fitToHeight="0" orientation="portrait" horizontalDpi="1200" verticalDpi="1200" r:id="rId1"/>
  <extLst>
    <ext xmlns:x14="http://schemas.microsoft.com/office/spreadsheetml/2009/9/main" uri="{05C60535-1F16-4fd2-B633-F4F36F0B64E0}">
      <x14:sparklineGroups xmlns:xm="http://schemas.microsoft.com/office/excel/2006/main">
        <x14:sparklineGroup type="column" displayEmptyCellsAs="gap" negative="1" xr2:uid="{742EBB9E-0BF6-41D4-9A18-73D9FB17B337}">
          <x14:colorSeries rgb="FF376092"/>
          <x14:colorNegative rgb="FFD00000"/>
          <x14:colorAxis rgb="FF000000"/>
          <x14:colorMarkers rgb="FFD00000"/>
          <x14:colorFirst rgb="FFD00000"/>
          <x14:colorLast rgb="FFD00000"/>
          <x14:colorHigh rgb="FFD00000"/>
          <x14:colorLow rgb="FFD00000"/>
          <x14:sparklines>
            <x14:sparkline>
              <xm:f>'A. Quarterly data'!R43:U43</xm:f>
              <xm:sqref>V43</xm:sqref>
            </x14:sparkline>
            <x14:sparkline>
              <xm:f>'A. Quarterly data'!R44:U44</xm:f>
              <xm:sqref>V44</xm:sqref>
            </x14:sparkline>
            <x14:sparkline>
              <xm:f>'A. Quarterly data'!R45:U45</xm:f>
              <xm:sqref>V45</xm:sqref>
            </x14:sparkline>
            <x14:sparkline>
              <xm:f>'A. Quarterly data'!R46:U46</xm:f>
              <xm:sqref>V46</xm:sqref>
            </x14:sparkline>
            <x14:sparkline>
              <xm:f>'A. Quarterly data'!R47:U47</xm:f>
              <xm:sqref>V47</xm:sqref>
            </x14:sparkline>
          </x14:sparklines>
        </x14:sparklineGroup>
        <x14:sparklineGroup type="column" displayEmptyCellsAs="gap" negative="1" xr2:uid="{E77A45C5-DCFD-4B62-B6FD-3B7A5225033D}">
          <x14:colorSeries rgb="FF376092"/>
          <x14:colorNegative rgb="FFD00000"/>
          <x14:colorAxis rgb="FF000000"/>
          <x14:colorMarkers rgb="FFD00000"/>
          <x14:colorFirst rgb="FFD00000"/>
          <x14:colorLast rgb="FFD00000"/>
          <x14:colorHigh rgb="FFD00000"/>
          <x14:colorLow rgb="FFD00000"/>
          <x14:sparklines>
            <x14:sparkline>
              <xm:f>'A. Quarterly data'!Q31:T31</xm:f>
              <xm:sqref>U31</xm:sqref>
            </x14:sparkline>
            <x14:sparkline>
              <xm:f>'A. Quarterly data'!Q32:T32</xm:f>
              <xm:sqref>U32</xm:sqref>
            </x14:sparkline>
            <x14:sparkline>
              <xm:f>'A. Quarterly data'!Q33:T33</xm:f>
              <xm:sqref>U33</xm:sqref>
            </x14:sparkline>
            <x14:sparkline>
              <xm:f>'A. Quarterly data'!Q34:T34</xm:f>
              <xm:sqref>U34</xm:sqref>
            </x14:sparkline>
            <x14:sparkline>
              <xm:f>'A. Quarterly data'!Q35:T35</xm:f>
              <xm:sqref>U35</xm:sqref>
            </x14:sparkline>
          </x14:sparklines>
        </x14:sparklineGroup>
        <x14:sparklineGroup type="column" displayEmptyCellsAs="gap" negative="1" xr2:uid="{B8F73C96-C554-4DCF-9598-B3299CED7BC1}">
          <x14:colorSeries rgb="FF376092"/>
          <x14:colorNegative rgb="FFD00000"/>
          <x14:colorAxis rgb="FF000000"/>
          <x14:colorMarkers rgb="FFD00000"/>
          <x14:colorFirst rgb="FFD00000"/>
          <x14:colorLast rgb="FFD00000"/>
          <x14:colorHigh rgb="FFD00000"/>
          <x14:colorLow rgb="FFD00000"/>
          <x14:sparklines>
            <x14:sparkline>
              <xm:f>'A. Quarterly data'!H84:P84</xm:f>
              <xm:sqref>Q84</xm:sqref>
            </x14:sparkline>
            <x14:sparkline>
              <xm:f>'A. Quarterly data'!H85:P85</xm:f>
              <xm:sqref>Q85</xm:sqref>
            </x14:sparkline>
            <x14:sparkline>
              <xm:f>'A. Quarterly data'!H86:P86</xm:f>
              <xm:sqref>Q86</xm:sqref>
            </x14:sparkline>
          </x14:sparklines>
        </x14:sparklineGroup>
        <x14:sparklineGroup type="column" displayEmptyCellsAs="gap" negative="1" xr2:uid="{7BA7D42D-F17E-4DFF-9A12-984A7C70F1FD}">
          <x14:colorSeries rgb="FF376092"/>
          <x14:colorNegative rgb="FFD00000"/>
          <x14:colorAxis rgb="FF000000"/>
          <x14:colorMarkers rgb="FFD00000"/>
          <x14:colorFirst rgb="FFD00000"/>
          <x14:colorLast rgb="FFD00000"/>
          <x14:colorHigh rgb="FFD00000"/>
          <x14:colorLow rgb="FFD00000"/>
          <x14:sparklines>
            <x14:sparkline>
              <xm:f>'A. Quarterly data'!H118:P118</xm:f>
              <xm:sqref>Q118</xm:sqref>
            </x14:sparkline>
            <x14:sparkline>
              <xm:f>'A. Quarterly data'!H119:P119</xm:f>
              <xm:sqref>Q119</xm:sqref>
            </x14:sparkline>
            <x14:sparkline>
              <xm:f>'A. Quarterly data'!H120:P120</xm:f>
              <xm:sqref>Q120</xm:sqref>
            </x14:sparkline>
          </x14:sparklines>
        </x14:sparklineGroup>
      </x14:sparklineGroup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D0106F-ECFF-4E77-B520-820248758295}">
  <sheetPr codeName="Sheet7">
    <tabColor rgb="FFFF0000"/>
  </sheetPr>
  <dimension ref="A1:XFD88"/>
  <sheetViews>
    <sheetView showGridLines="0" zoomScale="52" zoomScaleNormal="99" workbookViewId="0">
      <pane ySplit="1" topLeftCell="A2" activePane="bottomLeft" state="frozen"/>
      <selection pane="bottomLeft" activeCell="I15" sqref="I15"/>
    </sheetView>
  </sheetViews>
  <sheetFormatPr defaultRowHeight="14.5" x14ac:dyDescent="0.35"/>
  <cols>
    <col min="1" max="2" width="2.7265625" customWidth="1"/>
    <col min="3" max="3" width="50.54296875" customWidth="1"/>
    <col min="4" max="10" width="12.7265625" customWidth="1"/>
  </cols>
  <sheetData>
    <row r="1" spans="1:13" s="2" customFormat="1" ht="39" x14ac:dyDescent="1">
      <c r="A1" s="2" t="s">
        <v>67</v>
      </c>
    </row>
    <row r="3" spans="1:13" s="3" customFormat="1" ht="20.25" customHeight="1" x14ac:dyDescent="0.55000000000000004">
      <c r="A3" s="60" t="s">
        <v>81</v>
      </c>
      <c r="D3" s="80" t="s">
        <v>82</v>
      </c>
      <c r="E3" s="81"/>
    </row>
    <row r="5" spans="1:13" s="3" customFormat="1" ht="15" customHeight="1" x14ac:dyDescent="0.5">
      <c r="B5" s="80" t="s">
        <v>83</v>
      </c>
      <c r="C5" s="80" t="s">
        <v>16</v>
      </c>
    </row>
    <row r="6" spans="1:13" s="3" customFormat="1" ht="5.25" customHeight="1" x14ac:dyDescent="0.5">
      <c r="B6" s="80"/>
      <c r="C6" s="80"/>
    </row>
    <row r="7" spans="1:13" s="3" customFormat="1" ht="15" customHeight="1" x14ac:dyDescent="0.5">
      <c r="B7" s="80" t="s">
        <v>84</v>
      </c>
      <c r="C7" s="80" t="s">
        <v>21</v>
      </c>
    </row>
    <row r="8" spans="1:13" ht="14.5" customHeight="1" x14ac:dyDescent="0.35">
      <c r="D8" s="1"/>
      <c r="E8" s="1"/>
      <c r="F8" s="1"/>
      <c r="G8" s="1"/>
    </row>
    <row r="9" spans="1:13" ht="14.5" customHeight="1" x14ac:dyDescent="0.35">
      <c r="D9" s="1"/>
      <c r="E9" s="1"/>
      <c r="F9" s="1"/>
      <c r="G9" s="1"/>
    </row>
    <row r="10" spans="1:13" ht="21" x14ac:dyDescent="0.55000000000000004">
      <c r="A10" s="60" t="s">
        <v>87</v>
      </c>
      <c r="B10" s="13"/>
      <c r="C10" s="3"/>
      <c r="D10" s="1"/>
      <c r="E10" s="1"/>
      <c r="F10" s="1"/>
      <c r="G10" s="1"/>
    </row>
    <row r="11" spans="1:13" ht="18.5" x14ac:dyDescent="0.5">
      <c r="A11" s="3"/>
      <c r="B11" s="3"/>
      <c r="C11" s="3"/>
      <c r="D11" s="1"/>
      <c r="E11" s="1"/>
      <c r="F11" s="1"/>
      <c r="G11" s="1"/>
    </row>
    <row r="12" spans="1:13" ht="18.5" x14ac:dyDescent="0.5">
      <c r="A12" s="47"/>
      <c r="B12" s="4" t="s">
        <v>59</v>
      </c>
      <c r="D12" s="5"/>
      <c r="E12" s="28"/>
      <c r="F12" s="28"/>
      <c r="G12" s="28"/>
    </row>
    <row r="13" spans="1:13" ht="19" thickBot="1" x14ac:dyDescent="0.55000000000000004">
      <c r="A13" s="3"/>
      <c r="B13" s="3"/>
      <c r="C13" s="6" t="s">
        <v>32</v>
      </c>
      <c r="D13" s="7" t="s">
        <v>13</v>
      </c>
      <c r="E13" s="7" t="s">
        <v>6</v>
      </c>
      <c r="F13" s="7" t="s">
        <v>7</v>
      </c>
      <c r="G13" s="7" t="s">
        <v>4</v>
      </c>
      <c r="H13" s="7" t="s">
        <v>103</v>
      </c>
      <c r="I13" s="7" t="s">
        <v>159</v>
      </c>
    </row>
    <row r="14" spans="1:13" ht="18.5" x14ac:dyDescent="0.5">
      <c r="A14" s="3"/>
      <c r="B14" s="3"/>
      <c r="C14" s="8" t="s">
        <v>21</v>
      </c>
      <c r="D14" s="9">
        <v>9.1</v>
      </c>
      <c r="E14" s="90">
        <v>23.6</v>
      </c>
      <c r="F14" s="90">
        <v>21.6</v>
      </c>
      <c r="G14" s="90">
        <v>47.6</v>
      </c>
      <c r="H14" s="24">
        <v>61.47</v>
      </c>
      <c r="I14" s="24">
        <v>77.92</v>
      </c>
      <c r="J14" s="32"/>
      <c r="K14" s="32"/>
      <c r="L14" s="32"/>
      <c r="M14" s="32"/>
    </row>
    <row r="15" spans="1:13" ht="18.5" x14ac:dyDescent="0.5">
      <c r="A15" s="3"/>
      <c r="B15" s="3"/>
      <c r="C15" s="8" t="s">
        <v>15</v>
      </c>
      <c r="D15" s="9">
        <v>0.1</v>
      </c>
      <c r="E15" s="90">
        <v>1.1000000000000001</v>
      </c>
      <c r="F15" s="90">
        <v>2</v>
      </c>
      <c r="G15" s="90">
        <v>5.4</v>
      </c>
      <c r="H15" s="24">
        <v>15.06</v>
      </c>
      <c r="I15" s="24">
        <v>31.72</v>
      </c>
      <c r="J15" s="32"/>
      <c r="K15" s="32"/>
      <c r="L15" s="32"/>
    </row>
    <row r="16" spans="1:13" ht="20" x14ac:dyDescent="0.5">
      <c r="A16" s="3"/>
      <c r="B16" s="3"/>
      <c r="C16" s="8" t="s">
        <v>56</v>
      </c>
      <c r="D16" s="9" t="s">
        <v>10</v>
      </c>
      <c r="E16" s="91" t="s">
        <v>10</v>
      </c>
      <c r="F16" s="91" t="s">
        <v>10</v>
      </c>
      <c r="G16" s="91" t="s">
        <v>10</v>
      </c>
      <c r="H16" s="24">
        <v>8.06</v>
      </c>
      <c r="I16" s="24">
        <v>23.01</v>
      </c>
      <c r="J16" s="32"/>
      <c r="K16" s="32"/>
      <c r="L16" s="32"/>
    </row>
    <row r="17" spans="1:22" ht="18.399999999999999" customHeight="1" x14ac:dyDescent="0.5">
      <c r="A17" s="3"/>
      <c r="B17" s="3"/>
      <c r="C17" s="8" t="s">
        <v>121</v>
      </c>
      <c r="D17" s="356">
        <v>4.8</v>
      </c>
      <c r="E17" s="358">
        <v>6.6</v>
      </c>
      <c r="F17" s="358">
        <v>2.8</v>
      </c>
      <c r="G17" s="358">
        <v>2.4</v>
      </c>
      <c r="H17" s="354">
        <v>2.34</v>
      </c>
      <c r="I17" s="24">
        <v>2.58</v>
      </c>
      <c r="J17" s="215"/>
      <c r="K17" s="215"/>
      <c r="L17" s="215"/>
      <c r="M17" s="215"/>
      <c r="N17" s="215"/>
      <c r="O17" s="215"/>
      <c r="P17" s="215"/>
      <c r="Q17" s="215"/>
      <c r="R17" s="215"/>
      <c r="S17" s="215"/>
      <c r="T17" s="215"/>
      <c r="U17" s="215"/>
      <c r="V17" s="215"/>
    </row>
    <row r="18" spans="1:22" ht="17.5" customHeight="1" x14ac:dyDescent="0.5">
      <c r="A18" s="3"/>
      <c r="B18" s="3"/>
      <c r="C18" s="8" t="s">
        <v>171</v>
      </c>
      <c r="D18" s="357"/>
      <c r="E18" s="359"/>
      <c r="F18" s="359"/>
      <c r="G18" s="359"/>
      <c r="H18" s="355"/>
      <c r="I18" s="24">
        <v>0.22</v>
      </c>
      <c r="J18" s="215"/>
      <c r="K18" s="215"/>
      <c r="L18" s="215"/>
      <c r="M18" s="215"/>
      <c r="N18" s="215"/>
      <c r="O18" s="215"/>
      <c r="P18" s="215"/>
      <c r="Q18" s="215"/>
      <c r="R18" s="215"/>
      <c r="S18" s="215"/>
      <c r="T18" s="215"/>
      <c r="U18" s="215"/>
      <c r="V18" s="215"/>
    </row>
    <row r="19" spans="1:22" ht="18.5" x14ac:dyDescent="0.5">
      <c r="A19" s="3"/>
      <c r="B19" s="3"/>
      <c r="C19" s="11" t="s">
        <v>33</v>
      </c>
      <c r="D19" s="30">
        <v>14</v>
      </c>
      <c r="E19" s="92">
        <v>31.3</v>
      </c>
      <c r="F19" s="92">
        <v>26.5</v>
      </c>
      <c r="G19" s="92">
        <v>55.4</v>
      </c>
      <c r="H19" s="44">
        <v>86.93</v>
      </c>
      <c r="I19" s="44">
        <v>135.44999999999999</v>
      </c>
      <c r="J19" s="32"/>
      <c r="K19" s="32"/>
      <c r="L19" s="32"/>
    </row>
    <row r="20" spans="1:22" ht="18.5" x14ac:dyDescent="0.5">
      <c r="A20" s="3"/>
      <c r="B20" s="3"/>
      <c r="C20" s="12" t="s">
        <v>14</v>
      </c>
      <c r="D20" s="10">
        <v>2.0099999999999998</v>
      </c>
      <c r="E20" s="93">
        <v>1.23</v>
      </c>
      <c r="F20" s="93">
        <v>-0.15</v>
      </c>
      <c r="G20" s="93">
        <v>1.0900000000000001</v>
      </c>
      <c r="H20" s="10">
        <v>0.56999999999999995</v>
      </c>
      <c r="I20" s="10">
        <v>0.56000000000000005</v>
      </c>
      <c r="J20" s="34"/>
      <c r="K20" s="34"/>
    </row>
    <row r="21" spans="1:22" ht="18.5" x14ac:dyDescent="0.5">
      <c r="A21" s="3"/>
      <c r="B21" s="3"/>
      <c r="C21" s="11" t="s">
        <v>34</v>
      </c>
      <c r="D21" s="30">
        <v>14</v>
      </c>
      <c r="E21" s="92">
        <v>31.3</v>
      </c>
      <c r="F21" s="92">
        <v>26.5</v>
      </c>
      <c r="G21" s="92">
        <v>55.4</v>
      </c>
      <c r="H21" s="44">
        <v>78.87</v>
      </c>
      <c r="I21" s="116"/>
      <c r="J21" s="34"/>
      <c r="K21" s="34"/>
    </row>
    <row r="22" spans="1:22" ht="18.5" x14ac:dyDescent="0.5">
      <c r="A22" s="3"/>
      <c r="B22" s="3"/>
      <c r="C22" s="12" t="s">
        <v>14</v>
      </c>
      <c r="D22" s="10">
        <v>2.0099999999999998</v>
      </c>
      <c r="E22" s="93">
        <v>1.23</v>
      </c>
      <c r="F22" s="93">
        <v>-0.15</v>
      </c>
      <c r="G22" s="93">
        <v>1.0900000000000001</v>
      </c>
      <c r="H22" s="10">
        <v>0.42</v>
      </c>
      <c r="I22" s="120"/>
      <c r="J22" s="34"/>
      <c r="K22" s="34"/>
    </row>
    <row r="23" spans="1:22" ht="5.25" customHeight="1" x14ac:dyDescent="0.5">
      <c r="A23" s="3"/>
      <c r="B23" s="3"/>
      <c r="C23" s="21"/>
      <c r="D23" s="19"/>
      <c r="E23" s="94"/>
      <c r="F23" s="94"/>
      <c r="G23" s="94"/>
    </row>
    <row r="24" spans="1:22" ht="18.75" customHeight="1" x14ac:dyDescent="0.5">
      <c r="A24" s="3"/>
      <c r="B24" s="3"/>
      <c r="C24" s="59" t="s">
        <v>63</v>
      </c>
      <c r="D24" s="19"/>
      <c r="E24" s="19"/>
      <c r="F24" s="19"/>
      <c r="G24" s="19"/>
    </row>
    <row r="25" spans="1:22" ht="18.75" customHeight="1" x14ac:dyDescent="0.5">
      <c r="A25" s="3"/>
      <c r="B25" s="3"/>
      <c r="C25" s="89" t="s">
        <v>168</v>
      </c>
      <c r="D25" s="19"/>
      <c r="E25" s="19"/>
      <c r="F25" s="19"/>
      <c r="G25" s="19"/>
    </row>
    <row r="26" spans="1:22" ht="10" customHeight="1" x14ac:dyDescent="0.5">
      <c r="A26" s="3"/>
      <c r="B26" s="3"/>
      <c r="C26" s="352" t="s">
        <v>170</v>
      </c>
      <c r="D26" s="352"/>
      <c r="E26" s="352"/>
      <c r="F26" s="352"/>
      <c r="G26" s="352"/>
      <c r="H26" s="352"/>
      <c r="I26" s="352"/>
    </row>
    <row r="27" spans="1:22" ht="10" customHeight="1" x14ac:dyDescent="0.5">
      <c r="A27" s="3"/>
      <c r="B27" s="3"/>
      <c r="C27" s="352"/>
      <c r="D27" s="352"/>
      <c r="E27" s="352"/>
      <c r="F27" s="352"/>
      <c r="G27" s="352"/>
      <c r="H27" s="352"/>
      <c r="I27" s="352"/>
    </row>
    <row r="28" spans="1:22" ht="10" customHeight="1" x14ac:dyDescent="0.5">
      <c r="A28" s="3"/>
      <c r="B28" s="3"/>
      <c r="C28" s="352"/>
      <c r="D28" s="352"/>
      <c r="E28" s="352"/>
      <c r="F28" s="352"/>
      <c r="G28" s="352"/>
      <c r="H28" s="352"/>
      <c r="I28" s="352"/>
    </row>
    <row r="29" spans="1:22" ht="10" customHeight="1" x14ac:dyDescent="0.5">
      <c r="A29" s="3"/>
      <c r="B29" s="3"/>
      <c r="C29" s="352"/>
      <c r="D29" s="352"/>
      <c r="E29" s="352"/>
      <c r="F29" s="352"/>
      <c r="G29" s="352"/>
      <c r="H29" s="352"/>
      <c r="I29" s="352"/>
    </row>
    <row r="30" spans="1:22" ht="10" customHeight="1" x14ac:dyDescent="0.5">
      <c r="A30" s="3"/>
      <c r="B30" s="3"/>
      <c r="C30" s="352"/>
      <c r="D30" s="352"/>
      <c r="E30" s="352"/>
      <c r="F30" s="352"/>
      <c r="G30" s="352"/>
      <c r="H30" s="352"/>
      <c r="I30" s="352"/>
    </row>
    <row r="31" spans="1:22" ht="15" customHeight="1" x14ac:dyDescent="0.5">
      <c r="A31" s="3"/>
      <c r="B31" s="3"/>
      <c r="C31" s="352" t="s">
        <v>169</v>
      </c>
      <c r="D31" s="352"/>
      <c r="E31" s="352"/>
      <c r="F31" s="352"/>
      <c r="G31" s="352"/>
      <c r="H31" s="352"/>
      <c r="I31" s="352"/>
    </row>
    <row r="32" spans="1:22" ht="15" customHeight="1" x14ac:dyDescent="0.5">
      <c r="A32" s="3"/>
      <c r="B32" s="3"/>
      <c r="C32" s="352"/>
      <c r="D32" s="352"/>
      <c r="E32" s="352"/>
      <c r="F32" s="352"/>
      <c r="G32" s="352"/>
      <c r="H32" s="352"/>
      <c r="I32" s="352"/>
    </row>
    <row r="33" spans="1:12" ht="15" customHeight="1" x14ac:dyDescent="0.5">
      <c r="A33" s="3"/>
      <c r="B33" s="3"/>
      <c r="C33" s="352"/>
      <c r="D33" s="352"/>
      <c r="E33" s="352"/>
      <c r="F33" s="352"/>
      <c r="G33" s="352"/>
      <c r="H33" s="352"/>
      <c r="I33" s="352"/>
    </row>
    <row r="34" spans="1:12" ht="12" customHeight="1" x14ac:dyDescent="0.5">
      <c r="A34" s="3"/>
      <c r="B34" s="3"/>
      <c r="C34" s="103" t="s">
        <v>161</v>
      </c>
      <c r="D34" s="41"/>
      <c r="E34" s="41"/>
      <c r="F34" s="41"/>
      <c r="G34" s="41"/>
      <c r="H34" s="41"/>
    </row>
    <row r="35" spans="1:12" ht="18.75" customHeight="1" x14ac:dyDescent="0.5">
      <c r="A35" s="3"/>
      <c r="B35" s="3"/>
      <c r="C35" s="71" t="s">
        <v>162</v>
      </c>
      <c r="D35" s="59"/>
      <c r="E35" s="59"/>
      <c r="F35" s="59"/>
      <c r="G35" s="59"/>
    </row>
    <row r="36" spans="1:12" ht="14.5" customHeight="1" x14ac:dyDescent="0.35">
      <c r="C36" s="80" t="s">
        <v>90</v>
      </c>
      <c r="D36" s="27"/>
      <c r="E36" s="27"/>
      <c r="F36" s="27"/>
      <c r="G36" s="27"/>
    </row>
    <row r="37" spans="1:12" ht="14.5" customHeight="1" x14ac:dyDescent="0.35">
      <c r="C37" s="80"/>
      <c r="D37" s="27"/>
      <c r="E37" s="27"/>
      <c r="F37" s="27"/>
      <c r="G37" s="27"/>
    </row>
    <row r="38" spans="1:12" ht="18.5" x14ac:dyDescent="0.5">
      <c r="A38" s="47"/>
      <c r="B38" s="4" t="s">
        <v>101</v>
      </c>
      <c r="D38" s="5"/>
      <c r="E38" s="5"/>
      <c r="F38" s="5"/>
      <c r="G38" s="5"/>
    </row>
    <row r="39" spans="1:12" ht="19" thickBot="1" x14ac:dyDescent="0.55000000000000004">
      <c r="C39" s="6" t="s">
        <v>32</v>
      </c>
      <c r="D39" s="7" t="s">
        <v>13</v>
      </c>
      <c r="E39" s="7" t="s">
        <v>6</v>
      </c>
      <c r="F39" s="7" t="s">
        <v>7</v>
      </c>
      <c r="G39" s="7" t="s">
        <v>4</v>
      </c>
      <c r="H39" s="7" t="s">
        <v>103</v>
      </c>
      <c r="I39" s="7" t="s">
        <v>159</v>
      </c>
    </row>
    <row r="40" spans="1:12" ht="18.5" x14ac:dyDescent="0.35">
      <c r="C40" s="8" t="s">
        <v>21</v>
      </c>
      <c r="D40" s="87"/>
      <c r="E40" s="88"/>
      <c r="F40" s="9">
        <v>-1.7</v>
      </c>
      <c r="G40" s="9">
        <v>-7.7</v>
      </c>
      <c r="H40" s="24">
        <v>-0.1</v>
      </c>
      <c r="I40" s="24">
        <v>9.1199999999999992</v>
      </c>
      <c r="J40" s="32"/>
      <c r="K40" s="32"/>
      <c r="L40" s="32"/>
    </row>
    <row r="41" spans="1:12" ht="18.5" x14ac:dyDescent="0.35">
      <c r="C41" s="8" t="s">
        <v>15</v>
      </c>
      <c r="D41" s="87"/>
      <c r="E41" s="88"/>
      <c r="F41" s="9">
        <v>-0.5</v>
      </c>
      <c r="G41" s="9">
        <v>-1.4</v>
      </c>
      <c r="H41" s="24">
        <v>-1.94</v>
      </c>
      <c r="I41" s="24">
        <v>-1.26</v>
      </c>
      <c r="J41" s="32"/>
      <c r="K41" s="32"/>
      <c r="L41" s="32"/>
    </row>
    <row r="42" spans="1:12" ht="20" x14ac:dyDescent="0.35">
      <c r="C42" s="8" t="s">
        <v>56</v>
      </c>
      <c r="D42" s="87"/>
      <c r="E42" s="88"/>
      <c r="F42" s="9" t="s">
        <v>10</v>
      </c>
      <c r="G42" s="9" t="s">
        <v>10</v>
      </c>
      <c r="H42" s="24">
        <v>-5.62</v>
      </c>
      <c r="I42" s="24">
        <v>-3.84</v>
      </c>
      <c r="J42" s="32"/>
      <c r="K42" s="32"/>
      <c r="L42" s="32"/>
    </row>
    <row r="43" spans="1:12" ht="18.5" x14ac:dyDescent="0.35">
      <c r="C43" s="8" t="s">
        <v>121</v>
      </c>
      <c r="D43" s="360"/>
      <c r="E43" s="361"/>
      <c r="F43" s="356">
        <v>-1</v>
      </c>
      <c r="G43" s="356">
        <v>-0.7</v>
      </c>
      <c r="H43" s="354">
        <v>-0.17</v>
      </c>
      <c r="I43" s="24">
        <v>-0.06</v>
      </c>
      <c r="J43" s="32"/>
      <c r="K43" s="32"/>
      <c r="L43" s="32"/>
    </row>
    <row r="44" spans="1:12" ht="20" x14ac:dyDescent="0.35">
      <c r="C44" s="8" t="s">
        <v>171</v>
      </c>
      <c r="D44" s="360"/>
      <c r="E44" s="361"/>
      <c r="F44" s="357"/>
      <c r="G44" s="357"/>
      <c r="H44" s="355"/>
      <c r="I44" s="24">
        <v>-0.24</v>
      </c>
      <c r="J44" s="32"/>
      <c r="K44" s="32"/>
      <c r="L44" s="32"/>
    </row>
    <row r="45" spans="1:12" ht="18.5" x14ac:dyDescent="0.35">
      <c r="C45" s="11" t="s">
        <v>20</v>
      </c>
      <c r="D45" s="30">
        <v>-21.4</v>
      </c>
      <c r="E45" s="92">
        <v>-22.1</v>
      </c>
      <c r="F45" s="92">
        <v>-3.3</v>
      </c>
      <c r="G45" s="92">
        <v>-9.6999999999999993</v>
      </c>
      <c r="H45" s="44">
        <v>-7.83</v>
      </c>
      <c r="I45" s="44">
        <v>3.72</v>
      </c>
      <c r="J45" s="32"/>
      <c r="K45" s="32"/>
      <c r="L45" s="32"/>
    </row>
    <row r="46" spans="1:12" ht="18.5" x14ac:dyDescent="0.35">
      <c r="C46" s="12" t="s">
        <v>17</v>
      </c>
      <c r="D46" s="10">
        <v>-1.53</v>
      </c>
      <c r="E46" s="93">
        <v>-0.71</v>
      </c>
      <c r="F46" s="93">
        <v>-0.12</v>
      </c>
      <c r="G46" s="93">
        <v>-0.18</v>
      </c>
      <c r="H46" s="10">
        <v>-0.09</v>
      </c>
      <c r="I46" s="10">
        <v>0.03</v>
      </c>
      <c r="J46" s="34"/>
      <c r="K46" s="34"/>
      <c r="L46" s="34"/>
    </row>
    <row r="47" spans="1:12" ht="18.5" x14ac:dyDescent="0.35">
      <c r="C47" s="11" t="s">
        <v>35</v>
      </c>
      <c r="D47" s="30">
        <v>-21.4</v>
      </c>
      <c r="E47" s="92">
        <v>-22.1</v>
      </c>
      <c r="F47" s="92">
        <v>-3.3</v>
      </c>
      <c r="G47" s="92">
        <v>-9.6999999999999993</v>
      </c>
      <c r="H47" s="44">
        <v>-2.21</v>
      </c>
      <c r="I47" s="116"/>
      <c r="J47" s="32"/>
      <c r="K47" s="32"/>
      <c r="L47" s="32"/>
    </row>
    <row r="48" spans="1:12" ht="18.5" x14ac:dyDescent="0.35">
      <c r="C48" s="12" t="s">
        <v>105</v>
      </c>
      <c r="D48" s="10">
        <v>-1.53</v>
      </c>
      <c r="E48" s="10">
        <v>-0.71</v>
      </c>
      <c r="F48" s="10">
        <v>-0.12</v>
      </c>
      <c r="G48" s="10">
        <v>-0.18</v>
      </c>
      <c r="H48" s="10">
        <v>-0.03</v>
      </c>
      <c r="I48" s="120"/>
      <c r="J48" s="34"/>
      <c r="K48" s="34"/>
      <c r="L48" s="34"/>
    </row>
    <row r="49" spans="3:9" ht="5.25" customHeight="1" x14ac:dyDescent="0.35"/>
    <row r="50" spans="3:9" ht="18.75" customHeight="1" x14ac:dyDescent="0.35">
      <c r="C50" s="20" t="s">
        <v>63</v>
      </c>
    </row>
    <row r="51" spans="3:9" ht="18.75" customHeight="1" x14ac:dyDescent="0.35">
      <c r="C51" s="20" t="s">
        <v>106</v>
      </c>
    </row>
    <row r="52" spans="3:9" ht="15" customHeight="1" x14ac:dyDescent="0.35">
      <c r="C52" s="352" t="s">
        <v>170</v>
      </c>
      <c r="D52" s="352"/>
      <c r="E52" s="352"/>
      <c r="F52" s="352"/>
      <c r="G52" s="352"/>
      <c r="H52" s="352"/>
      <c r="I52" s="352"/>
    </row>
    <row r="53" spans="3:9" ht="15" customHeight="1" x14ac:dyDescent="0.35">
      <c r="C53" s="352"/>
      <c r="D53" s="352"/>
      <c r="E53" s="352"/>
      <c r="F53" s="352"/>
      <c r="G53" s="352"/>
      <c r="H53" s="352"/>
      <c r="I53" s="352"/>
    </row>
    <row r="54" spans="3:9" ht="15" customHeight="1" x14ac:dyDescent="0.35">
      <c r="C54" s="352"/>
      <c r="D54" s="352"/>
      <c r="E54" s="352"/>
      <c r="F54" s="352"/>
      <c r="G54" s="352"/>
      <c r="H54" s="352"/>
      <c r="I54" s="352"/>
    </row>
    <row r="55" spans="3:9" ht="15" customHeight="1" x14ac:dyDescent="0.35">
      <c r="C55" s="352" t="s">
        <v>169</v>
      </c>
      <c r="D55" s="352"/>
      <c r="E55" s="352"/>
      <c r="F55" s="352"/>
      <c r="G55" s="352"/>
      <c r="H55" s="352"/>
      <c r="I55" s="352"/>
    </row>
    <row r="56" spans="3:9" ht="15" customHeight="1" x14ac:dyDescent="0.35">
      <c r="C56" s="352"/>
      <c r="D56" s="352"/>
      <c r="E56" s="352"/>
      <c r="F56" s="352"/>
      <c r="G56" s="352"/>
      <c r="H56" s="352"/>
      <c r="I56" s="352"/>
    </row>
    <row r="57" spans="3:9" ht="15" customHeight="1" x14ac:dyDescent="0.35">
      <c r="C57" s="352"/>
      <c r="D57" s="352"/>
      <c r="E57" s="352"/>
      <c r="F57" s="352"/>
      <c r="G57" s="352"/>
      <c r="H57" s="352"/>
      <c r="I57" s="352"/>
    </row>
    <row r="58" spans="3:9" ht="18" customHeight="1" x14ac:dyDescent="0.35">
      <c r="C58" s="352" t="s">
        <v>172</v>
      </c>
      <c r="D58" s="352"/>
      <c r="E58" s="352"/>
      <c r="F58" s="352"/>
      <c r="G58" s="352"/>
      <c r="H58" s="352"/>
      <c r="I58" s="352"/>
    </row>
    <row r="59" spans="3:9" ht="18" customHeight="1" x14ac:dyDescent="0.35">
      <c r="C59" s="352"/>
      <c r="D59" s="352"/>
      <c r="E59" s="352"/>
      <c r="F59" s="352"/>
      <c r="G59" s="352"/>
      <c r="H59" s="352"/>
      <c r="I59" s="352"/>
    </row>
    <row r="60" spans="3:9" ht="18" customHeight="1" x14ac:dyDescent="0.35">
      <c r="C60" s="352"/>
      <c r="D60" s="352"/>
      <c r="E60" s="352"/>
      <c r="F60" s="352"/>
      <c r="G60" s="352"/>
      <c r="H60" s="352"/>
      <c r="I60" s="352"/>
    </row>
    <row r="61" spans="3:9" ht="18" customHeight="1" x14ac:dyDescent="0.35">
      <c r="C61" s="352"/>
      <c r="D61" s="352"/>
      <c r="E61" s="352"/>
      <c r="F61" s="352"/>
      <c r="G61" s="352"/>
      <c r="H61" s="352"/>
      <c r="I61" s="352"/>
    </row>
    <row r="62" spans="3:9" ht="18" customHeight="1" x14ac:dyDescent="0.35">
      <c r="C62" s="352"/>
      <c r="D62" s="352"/>
      <c r="E62" s="352"/>
      <c r="F62" s="352"/>
      <c r="G62" s="352"/>
      <c r="H62" s="352"/>
      <c r="I62" s="352"/>
    </row>
    <row r="63" spans="3:9" ht="14.5" customHeight="1" x14ac:dyDescent="0.35">
      <c r="C63" s="71" t="s">
        <v>162</v>
      </c>
      <c r="D63" s="27"/>
      <c r="E63" s="27"/>
      <c r="F63" s="27"/>
      <c r="G63" s="27"/>
    </row>
    <row r="64" spans="3:9" ht="14.5" customHeight="1" x14ac:dyDescent="0.35">
      <c r="C64" s="80" t="s">
        <v>90</v>
      </c>
      <c r="D64" s="27"/>
      <c r="E64" s="27"/>
      <c r="F64" s="27"/>
      <c r="G64" s="27"/>
    </row>
    <row r="65" spans="1:12" ht="14.5" customHeight="1" x14ac:dyDescent="0.35">
      <c r="C65" s="71"/>
      <c r="D65" s="27"/>
      <c r="E65" s="27"/>
      <c r="F65" s="27"/>
      <c r="G65" s="27"/>
    </row>
    <row r="66" spans="1:12" ht="14.5" customHeight="1" x14ac:dyDescent="0.35"/>
    <row r="67" spans="1:12" ht="21" x14ac:dyDescent="0.55000000000000004">
      <c r="A67" s="60" t="s">
        <v>88</v>
      </c>
      <c r="B67" s="13"/>
      <c r="C67" s="3"/>
      <c r="D67" s="3"/>
      <c r="E67" s="3"/>
      <c r="F67" s="3"/>
      <c r="G67" s="3"/>
    </row>
    <row r="68" spans="1:12" ht="18.5" x14ac:dyDescent="0.5">
      <c r="A68" s="3"/>
      <c r="B68" s="3"/>
      <c r="C68" s="3"/>
      <c r="D68" s="3"/>
      <c r="E68" s="3"/>
      <c r="F68" s="3"/>
      <c r="G68" s="3"/>
    </row>
    <row r="69" spans="1:12" ht="18.5" x14ac:dyDescent="0.5">
      <c r="A69" s="46"/>
      <c r="B69" s="4" t="s">
        <v>60</v>
      </c>
      <c r="D69" s="5"/>
      <c r="E69" s="5"/>
      <c r="F69" s="5"/>
      <c r="G69" s="5"/>
    </row>
    <row r="70" spans="1:12" ht="19" thickBot="1" x14ac:dyDescent="0.55000000000000004">
      <c r="A70" s="3"/>
      <c r="B70" s="3"/>
      <c r="C70" s="6" t="s">
        <v>32</v>
      </c>
      <c r="D70" s="7" t="s">
        <v>13</v>
      </c>
      <c r="E70" s="7" t="s">
        <v>6</v>
      </c>
      <c r="F70" s="7" t="s">
        <v>7</v>
      </c>
      <c r="G70" s="7" t="s">
        <v>4</v>
      </c>
      <c r="H70" s="7" t="s">
        <v>103</v>
      </c>
      <c r="I70" s="7" t="s">
        <v>159</v>
      </c>
    </row>
    <row r="71" spans="1:12" ht="18.5" x14ac:dyDescent="0.5">
      <c r="A71" s="3"/>
      <c r="B71" s="3"/>
      <c r="C71" s="8" t="s">
        <v>8</v>
      </c>
      <c r="D71" s="9">
        <v>53.9</v>
      </c>
      <c r="E71" s="9">
        <v>112.2</v>
      </c>
      <c r="F71" s="9">
        <v>94.8</v>
      </c>
      <c r="G71" s="9">
        <v>213</v>
      </c>
      <c r="H71" s="24">
        <v>263.05</v>
      </c>
      <c r="I71" s="24">
        <v>322.24</v>
      </c>
      <c r="J71" s="314">
        <f t="shared" ref="J71:K71" si="0">G71/F71-1</f>
        <v>1.2468354430379747</v>
      </c>
      <c r="K71" s="314">
        <f t="shared" si="0"/>
        <v>0.23497652582159634</v>
      </c>
      <c r="L71" s="314">
        <f>I71/H71-1</f>
        <v>0.22501425584489643</v>
      </c>
    </row>
    <row r="72" spans="1:12" ht="18.5" x14ac:dyDescent="0.5">
      <c r="A72" s="3"/>
      <c r="B72" s="3"/>
      <c r="C72" s="8" t="s">
        <v>18</v>
      </c>
      <c r="D72" s="9">
        <v>191</v>
      </c>
      <c r="E72" s="9">
        <v>403.1</v>
      </c>
      <c r="F72" s="9">
        <v>238.9</v>
      </c>
      <c r="G72" s="9">
        <v>535.20000000000005</v>
      </c>
      <c r="H72" s="9">
        <v>647</v>
      </c>
      <c r="I72" s="9">
        <v>753.2</v>
      </c>
      <c r="J72" s="32"/>
      <c r="K72" s="32"/>
      <c r="L72" s="32"/>
    </row>
    <row r="73" spans="1:12" ht="18.5" x14ac:dyDescent="0.5">
      <c r="A73" s="3"/>
      <c r="B73" s="3"/>
      <c r="C73" s="8" t="s">
        <v>3</v>
      </c>
      <c r="D73" s="14">
        <v>282</v>
      </c>
      <c r="E73" s="14">
        <v>278</v>
      </c>
      <c r="F73" s="14">
        <v>397</v>
      </c>
      <c r="G73" s="14">
        <v>398</v>
      </c>
      <c r="H73" s="14">
        <v>407</v>
      </c>
      <c r="I73" s="14">
        <v>428</v>
      </c>
      <c r="J73" s="32"/>
      <c r="K73" s="32"/>
      <c r="L73" s="32"/>
    </row>
    <row r="74" spans="1:12" ht="18.5" x14ac:dyDescent="0.35">
      <c r="C74" s="8" t="s">
        <v>37</v>
      </c>
      <c r="D74" s="39">
        <v>-0.248</v>
      </c>
      <c r="E74" s="39">
        <v>-0.11</v>
      </c>
      <c r="F74" s="39">
        <v>5.1999999999999998E-2</v>
      </c>
      <c r="G74" s="39">
        <v>1.7000000000000001E-2</v>
      </c>
      <c r="H74" s="39">
        <v>4.4999999999999998E-2</v>
      </c>
      <c r="I74" s="39">
        <v>6.9000000000000006E-2</v>
      </c>
      <c r="J74" s="32"/>
      <c r="K74" s="32"/>
      <c r="L74" s="32"/>
    </row>
    <row r="75" spans="1:12" ht="18.75" customHeight="1" x14ac:dyDescent="0.35">
      <c r="C75" s="8" t="s">
        <v>28</v>
      </c>
      <c r="D75" s="9">
        <v>5.6</v>
      </c>
      <c r="E75" s="9">
        <v>10.7</v>
      </c>
      <c r="F75" s="9">
        <v>6.8</v>
      </c>
      <c r="G75" s="9">
        <v>14.7</v>
      </c>
      <c r="H75" s="9">
        <v>17</v>
      </c>
      <c r="I75" s="9">
        <v>18.399999999999999</v>
      </c>
      <c r="J75" s="32"/>
      <c r="K75" s="32"/>
      <c r="L75" s="32"/>
    </row>
    <row r="76" spans="1:12" ht="18.5" x14ac:dyDescent="0.35">
      <c r="C76" s="8" t="s">
        <v>38</v>
      </c>
      <c r="D76" s="14">
        <v>28</v>
      </c>
      <c r="E76" s="14">
        <v>40</v>
      </c>
      <c r="F76" s="14">
        <v>28</v>
      </c>
      <c r="G76" s="14">
        <v>53</v>
      </c>
      <c r="H76" s="14">
        <v>58</v>
      </c>
      <c r="I76" s="14">
        <v>63</v>
      </c>
      <c r="J76" s="32"/>
      <c r="K76" s="32"/>
      <c r="L76" s="32"/>
    </row>
    <row r="77" spans="1:12" ht="37" x14ac:dyDescent="0.35">
      <c r="C77" s="8" t="s">
        <v>29</v>
      </c>
      <c r="D77" s="14">
        <v>61</v>
      </c>
      <c r="E77" s="14">
        <v>131</v>
      </c>
      <c r="F77" s="14">
        <v>110</v>
      </c>
      <c r="G77" s="14">
        <v>180</v>
      </c>
      <c r="H77" s="14">
        <v>210</v>
      </c>
      <c r="I77" s="14">
        <v>247</v>
      </c>
      <c r="J77" s="32"/>
      <c r="K77" s="32"/>
      <c r="L77" s="32"/>
    </row>
    <row r="78" spans="1:12" ht="18.5" x14ac:dyDescent="0.35">
      <c r="C78" s="8" t="s">
        <v>19</v>
      </c>
      <c r="D78" s="14">
        <v>81</v>
      </c>
      <c r="E78" s="14">
        <v>189</v>
      </c>
      <c r="F78" s="14">
        <v>120</v>
      </c>
      <c r="G78" s="14">
        <v>285</v>
      </c>
      <c r="H78" s="14">
        <v>326</v>
      </c>
      <c r="I78" s="14">
        <v>400</v>
      </c>
      <c r="J78" s="32"/>
      <c r="K78" s="32"/>
      <c r="L78" s="32"/>
    </row>
    <row r="79" spans="1:12" ht="5.25" customHeight="1" x14ac:dyDescent="0.35">
      <c r="H79" s="35"/>
    </row>
    <row r="80" spans="1:12" ht="18.5" x14ac:dyDescent="0.35">
      <c r="C80" s="80" t="s">
        <v>90</v>
      </c>
    </row>
    <row r="81" spans="1:16384" ht="15" x14ac:dyDescent="0.35">
      <c r="C81" s="20"/>
    </row>
    <row r="82" spans="1:16384" ht="15" x14ac:dyDescent="0.35">
      <c r="C82" s="20"/>
    </row>
    <row r="83" spans="1:16384" ht="15" x14ac:dyDescent="0.35">
      <c r="C83" s="20"/>
    </row>
    <row r="84" spans="1:16384" ht="15" x14ac:dyDescent="0.35">
      <c r="C84" s="20"/>
    </row>
    <row r="85" spans="1:16384" s="70" customFormat="1" ht="18.5" x14ac:dyDescent="0.5">
      <c r="A85" s="70">
        <v>0</v>
      </c>
      <c r="B85" s="70">
        <v>0</v>
      </c>
      <c r="C85" s="70">
        <v>0</v>
      </c>
      <c r="D85" s="70">
        <v>0</v>
      </c>
      <c r="E85" s="70">
        <v>0</v>
      </c>
      <c r="F85" s="70">
        <v>0</v>
      </c>
      <c r="G85" s="70">
        <v>0</v>
      </c>
      <c r="H85" s="70">
        <v>0</v>
      </c>
      <c r="I85" s="70">
        <v>0</v>
      </c>
      <c r="K85" s="70">
        <v>0</v>
      </c>
      <c r="L85" s="70">
        <v>0</v>
      </c>
      <c r="M85" s="70">
        <v>0</v>
      </c>
      <c r="N85" s="70">
        <v>0</v>
      </c>
      <c r="O85" s="70">
        <v>0</v>
      </c>
      <c r="P85" s="70">
        <v>0</v>
      </c>
      <c r="Q85" s="70">
        <v>0</v>
      </c>
      <c r="R85" s="70">
        <v>0</v>
      </c>
      <c r="S85" s="70">
        <v>0</v>
      </c>
      <c r="T85" s="70">
        <v>0</v>
      </c>
      <c r="U85" s="70">
        <v>0</v>
      </c>
      <c r="V85" s="70">
        <v>0</v>
      </c>
      <c r="W85" s="70">
        <v>0</v>
      </c>
      <c r="X85" s="70">
        <v>0</v>
      </c>
      <c r="Y85" s="70">
        <v>0</v>
      </c>
      <c r="Z85" s="70">
        <v>0</v>
      </c>
      <c r="AA85" s="70">
        <v>0</v>
      </c>
      <c r="AB85" s="70">
        <v>0</v>
      </c>
      <c r="AC85" s="70">
        <v>0</v>
      </c>
      <c r="AD85" s="70">
        <v>0</v>
      </c>
      <c r="AE85" s="70">
        <v>0</v>
      </c>
      <c r="AF85" s="70">
        <v>0</v>
      </c>
      <c r="AG85" s="70">
        <v>0</v>
      </c>
      <c r="AH85" s="70">
        <v>0</v>
      </c>
      <c r="AI85" s="70">
        <v>0</v>
      </c>
      <c r="AJ85" s="70">
        <v>0</v>
      </c>
      <c r="AK85" s="70">
        <v>0</v>
      </c>
      <c r="AL85" s="70">
        <v>0</v>
      </c>
      <c r="AM85" s="70">
        <v>0</v>
      </c>
      <c r="AN85" s="70">
        <v>0</v>
      </c>
      <c r="AO85" s="70">
        <v>0</v>
      </c>
      <c r="AP85" s="70">
        <v>0</v>
      </c>
      <c r="AQ85" s="70">
        <v>0</v>
      </c>
      <c r="AR85" s="70">
        <v>0</v>
      </c>
      <c r="AS85" s="70">
        <v>0</v>
      </c>
      <c r="AT85" s="70">
        <v>0</v>
      </c>
      <c r="AU85" s="70">
        <v>0</v>
      </c>
      <c r="AV85" s="70">
        <v>0</v>
      </c>
      <c r="AW85" s="70">
        <v>0</v>
      </c>
      <c r="AX85" s="70">
        <v>0</v>
      </c>
      <c r="AY85" s="70">
        <v>0</v>
      </c>
      <c r="AZ85" s="70">
        <v>0</v>
      </c>
      <c r="BA85" s="70">
        <v>0</v>
      </c>
      <c r="BB85" s="70">
        <v>0</v>
      </c>
      <c r="BC85" s="70">
        <v>0</v>
      </c>
      <c r="BD85" s="70">
        <v>0</v>
      </c>
      <c r="BE85" s="70">
        <v>0</v>
      </c>
      <c r="BF85" s="70">
        <v>0</v>
      </c>
      <c r="BG85" s="70">
        <v>0</v>
      </c>
      <c r="BH85" s="70">
        <v>0</v>
      </c>
      <c r="BI85" s="70">
        <v>0</v>
      </c>
      <c r="BJ85" s="70">
        <v>0</v>
      </c>
      <c r="BK85" s="70">
        <v>0</v>
      </c>
      <c r="BL85" s="70">
        <v>0</v>
      </c>
      <c r="BM85" s="70">
        <v>0</v>
      </c>
      <c r="BN85" s="70">
        <v>0</v>
      </c>
      <c r="BO85" s="70">
        <v>0</v>
      </c>
      <c r="BP85" s="70">
        <v>0</v>
      </c>
      <c r="BQ85" s="70">
        <v>0</v>
      </c>
      <c r="BR85" s="70">
        <v>0</v>
      </c>
      <c r="BS85" s="70">
        <v>0</v>
      </c>
      <c r="BT85" s="70">
        <v>0</v>
      </c>
      <c r="BU85" s="70">
        <v>0</v>
      </c>
      <c r="BV85" s="70">
        <v>0</v>
      </c>
      <c r="BW85" s="70">
        <v>0</v>
      </c>
      <c r="BX85" s="70">
        <v>0</v>
      </c>
      <c r="BY85" s="70">
        <v>0</v>
      </c>
      <c r="BZ85" s="70">
        <v>0</v>
      </c>
      <c r="CA85" s="70">
        <v>0</v>
      </c>
      <c r="CB85" s="70">
        <v>0</v>
      </c>
      <c r="CC85" s="70">
        <v>0</v>
      </c>
      <c r="CD85" s="70">
        <v>0</v>
      </c>
      <c r="CE85" s="70">
        <v>0</v>
      </c>
      <c r="CF85" s="70">
        <v>0</v>
      </c>
      <c r="CG85" s="70">
        <v>0</v>
      </c>
      <c r="CH85" s="70">
        <v>0</v>
      </c>
      <c r="CI85" s="70">
        <v>0</v>
      </c>
      <c r="CJ85" s="70">
        <v>0</v>
      </c>
      <c r="CK85" s="70">
        <v>0</v>
      </c>
      <c r="CL85" s="70">
        <v>0</v>
      </c>
      <c r="CM85" s="70">
        <v>0</v>
      </c>
      <c r="CN85" s="70">
        <v>0</v>
      </c>
      <c r="CO85" s="70">
        <v>0</v>
      </c>
      <c r="CP85" s="70">
        <v>0</v>
      </c>
      <c r="CQ85" s="70">
        <v>0</v>
      </c>
      <c r="CR85" s="70">
        <v>0</v>
      </c>
      <c r="CS85" s="70">
        <v>0</v>
      </c>
      <c r="CT85" s="70">
        <v>0</v>
      </c>
      <c r="CU85" s="70">
        <v>0</v>
      </c>
      <c r="CV85" s="70">
        <v>0</v>
      </c>
      <c r="CW85" s="70">
        <v>0</v>
      </c>
      <c r="CX85" s="70">
        <v>0</v>
      </c>
      <c r="CY85" s="70">
        <v>0</v>
      </c>
      <c r="CZ85" s="70">
        <v>0</v>
      </c>
      <c r="DA85" s="70">
        <v>0</v>
      </c>
      <c r="DB85" s="70">
        <v>0</v>
      </c>
      <c r="DC85" s="70">
        <v>0</v>
      </c>
      <c r="DD85" s="70">
        <v>0</v>
      </c>
      <c r="DE85" s="70">
        <v>0</v>
      </c>
      <c r="DF85" s="70">
        <v>0</v>
      </c>
      <c r="DG85" s="70">
        <v>0</v>
      </c>
      <c r="DH85" s="70">
        <v>0</v>
      </c>
      <c r="DI85" s="70">
        <v>0</v>
      </c>
      <c r="DJ85" s="70">
        <v>0</v>
      </c>
      <c r="DK85" s="70">
        <v>0</v>
      </c>
      <c r="DL85" s="70">
        <v>0</v>
      </c>
      <c r="DM85" s="70">
        <v>0</v>
      </c>
      <c r="DN85" s="70">
        <v>0</v>
      </c>
      <c r="DO85" s="70">
        <v>0</v>
      </c>
      <c r="DP85" s="70">
        <v>0</v>
      </c>
      <c r="DQ85" s="70">
        <v>0</v>
      </c>
      <c r="DR85" s="70">
        <v>0</v>
      </c>
      <c r="DS85" s="70">
        <v>0</v>
      </c>
      <c r="DT85" s="70">
        <v>0</v>
      </c>
      <c r="DU85" s="70">
        <v>0</v>
      </c>
      <c r="DV85" s="70">
        <v>0</v>
      </c>
      <c r="DW85" s="70">
        <v>0</v>
      </c>
      <c r="DX85" s="70">
        <v>0</v>
      </c>
      <c r="DY85" s="70">
        <v>0</v>
      </c>
      <c r="DZ85" s="70">
        <v>0</v>
      </c>
      <c r="EA85" s="70">
        <v>0</v>
      </c>
      <c r="EB85" s="70">
        <v>0</v>
      </c>
      <c r="EC85" s="70">
        <v>0</v>
      </c>
      <c r="ED85" s="70">
        <v>0</v>
      </c>
      <c r="EE85" s="70">
        <v>0</v>
      </c>
      <c r="EF85" s="70">
        <v>0</v>
      </c>
      <c r="EG85" s="70">
        <v>0</v>
      </c>
      <c r="EH85" s="70">
        <v>0</v>
      </c>
      <c r="EI85" s="70">
        <v>0</v>
      </c>
      <c r="EJ85" s="70">
        <v>0</v>
      </c>
      <c r="EK85" s="70">
        <v>0</v>
      </c>
      <c r="EL85" s="70">
        <v>0</v>
      </c>
      <c r="EM85" s="70">
        <v>0</v>
      </c>
      <c r="EN85" s="70">
        <v>0</v>
      </c>
      <c r="EO85" s="70">
        <v>0</v>
      </c>
      <c r="EP85" s="70">
        <v>0</v>
      </c>
      <c r="EQ85" s="70">
        <v>0</v>
      </c>
      <c r="ER85" s="70">
        <v>0</v>
      </c>
      <c r="ES85" s="70">
        <v>0</v>
      </c>
      <c r="ET85" s="70">
        <v>0</v>
      </c>
      <c r="EU85" s="70">
        <v>0</v>
      </c>
      <c r="EV85" s="70">
        <v>0</v>
      </c>
      <c r="EW85" s="70">
        <v>0</v>
      </c>
      <c r="EX85" s="70">
        <v>0</v>
      </c>
      <c r="EY85" s="70">
        <v>0</v>
      </c>
      <c r="EZ85" s="70">
        <v>0</v>
      </c>
      <c r="FA85" s="70">
        <v>0</v>
      </c>
      <c r="FB85" s="70">
        <v>0</v>
      </c>
      <c r="FC85" s="70">
        <v>0</v>
      </c>
      <c r="FD85" s="70">
        <v>0</v>
      </c>
      <c r="FE85" s="70">
        <v>0</v>
      </c>
      <c r="FF85" s="70">
        <v>0</v>
      </c>
      <c r="FG85" s="70">
        <v>0</v>
      </c>
      <c r="FH85" s="70">
        <v>0</v>
      </c>
      <c r="FI85" s="70">
        <v>0</v>
      </c>
      <c r="FJ85" s="70">
        <v>0</v>
      </c>
      <c r="FK85" s="70">
        <v>0</v>
      </c>
      <c r="FL85" s="70">
        <v>0</v>
      </c>
      <c r="FM85" s="70">
        <v>0</v>
      </c>
      <c r="FN85" s="70">
        <v>0</v>
      </c>
      <c r="FO85" s="70">
        <v>0</v>
      </c>
      <c r="FP85" s="70">
        <v>0</v>
      </c>
      <c r="FQ85" s="70">
        <v>0</v>
      </c>
      <c r="FR85" s="70">
        <v>0</v>
      </c>
      <c r="FS85" s="70">
        <v>0</v>
      </c>
      <c r="FT85" s="70">
        <v>0</v>
      </c>
      <c r="FU85" s="70">
        <v>0</v>
      </c>
      <c r="FV85" s="70">
        <v>0</v>
      </c>
      <c r="FW85" s="70">
        <v>0</v>
      </c>
      <c r="FX85" s="70">
        <v>0</v>
      </c>
      <c r="FY85" s="70">
        <v>0</v>
      </c>
      <c r="FZ85" s="70">
        <v>0</v>
      </c>
      <c r="GA85" s="70">
        <v>0</v>
      </c>
      <c r="GB85" s="70">
        <v>0</v>
      </c>
      <c r="GC85" s="70">
        <v>0</v>
      </c>
      <c r="GD85" s="70">
        <v>0</v>
      </c>
      <c r="GE85" s="70">
        <v>0</v>
      </c>
      <c r="GF85" s="70">
        <v>0</v>
      </c>
      <c r="GG85" s="70">
        <v>0</v>
      </c>
      <c r="GH85" s="70">
        <v>0</v>
      </c>
      <c r="GI85" s="70">
        <v>0</v>
      </c>
      <c r="GJ85" s="70">
        <v>0</v>
      </c>
      <c r="GK85" s="70">
        <v>0</v>
      </c>
      <c r="GL85" s="70">
        <v>0</v>
      </c>
      <c r="GM85" s="70">
        <v>0</v>
      </c>
      <c r="GN85" s="70">
        <v>0</v>
      </c>
      <c r="GO85" s="70">
        <v>0</v>
      </c>
      <c r="GP85" s="70">
        <v>0</v>
      </c>
      <c r="GQ85" s="70">
        <v>0</v>
      </c>
      <c r="GR85" s="70">
        <v>0</v>
      </c>
      <c r="GS85" s="70">
        <v>0</v>
      </c>
      <c r="GT85" s="70">
        <v>0</v>
      </c>
      <c r="GU85" s="70">
        <v>0</v>
      </c>
      <c r="GV85" s="70">
        <v>0</v>
      </c>
      <c r="GW85" s="70">
        <v>0</v>
      </c>
      <c r="GX85" s="70">
        <v>0</v>
      </c>
      <c r="GY85" s="70">
        <v>0</v>
      </c>
      <c r="GZ85" s="70">
        <v>0</v>
      </c>
      <c r="HA85" s="70">
        <v>0</v>
      </c>
      <c r="HB85" s="70">
        <v>0</v>
      </c>
      <c r="HC85" s="70">
        <v>0</v>
      </c>
      <c r="HD85" s="70">
        <v>0</v>
      </c>
      <c r="HE85" s="70">
        <v>0</v>
      </c>
      <c r="HF85" s="70">
        <v>0</v>
      </c>
      <c r="HG85" s="70">
        <v>0</v>
      </c>
      <c r="HH85" s="70">
        <v>0</v>
      </c>
      <c r="HI85" s="70">
        <v>0</v>
      </c>
      <c r="HJ85" s="70">
        <v>0</v>
      </c>
      <c r="HK85" s="70">
        <v>0</v>
      </c>
      <c r="HL85" s="70">
        <v>0</v>
      </c>
      <c r="HM85" s="70">
        <v>0</v>
      </c>
      <c r="HN85" s="70">
        <v>0</v>
      </c>
      <c r="HO85" s="70">
        <v>0</v>
      </c>
      <c r="HP85" s="70">
        <v>0</v>
      </c>
      <c r="HQ85" s="70">
        <v>0</v>
      </c>
      <c r="HR85" s="70">
        <v>0</v>
      </c>
      <c r="HS85" s="70">
        <v>0</v>
      </c>
      <c r="HT85" s="70">
        <v>0</v>
      </c>
      <c r="HU85" s="70">
        <v>0</v>
      </c>
      <c r="HV85" s="70">
        <v>0</v>
      </c>
      <c r="HW85" s="70">
        <v>0</v>
      </c>
      <c r="HX85" s="70">
        <v>0</v>
      </c>
      <c r="HY85" s="70">
        <v>0</v>
      </c>
      <c r="HZ85" s="70">
        <v>0</v>
      </c>
      <c r="IA85" s="70">
        <v>0</v>
      </c>
      <c r="IB85" s="70">
        <v>0</v>
      </c>
      <c r="IC85" s="70">
        <v>0</v>
      </c>
      <c r="ID85" s="70">
        <v>0</v>
      </c>
      <c r="IE85" s="70">
        <v>0</v>
      </c>
      <c r="IF85" s="70">
        <v>0</v>
      </c>
      <c r="IG85" s="70">
        <v>0</v>
      </c>
      <c r="IH85" s="70">
        <v>0</v>
      </c>
      <c r="II85" s="70">
        <v>0</v>
      </c>
      <c r="IJ85" s="70">
        <v>0</v>
      </c>
      <c r="IK85" s="70">
        <v>0</v>
      </c>
      <c r="IL85" s="70">
        <v>0</v>
      </c>
      <c r="IM85" s="70">
        <v>0</v>
      </c>
      <c r="IN85" s="70">
        <v>0</v>
      </c>
      <c r="IO85" s="70">
        <v>0</v>
      </c>
      <c r="IP85" s="70">
        <v>0</v>
      </c>
      <c r="IQ85" s="70">
        <v>0</v>
      </c>
      <c r="IR85" s="70">
        <v>0</v>
      </c>
      <c r="IS85" s="70">
        <v>0</v>
      </c>
      <c r="IT85" s="70">
        <v>0</v>
      </c>
      <c r="IU85" s="70">
        <v>0</v>
      </c>
      <c r="IV85" s="70">
        <v>0</v>
      </c>
      <c r="IW85" s="70">
        <v>0</v>
      </c>
      <c r="IX85" s="70">
        <v>0</v>
      </c>
      <c r="IY85" s="70">
        <v>0</v>
      </c>
      <c r="IZ85" s="70">
        <v>0</v>
      </c>
      <c r="JA85" s="70">
        <v>0</v>
      </c>
      <c r="JB85" s="70">
        <v>0</v>
      </c>
      <c r="JC85" s="70">
        <v>0</v>
      </c>
      <c r="JD85" s="70">
        <v>0</v>
      </c>
      <c r="JE85" s="70">
        <v>0</v>
      </c>
      <c r="JF85" s="70">
        <v>0</v>
      </c>
      <c r="JG85" s="70">
        <v>0</v>
      </c>
      <c r="JH85" s="70">
        <v>0</v>
      </c>
      <c r="JI85" s="70">
        <v>0</v>
      </c>
      <c r="JJ85" s="70">
        <v>0</v>
      </c>
      <c r="JK85" s="70">
        <v>0</v>
      </c>
      <c r="JL85" s="70">
        <v>0</v>
      </c>
      <c r="JM85" s="70">
        <v>0</v>
      </c>
      <c r="JN85" s="70">
        <v>0</v>
      </c>
      <c r="JO85" s="70">
        <v>0</v>
      </c>
      <c r="JP85" s="70">
        <v>0</v>
      </c>
      <c r="JQ85" s="70">
        <v>0</v>
      </c>
      <c r="JR85" s="70">
        <v>0</v>
      </c>
      <c r="JS85" s="70">
        <v>0</v>
      </c>
      <c r="JT85" s="70">
        <v>0</v>
      </c>
      <c r="JU85" s="70">
        <v>0</v>
      </c>
      <c r="JV85" s="70">
        <v>0</v>
      </c>
      <c r="JW85" s="70">
        <v>0</v>
      </c>
      <c r="JX85" s="70">
        <v>0</v>
      </c>
      <c r="JY85" s="70">
        <v>0</v>
      </c>
      <c r="JZ85" s="70">
        <v>0</v>
      </c>
      <c r="KA85" s="70">
        <v>0</v>
      </c>
      <c r="KB85" s="70">
        <v>0</v>
      </c>
      <c r="KC85" s="70">
        <v>0</v>
      </c>
      <c r="KD85" s="70">
        <v>0</v>
      </c>
      <c r="KE85" s="70">
        <v>0</v>
      </c>
      <c r="KF85" s="70">
        <v>0</v>
      </c>
      <c r="KG85" s="70">
        <v>0</v>
      </c>
      <c r="KH85" s="70">
        <v>0</v>
      </c>
      <c r="KI85" s="70">
        <v>0</v>
      </c>
      <c r="KJ85" s="70">
        <v>0</v>
      </c>
      <c r="KK85" s="70">
        <v>0</v>
      </c>
      <c r="KL85" s="70">
        <v>0</v>
      </c>
      <c r="KM85" s="70">
        <v>0</v>
      </c>
      <c r="KN85" s="70">
        <v>0</v>
      </c>
      <c r="KO85" s="70">
        <v>0</v>
      </c>
      <c r="KP85" s="70">
        <v>0</v>
      </c>
      <c r="KQ85" s="70">
        <v>0</v>
      </c>
      <c r="KR85" s="70">
        <v>0</v>
      </c>
      <c r="KS85" s="70">
        <v>0</v>
      </c>
      <c r="KT85" s="70">
        <v>0</v>
      </c>
      <c r="KU85" s="70">
        <v>0</v>
      </c>
      <c r="KV85" s="70">
        <v>0</v>
      </c>
      <c r="KW85" s="70">
        <v>0</v>
      </c>
      <c r="KX85" s="70">
        <v>0</v>
      </c>
      <c r="KY85" s="70">
        <v>0</v>
      </c>
      <c r="KZ85" s="70">
        <v>0</v>
      </c>
      <c r="LA85" s="70">
        <v>0</v>
      </c>
      <c r="LB85" s="70">
        <v>0</v>
      </c>
      <c r="LC85" s="70">
        <v>0</v>
      </c>
      <c r="LD85" s="70">
        <v>0</v>
      </c>
      <c r="LE85" s="70">
        <v>0</v>
      </c>
      <c r="LF85" s="70">
        <v>0</v>
      </c>
      <c r="LG85" s="70">
        <v>0</v>
      </c>
      <c r="LH85" s="70">
        <v>0</v>
      </c>
      <c r="LI85" s="70">
        <v>0</v>
      </c>
      <c r="LJ85" s="70">
        <v>0</v>
      </c>
      <c r="LK85" s="70">
        <v>0</v>
      </c>
      <c r="LL85" s="70">
        <v>0</v>
      </c>
      <c r="LM85" s="70">
        <v>0</v>
      </c>
      <c r="LN85" s="70">
        <v>0</v>
      </c>
      <c r="LO85" s="70">
        <v>0</v>
      </c>
      <c r="LP85" s="70">
        <v>0</v>
      </c>
      <c r="LQ85" s="70">
        <v>0</v>
      </c>
      <c r="LR85" s="70">
        <v>0</v>
      </c>
      <c r="LS85" s="70">
        <v>0</v>
      </c>
      <c r="LT85" s="70">
        <v>0</v>
      </c>
      <c r="LU85" s="70">
        <v>0</v>
      </c>
      <c r="LV85" s="70">
        <v>0</v>
      </c>
      <c r="LW85" s="70">
        <v>0</v>
      </c>
      <c r="LX85" s="70">
        <v>0</v>
      </c>
      <c r="LY85" s="70">
        <v>0</v>
      </c>
      <c r="LZ85" s="70">
        <v>0</v>
      </c>
      <c r="MA85" s="70">
        <v>0</v>
      </c>
      <c r="MB85" s="70">
        <v>0</v>
      </c>
      <c r="MC85" s="70">
        <v>0</v>
      </c>
      <c r="MD85" s="70">
        <v>0</v>
      </c>
      <c r="ME85" s="70">
        <v>0</v>
      </c>
      <c r="MF85" s="70">
        <v>0</v>
      </c>
      <c r="MG85" s="70">
        <v>0</v>
      </c>
      <c r="MH85" s="70">
        <v>0</v>
      </c>
      <c r="MI85" s="70">
        <v>0</v>
      </c>
      <c r="MJ85" s="70">
        <v>0</v>
      </c>
      <c r="MK85" s="70">
        <v>0</v>
      </c>
      <c r="ML85" s="70">
        <v>0</v>
      </c>
      <c r="MM85" s="70">
        <v>0</v>
      </c>
      <c r="MN85" s="70">
        <v>0</v>
      </c>
      <c r="MO85" s="70">
        <v>0</v>
      </c>
      <c r="MP85" s="70">
        <v>0</v>
      </c>
      <c r="MQ85" s="70">
        <v>0</v>
      </c>
      <c r="MR85" s="70">
        <v>0</v>
      </c>
      <c r="MS85" s="70">
        <v>0</v>
      </c>
      <c r="MT85" s="70">
        <v>0</v>
      </c>
      <c r="MU85" s="70">
        <v>0</v>
      </c>
      <c r="MV85" s="70">
        <v>0</v>
      </c>
      <c r="MW85" s="70">
        <v>0</v>
      </c>
      <c r="MX85" s="70">
        <v>0</v>
      </c>
      <c r="MY85" s="70">
        <v>0</v>
      </c>
      <c r="MZ85" s="70">
        <v>0</v>
      </c>
      <c r="NA85" s="70">
        <v>0</v>
      </c>
      <c r="NB85" s="70">
        <v>0</v>
      </c>
      <c r="NC85" s="70">
        <v>0</v>
      </c>
      <c r="ND85" s="70">
        <v>0</v>
      </c>
      <c r="NE85" s="70">
        <v>0</v>
      </c>
      <c r="NF85" s="70">
        <v>0</v>
      </c>
      <c r="NG85" s="70">
        <v>0</v>
      </c>
      <c r="NH85" s="70">
        <v>0</v>
      </c>
      <c r="NI85" s="70">
        <v>0</v>
      </c>
      <c r="NJ85" s="70">
        <v>0</v>
      </c>
      <c r="NK85" s="70">
        <v>0</v>
      </c>
      <c r="NL85" s="70">
        <v>0</v>
      </c>
      <c r="NM85" s="70">
        <v>0</v>
      </c>
      <c r="NN85" s="70">
        <v>0</v>
      </c>
      <c r="NO85" s="70">
        <v>0</v>
      </c>
      <c r="NP85" s="70">
        <v>0</v>
      </c>
      <c r="NQ85" s="70">
        <v>0</v>
      </c>
      <c r="NR85" s="70">
        <v>0</v>
      </c>
      <c r="NS85" s="70">
        <v>0</v>
      </c>
      <c r="NT85" s="70">
        <v>0</v>
      </c>
      <c r="NU85" s="70">
        <v>0</v>
      </c>
      <c r="NV85" s="70">
        <v>0</v>
      </c>
      <c r="NW85" s="70">
        <v>0</v>
      </c>
      <c r="NX85" s="70">
        <v>0</v>
      </c>
      <c r="NY85" s="70">
        <v>0</v>
      </c>
      <c r="NZ85" s="70">
        <v>0</v>
      </c>
      <c r="OA85" s="70">
        <v>0</v>
      </c>
      <c r="OB85" s="70">
        <v>0</v>
      </c>
      <c r="OC85" s="70">
        <v>0</v>
      </c>
      <c r="OD85" s="70">
        <v>0</v>
      </c>
      <c r="OE85" s="70">
        <v>0</v>
      </c>
      <c r="OF85" s="70">
        <v>0</v>
      </c>
      <c r="OG85" s="70">
        <v>0</v>
      </c>
      <c r="OH85" s="70">
        <v>0</v>
      </c>
      <c r="OI85" s="70">
        <v>0</v>
      </c>
      <c r="OJ85" s="70">
        <v>0</v>
      </c>
      <c r="OK85" s="70">
        <v>0</v>
      </c>
      <c r="OL85" s="70">
        <v>0</v>
      </c>
      <c r="OM85" s="70">
        <v>0</v>
      </c>
      <c r="ON85" s="70">
        <v>0</v>
      </c>
      <c r="OO85" s="70">
        <v>0</v>
      </c>
      <c r="OP85" s="70">
        <v>0</v>
      </c>
      <c r="OQ85" s="70">
        <v>0</v>
      </c>
      <c r="OR85" s="70">
        <v>0</v>
      </c>
      <c r="OS85" s="70">
        <v>0</v>
      </c>
      <c r="OT85" s="70">
        <v>0</v>
      </c>
      <c r="OU85" s="70">
        <v>0</v>
      </c>
      <c r="OV85" s="70">
        <v>0</v>
      </c>
      <c r="OW85" s="70">
        <v>0</v>
      </c>
      <c r="OX85" s="70">
        <v>0</v>
      </c>
      <c r="OY85" s="70">
        <v>0</v>
      </c>
      <c r="OZ85" s="70">
        <v>0</v>
      </c>
      <c r="PA85" s="70">
        <v>0</v>
      </c>
      <c r="PB85" s="70">
        <v>0</v>
      </c>
      <c r="PC85" s="70">
        <v>0</v>
      </c>
      <c r="PD85" s="70">
        <v>0</v>
      </c>
      <c r="PE85" s="70">
        <v>0</v>
      </c>
      <c r="PF85" s="70">
        <v>0</v>
      </c>
      <c r="PG85" s="70">
        <v>0</v>
      </c>
      <c r="PH85" s="70">
        <v>0</v>
      </c>
      <c r="PI85" s="70">
        <v>0</v>
      </c>
      <c r="PJ85" s="70">
        <v>0</v>
      </c>
      <c r="PK85" s="70">
        <v>0</v>
      </c>
      <c r="PL85" s="70">
        <v>0</v>
      </c>
      <c r="PM85" s="70">
        <v>0</v>
      </c>
      <c r="PN85" s="70">
        <v>0</v>
      </c>
      <c r="PO85" s="70">
        <v>0</v>
      </c>
      <c r="PP85" s="70">
        <v>0</v>
      </c>
      <c r="PQ85" s="70">
        <v>0</v>
      </c>
      <c r="PR85" s="70">
        <v>0</v>
      </c>
      <c r="PS85" s="70">
        <v>0</v>
      </c>
      <c r="PT85" s="70">
        <v>0</v>
      </c>
      <c r="PU85" s="70">
        <v>0</v>
      </c>
      <c r="PV85" s="70">
        <v>0</v>
      </c>
      <c r="PW85" s="70">
        <v>0</v>
      </c>
      <c r="PX85" s="70">
        <v>0</v>
      </c>
      <c r="PY85" s="70">
        <v>0</v>
      </c>
      <c r="PZ85" s="70">
        <v>0</v>
      </c>
      <c r="QA85" s="70">
        <v>0</v>
      </c>
      <c r="QB85" s="70">
        <v>0</v>
      </c>
      <c r="QC85" s="70">
        <v>0</v>
      </c>
      <c r="QD85" s="70">
        <v>0</v>
      </c>
      <c r="QE85" s="70">
        <v>0</v>
      </c>
      <c r="QF85" s="70">
        <v>0</v>
      </c>
      <c r="QG85" s="70">
        <v>0</v>
      </c>
      <c r="QH85" s="70">
        <v>0</v>
      </c>
      <c r="QI85" s="70">
        <v>0</v>
      </c>
      <c r="QJ85" s="70">
        <v>0</v>
      </c>
      <c r="QK85" s="70">
        <v>0</v>
      </c>
      <c r="QL85" s="70">
        <v>0</v>
      </c>
      <c r="QM85" s="70">
        <v>0</v>
      </c>
      <c r="QN85" s="70">
        <v>0</v>
      </c>
      <c r="QO85" s="70">
        <v>0</v>
      </c>
      <c r="QP85" s="70">
        <v>0</v>
      </c>
      <c r="QQ85" s="70">
        <v>0</v>
      </c>
      <c r="QR85" s="70">
        <v>0</v>
      </c>
      <c r="QS85" s="70">
        <v>0</v>
      </c>
      <c r="QT85" s="70">
        <v>0</v>
      </c>
      <c r="QU85" s="70">
        <v>0</v>
      </c>
      <c r="QV85" s="70">
        <v>0</v>
      </c>
      <c r="QW85" s="70">
        <v>0</v>
      </c>
      <c r="QX85" s="70">
        <v>0</v>
      </c>
      <c r="QY85" s="70">
        <v>0</v>
      </c>
      <c r="QZ85" s="70">
        <v>0</v>
      </c>
      <c r="RA85" s="70">
        <v>0</v>
      </c>
      <c r="RB85" s="70">
        <v>0</v>
      </c>
      <c r="RC85" s="70">
        <v>0</v>
      </c>
      <c r="RD85" s="70">
        <v>0</v>
      </c>
      <c r="RE85" s="70">
        <v>0</v>
      </c>
      <c r="RF85" s="70">
        <v>0</v>
      </c>
      <c r="RG85" s="70">
        <v>0</v>
      </c>
      <c r="RH85" s="70">
        <v>0</v>
      </c>
      <c r="RI85" s="70">
        <v>0</v>
      </c>
      <c r="RJ85" s="70">
        <v>0</v>
      </c>
      <c r="RK85" s="70">
        <v>0</v>
      </c>
      <c r="RL85" s="70">
        <v>0</v>
      </c>
      <c r="RM85" s="70">
        <v>0</v>
      </c>
      <c r="RN85" s="70">
        <v>0</v>
      </c>
      <c r="RO85" s="70">
        <v>0</v>
      </c>
      <c r="RP85" s="70">
        <v>0</v>
      </c>
      <c r="RQ85" s="70">
        <v>0</v>
      </c>
      <c r="RR85" s="70">
        <v>0</v>
      </c>
      <c r="RS85" s="70">
        <v>0</v>
      </c>
      <c r="RT85" s="70">
        <v>0</v>
      </c>
      <c r="RU85" s="70">
        <v>0</v>
      </c>
      <c r="RV85" s="70">
        <v>0</v>
      </c>
      <c r="RW85" s="70">
        <v>0</v>
      </c>
      <c r="RX85" s="70">
        <v>0</v>
      </c>
      <c r="RY85" s="70">
        <v>0</v>
      </c>
      <c r="RZ85" s="70">
        <v>0</v>
      </c>
      <c r="SA85" s="70">
        <v>0</v>
      </c>
      <c r="SB85" s="70">
        <v>0</v>
      </c>
      <c r="SC85" s="70">
        <v>0</v>
      </c>
      <c r="SD85" s="70">
        <v>0</v>
      </c>
      <c r="SE85" s="70">
        <v>0</v>
      </c>
      <c r="SF85" s="70">
        <v>0</v>
      </c>
      <c r="SG85" s="70">
        <v>0</v>
      </c>
      <c r="SH85" s="70">
        <v>0</v>
      </c>
      <c r="SI85" s="70">
        <v>0</v>
      </c>
      <c r="SJ85" s="70">
        <v>0</v>
      </c>
      <c r="SK85" s="70">
        <v>0</v>
      </c>
      <c r="SL85" s="70">
        <v>0</v>
      </c>
      <c r="SM85" s="70">
        <v>0</v>
      </c>
      <c r="SN85" s="70">
        <v>0</v>
      </c>
      <c r="SO85" s="70">
        <v>0</v>
      </c>
      <c r="SP85" s="70">
        <v>0</v>
      </c>
      <c r="SQ85" s="70">
        <v>0</v>
      </c>
      <c r="SR85" s="70">
        <v>0</v>
      </c>
      <c r="SS85" s="70">
        <v>0</v>
      </c>
      <c r="ST85" s="70">
        <v>0</v>
      </c>
      <c r="SU85" s="70">
        <v>0</v>
      </c>
      <c r="SV85" s="70">
        <v>0</v>
      </c>
      <c r="SW85" s="70">
        <v>0</v>
      </c>
      <c r="SX85" s="70">
        <v>0</v>
      </c>
      <c r="SY85" s="70">
        <v>0</v>
      </c>
      <c r="SZ85" s="70">
        <v>0</v>
      </c>
      <c r="TA85" s="70">
        <v>0</v>
      </c>
      <c r="TB85" s="70">
        <v>0</v>
      </c>
      <c r="TC85" s="70">
        <v>0</v>
      </c>
      <c r="TD85" s="70">
        <v>0</v>
      </c>
      <c r="TE85" s="70">
        <v>0</v>
      </c>
      <c r="TF85" s="70">
        <v>0</v>
      </c>
      <c r="TG85" s="70">
        <v>0</v>
      </c>
      <c r="TH85" s="70">
        <v>0</v>
      </c>
      <c r="TI85" s="70">
        <v>0</v>
      </c>
      <c r="TJ85" s="70">
        <v>0</v>
      </c>
      <c r="TK85" s="70">
        <v>0</v>
      </c>
      <c r="TL85" s="70">
        <v>0</v>
      </c>
      <c r="TM85" s="70">
        <v>0</v>
      </c>
      <c r="TN85" s="70">
        <v>0</v>
      </c>
      <c r="TO85" s="70">
        <v>0</v>
      </c>
      <c r="TP85" s="70">
        <v>0</v>
      </c>
      <c r="TQ85" s="70">
        <v>0</v>
      </c>
      <c r="TR85" s="70">
        <v>0</v>
      </c>
      <c r="TS85" s="70">
        <v>0</v>
      </c>
      <c r="TT85" s="70">
        <v>0</v>
      </c>
      <c r="TU85" s="70">
        <v>0</v>
      </c>
      <c r="TV85" s="70">
        <v>0</v>
      </c>
      <c r="TW85" s="70">
        <v>0</v>
      </c>
      <c r="TX85" s="70">
        <v>0</v>
      </c>
      <c r="TY85" s="70">
        <v>0</v>
      </c>
      <c r="TZ85" s="70">
        <v>0</v>
      </c>
      <c r="UA85" s="70">
        <v>0</v>
      </c>
      <c r="UB85" s="70">
        <v>0</v>
      </c>
      <c r="UC85" s="70">
        <v>0</v>
      </c>
      <c r="UD85" s="70">
        <v>0</v>
      </c>
      <c r="UE85" s="70">
        <v>0</v>
      </c>
      <c r="UF85" s="70">
        <v>0</v>
      </c>
      <c r="UG85" s="70">
        <v>0</v>
      </c>
      <c r="UH85" s="70">
        <v>0</v>
      </c>
      <c r="UI85" s="70">
        <v>0</v>
      </c>
      <c r="UJ85" s="70">
        <v>0</v>
      </c>
      <c r="UK85" s="70">
        <v>0</v>
      </c>
      <c r="UL85" s="70">
        <v>0</v>
      </c>
      <c r="UM85" s="70">
        <v>0</v>
      </c>
      <c r="UN85" s="70">
        <v>0</v>
      </c>
      <c r="UO85" s="70">
        <v>0</v>
      </c>
      <c r="UP85" s="70">
        <v>0</v>
      </c>
      <c r="UQ85" s="70">
        <v>0</v>
      </c>
      <c r="UR85" s="70">
        <v>0</v>
      </c>
      <c r="US85" s="70">
        <v>0</v>
      </c>
      <c r="UT85" s="70">
        <v>0</v>
      </c>
      <c r="UU85" s="70">
        <v>0</v>
      </c>
      <c r="UV85" s="70">
        <v>0</v>
      </c>
      <c r="UW85" s="70">
        <v>0</v>
      </c>
      <c r="UX85" s="70">
        <v>0</v>
      </c>
      <c r="UY85" s="70">
        <v>0</v>
      </c>
      <c r="UZ85" s="70">
        <v>0</v>
      </c>
      <c r="VA85" s="70">
        <v>0</v>
      </c>
      <c r="VB85" s="70">
        <v>0</v>
      </c>
      <c r="VC85" s="70">
        <v>0</v>
      </c>
      <c r="VD85" s="70">
        <v>0</v>
      </c>
      <c r="VE85" s="70">
        <v>0</v>
      </c>
      <c r="VF85" s="70">
        <v>0</v>
      </c>
      <c r="VG85" s="70">
        <v>0</v>
      </c>
      <c r="VH85" s="70">
        <v>0</v>
      </c>
      <c r="VI85" s="70">
        <v>0</v>
      </c>
      <c r="VJ85" s="70">
        <v>0</v>
      </c>
      <c r="VK85" s="70">
        <v>0</v>
      </c>
      <c r="VL85" s="70">
        <v>0</v>
      </c>
      <c r="VM85" s="70">
        <v>0</v>
      </c>
      <c r="VN85" s="70">
        <v>0</v>
      </c>
      <c r="VO85" s="70">
        <v>0</v>
      </c>
      <c r="VP85" s="70">
        <v>0</v>
      </c>
      <c r="VQ85" s="70">
        <v>0</v>
      </c>
      <c r="VR85" s="70">
        <v>0</v>
      </c>
      <c r="VS85" s="70">
        <v>0</v>
      </c>
      <c r="VT85" s="70">
        <v>0</v>
      </c>
      <c r="VU85" s="70">
        <v>0</v>
      </c>
      <c r="VV85" s="70">
        <v>0</v>
      </c>
      <c r="VW85" s="70">
        <v>0</v>
      </c>
      <c r="VX85" s="70">
        <v>0</v>
      </c>
      <c r="VY85" s="70">
        <v>0</v>
      </c>
      <c r="VZ85" s="70">
        <v>0</v>
      </c>
      <c r="WA85" s="70">
        <v>0</v>
      </c>
      <c r="WB85" s="70">
        <v>0</v>
      </c>
      <c r="WC85" s="70">
        <v>0</v>
      </c>
      <c r="WD85" s="70">
        <v>0</v>
      </c>
      <c r="WE85" s="70">
        <v>0</v>
      </c>
      <c r="WF85" s="70">
        <v>0</v>
      </c>
      <c r="WG85" s="70">
        <v>0</v>
      </c>
      <c r="WH85" s="70">
        <v>0</v>
      </c>
      <c r="WI85" s="70">
        <v>0</v>
      </c>
      <c r="WJ85" s="70">
        <v>0</v>
      </c>
      <c r="WK85" s="70">
        <v>0</v>
      </c>
      <c r="WL85" s="70">
        <v>0</v>
      </c>
      <c r="WM85" s="70">
        <v>0</v>
      </c>
      <c r="WN85" s="70">
        <v>0</v>
      </c>
      <c r="WO85" s="70">
        <v>0</v>
      </c>
      <c r="WP85" s="70">
        <v>0</v>
      </c>
      <c r="WQ85" s="70">
        <v>0</v>
      </c>
      <c r="WR85" s="70">
        <v>0</v>
      </c>
      <c r="WS85" s="70">
        <v>0</v>
      </c>
      <c r="WT85" s="70">
        <v>0</v>
      </c>
      <c r="WU85" s="70">
        <v>0</v>
      </c>
      <c r="WV85" s="70">
        <v>0</v>
      </c>
      <c r="WW85" s="70">
        <v>0</v>
      </c>
      <c r="WX85" s="70">
        <v>0</v>
      </c>
      <c r="WY85" s="70">
        <v>0</v>
      </c>
      <c r="WZ85" s="70">
        <v>0</v>
      </c>
      <c r="XA85" s="70">
        <v>0</v>
      </c>
      <c r="XB85" s="70">
        <v>0</v>
      </c>
      <c r="XC85" s="70">
        <v>0</v>
      </c>
      <c r="XD85" s="70">
        <v>0</v>
      </c>
      <c r="XE85" s="70">
        <v>0</v>
      </c>
      <c r="XF85" s="70">
        <v>0</v>
      </c>
      <c r="XG85" s="70">
        <v>0</v>
      </c>
      <c r="XH85" s="70">
        <v>0</v>
      </c>
      <c r="XI85" s="70">
        <v>0</v>
      </c>
      <c r="XJ85" s="70">
        <v>0</v>
      </c>
      <c r="XK85" s="70">
        <v>0</v>
      </c>
      <c r="XL85" s="70">
        <v>0</v>
      </c>
      <c r="XM85" s="70">
        <v>0</v>
      </c>
      <c r="XN85" s="70">
        <v>0</v>
      </c>
      <c r="XO85" s="70">
        <v>0</v>
      </c>
      <c r="XP85" s="70">
        <v>0</v>
      </c>
      <c r="XQ85" s="70">
        <v>0</v>
      </c>
      <c r="XR85" s="70">
        <v>0</v>
      </c>
      <c r="XS85" s="70">
        <v>0</v>
      </c>
      <c r="XT85" s="70">
        <v>0</v>
      </c>
      <c r="XU85" s="70">
        <v>0</v>
      </c>
      <c r="XV85" s="70">
        <v>0</v>
      </c>
      <c r="XW85" s="70">
        <v>0</v>
      </c>
      <c r="XX85" s="70">
        <v>0</v>
      </c>
      <c r="XY85" s="70">
        <v>0</v>
      </c>
      <c r="XZ85" s="70">
        <v>0</v>
      </c>
      <c r="YA85" s="70">
        <v>0</v>
      </c>
      <c r="YB85" s="70">
        <v>0</v>
      </c>
      <c r="YC85" s="70">
        <v>0</v>
      </c>
      <c r="YD85" s="70">
        <v>0</v>
      </c>
      <c r="YE85" s="70">
        <v>0</v>
      </c>
      <c r="YF85" s="70">
        <v>0</v>
      </c>
      <c r="YG85" s="70">
        <v>0</v>
      </c>
      <c r="YH85" s="70">
        <v>0</v>
      </c>
      <c r="YI85" s="70">
        <v>0</v>
      </c>
      <c r="YJ85" s="70">
        <v>0</v>
      </c>
      <c r="YK85" s="70">
        <v>0</v>
      </c>
      <c r="YL85" s="70">
        <v>0</v>
      </c>
      <c r="YM85" s="70">
        <v>0</v>
      </c>
      <c r="YN85" s="70">
        <v>0</v>
      </c>
      <c r="YO85" s="70">
        <v>0</v>
      </c>
      <c r="YP85" s="70">
        <v>0</v>
      </c>
      <c r="YQ85" s="70">
        <v>0</v>
      </c>
      <c r="YR85" s="70">
        <v>0</v>
      </c>
      <c r="YS85" s="70">
        <v>0</v>
      </c>
      <c r="YT85" s="70">
        <v>0</v>
      </c>
      <c r="YU85" s="70">
        <v>0</v>
      </c>
      <c r="YV85" s="70">
        <v>0</v>
      </c>
      <c r="YW85" s="70">
        <v>0</v>
      </c>
      <c r="YX85" s="70">
        <v>0</v>
      </c>
      <c r="YY85" s="70">
        <v>0</v>
      </c>
      <c r="YZ85" s="70">
        <v>0</v>
      </c>
      <c r="ZA85" s="70">
        <v>0</v>
      </c>
      <c r="ZB85" s="70">
        <v>0</v>
      </c>
      <c r="ZC85" s="70">
        <v>0</v>
      </c>
      <c r="ZD85" s="70">
        <v>0</v>
      </c>
      <c r="ZE85" s="70">
        <v>0</v>
      </c>
      <c r="ZF85" s="70">
        <v>0</v>
      </c>
      <c r="ZG85" s="70">
        <v>0</v>
      </c>
      <c r="ZH85" s="70">
        <v>0</v>
      </c>
      <c r="ZI85" s="70">
        <v>0</v>
      </c>
      <c r="ZJ85" s="70">
        <v>0</v>
      </c>
      <c r="ZK85" s="70">
        <v>0</v>
      </c>
      <c r="ZL85" s="70">
        <v>0</v>
      </c>
      <c r="ZM85" s="70">
        <v>0</v>
      </c>
      <c r="ZN85" s="70">
        <v>0</v>
      </c>
      <c r="ZO85" s="70">
        <v>0</v>
      </c>
      <c r="ZP85" s="70">
        <v>0</v>
      </c>
      <c r="ZQ85" s="70">
        <v>0</v>
      </c>
      <c r="ZR85" s="70">
        <v>0</v>
      </c>
      <c r="ZS85" s="70">
        <v>0</v>
      </c>
      <c r="ZT85" s="70">
        <v>0</v>
      </c>
      <c r="ZU85" s="70">
        <v>0</v>
      </c>
      <c r="ZV85" s="70">
        <v>0</v>
      </c>
      <c r="ZW85" s="70">
        <v>0</v>
      </c>
      <c r="ZX85" s="70">
        <v>0</v>
      </c>
      <c r="ZY85" s="70">
        <v>0</v>
      </c>
      <c r="ZZ85" s="70">
        <v>0</v>
      </c>
      <c r="AAA85" s="70">
        <v>0</v>
      </c>
      <c r="AAB85" s="70">
        <v>0</v>
      </c>
      <c r="AAC85" s="70">
        <v>0</v>
      </c>
      <c r="AAD85" s="70">
        <v>0</v>
      </c>
      <c r="AAE85" s="70">
        <v>0</v>
      </c>
      <c r="AAF85" s="70">
        <v>0</v>
      </c>
      <c r="AAG85" s="70">
        <v>0</v>
      </c>
      <c r="AAH85" s="70">
        <v>0</v>
      </c>
      <c r="AAI85" s="70">
        <v>0</v>
      </c>
      <c r="AAJ85" s="70">
        <v>0</v>
      </c>
      <c r="AAK85" s="70">
        <v>0</v>
      </c>
      <c r="AAL85" s="70">
        <v>0</v>
      </c>
      <c r="AAM85" s="70">
        <v>0</v>
      </c>
      <c r="AAN85" s="70">
        <v>0</v>
      </c>
      <c r="AAO85" s="70">
        <v>0</v>
      </c>
      <c r="AAP85" s="70">
        <v>0</v>
      </c>
      <c r="AAQ85" s="70">
        <v>0</v>
      </c>
      <c r="AAR85" s="70">
        <v>0</v>
      </c>
      <c r="AAS85" s="70">
        <v>0</v>
      </c>
      <c r="AAT85" s="70">
        <v>0</v>
      </c>
      <c r="AAU85" s="70">
        <v>0</v>
      </c>
      <c r="AAV85" s="70">
        <v>0</v>
      </c>
      <c r="AAW85" s="70">
        <v>0</v>
      </c>
      <c r="AAX85" s="70">
        <v>0</v>
      </c>
      <c r="AAY85" s="70">
        <v>0</v>
      </c>
      <c r="AAZ85" s="70">
        <v>0</v>
      </c>
      <c r="ABA85" s="70">
        <v>0</v>
      </c>
      <c r="ABB85" s="70">
        <v>0</v>
      </c>
      <c r="ABC85" s="70">
        <v>0</v>
      </c>
      <c r="ABD85" s="70">
        <v>0</v>
      </c>
      <c r="ABE85" s="70">
        <v>0</v>
      </c>
      <c r="ABF85" s="70">
        <v>0</v>
      </c>
      <c r="ABG85" s="70">
        <v>0</v>
      </c>
      <c r="ABH85" s="70">
        <v>0</v>
      </c>
      <c r="ABI85" s="70">
        <v>0</v>
      </c>
      <c r="ABJ85" s="70">
        <v>0</v>
      </c>
      <c r="ABK85" s="70">
        <v>0</v>
      </c>
      <c r="ABL85" s="70">
        <v>0</v>
      </c>
      <c r="ABM85" s="70">
        <v>0</v>
      </c>
      <c r="ABN85" s="70">
        <v>0</v>
      </c>
      <c r="ABO85" s="70">
        <v>0</v>
      </c>
      <c r="ABP85" s="70">
        <v>0</v>
      </c>
      <c r="ABQ85" s="70">
        <v>0</v>
      </c>
      <c r="ABR85" s="70">
        <v>0</v>
      </c>
      <c r="ABS85" s="70">
        <v>0</v>
      </c>
      <c r="ABT85" s="70">
        <v>0</v>
      </c>
      <c r="ABU85" s="70">
        <v>0</v>
      </c>
      <c r="ABV85" s="70">
        <v>0</v>
      </c>
      <c r="ABW85" s="70">
        <v>0</v>
      </c>
      <c r="ABX85" s="70">
        <v>0</v>
      </c>
      <c r="ABY85" s="70">
        <v>0</v>
      </c>
      <c r="ABZ85" s="70">
        <v>0</v>
      </c>
      <c r="ACA85" s="70">
        <v>0</v>
      </c>
      <c r="ACB85" s="70">
        <v>0</v>
      </c>
      <c r="ACC85" s="70">
        <v>0</v>
      </c>
      <c r="ACD85" s="70">
        <v>0</v>
      </c>
      <c r="ACE85" s="70">
        <v>0</v>
      </c>
      <c r="ACF85" s="70">
        <v>0</v>
      </c>
      <c r="ACG85" s="70">
        <v>0</v>
      </c>
      <c r="ACH85" s="70">
        <v>0</v>
      </c>
      <c r="ACI85" s="70">
        <v>0</v>
      </c>
      <c r="ACJ85" s="70">
        <v>0</v>
      </c>
      <c r="ACK85" s="70">
        <v>0</v>
      </c>
      <c r="ACL85" s="70">
        <v>0</v>
      </c>
      <c r="ACM85" s="70">
        <v>0</v>
      </c>
      <c r="ACN85" s="70">
        <v>0</v>
      </c>
      <c r="ACO85" s="70">
        <v>0</v>
      </c>
      <c r="ACP85" s="70">
        <v>0</v>
      </c>
      <c r="ACQ85" s="70">
        <v>0</v>
      </c>
      <c r="ACR85" s="70">
        <v>0</v>
      </c>
      <c r="ACS85" s="70">
        <v>0</v>
      </c>
      <c r="ACT85" s="70">
        <v>0</v>
      </c>
      <c r="ACU85" s="70">
        <v>0</v>
      </c>
      <c r="ACV85" s="70">
        <v>0</v>
      </c>
      <c r="ACW85" s="70">
        <v>0</v>
      </c>
      <c r="ACX85" s="70">
        <v>0</v>
      </c>
      <c r="ACY85" s="70">
        <v>0</v>
      </c>
      <c r="ACZ85" s="70">
        <v>0</v>
      </c>
      <c r="ADA85" s="70">
        <v>0</v>
      </c>
      <c r="ADB85" s="70">
        <v>0</v>
      </c>
      <c r="ADC85" s="70">
        <v>0</v>
      </c>
      <c r="ADD85" s="70">
        <v>0</v>
      </c>
      <c r="ADE85" s="70">
        <v>0</v>
      </c>
      <c r="ADF85" s="70">
        <v>0</v>
      </c>
      <c r="ADG85" s="70">
        <v>0</v>
      </c>
      <c r="ADH85" s="70">
        <v>0</v>
      </c>
      <c r="ADI85" s="70">
        <v>0</v>
      </c>
      <c r="ADJ85" s="70">
        <v>0</v>
      </c>
      <c r="ADK85" s="70">
        <v>0</v>
      </c>
      <c r="ADL85" s="70">
        <v>0</v>
      </c>
      <c r="ADM85" s="70">
        <v>0</v>
      </c>
      <c r="ADN85" s="70">
        <v>0</v>
      </c>
      <c r="ADO85" s="70">
        <v>0</v>
      </c>
      <c r="ADP85" s="70">
        <v>0</v>
      </c>
      <c r="ADQ85" s="70">
        <v>0</v>
      </c>
      <c r="ADR85" s="70">
        <v>0</v>
      </c>
      <c r="ADS85" s="70">
        <v>0</v>
      </c>
      <c r="ADT85" s="70">
        <v>0</v>
      </c>
      <c r="ADU85" s="70">
        <v>0</v>
      </c>
      <c r="ADV85" s="70">
        <v>0</v>
      </c>
      <c r="ADW85" s="70">
        <v>0</v>
      </c>
      <c r="ADX85" s="70">
        <v>0</v>
      </c>
      <c r="ADY85" s="70">
        <v>0</v>
      </c>
      <c r="ADZ85" s="70">
        <v>0</v>
      </c>
      <c r="AEA85" s="70">
        <v>0</v>
      </c>
      <c r="AEB85" s="70">
        <v>0</v>
      </c>
      <c r="AEC85" s="70">
        <v>0</v>
      </c>
      <c r="AED85" s="70">
        <v>0</v>
      </c>
      <c r="AEE85" s="70">
        <v>0</v>
      </c>
      <c r="AEF85" s="70">
        <v>0</v>
      </c>
      <c r="AEG85" s="70">
        <v>0</v>
      </c>
      <c r="AEH85" s="70">
        <v>0</v>
      </c>
      <c r="AEI85" s="70">
        <v>0</v>
      </c>
      <c r="AEJ85" s="70">
        <v>0</v>
      </c>
      <c r="AEK85" s="70">
        <v>0</v>
      </c>
      <c r="AEL85" s="70">
        <v>0</v>
      </c>
      <c r="AEM85" s="70">
        <v>0</v>
      </c>
      <c r="AEN85" s="70">
        <v>0</v>
      </c>
      <c r="AEO85" s="70">
        <v>0</v>
      </c>
      <c r="AEP85" s="70">
        <v>0</v>
      </c>
      <c r="AEQ85" s="70">
        <v>0</v>
      </c>
      <c r="AER85" s="70">
        <v>0</v>
      </c>
      <c r="AES85" s="70">
        <v>0</v>
      </c>
      <c r="AET85" s="70">
        <v>0</v>
      </c>
      <c r="AEU85" s="70">
        <v>0</v>
      </c>
      <c r="AEV85" s="70">
        <v>0</v>
      </c>
      <c r="AEW85" s="70">
        <v>0</v>
      </c>
      <c r="AEX85" s="70">
        <v>0</v>
      </c>
      <c r="AEY85" s="70">
        <v>0</v>
      </c>
      <c r="AEZ85" s="70">
        <v>0</v>
      </c>
      <c r="AFA85" s="70">
        <v>0</v>
      </c>
      <c r="AFB85" s="70">
        <v>0</v>
      </c>
      <c r="AFC85" s="70">
        <v>0</v>
      </c>
      <c r="AFD85" s="70">
        <v>0</v>
      </c>
      <c r="AFE85" s="70">
        <v>0</v>
      </c>
      <c r="AFF85" s="70">
        <v>0</v>
      </c>
      <c r="AFG85" s="70">
        <v>0</v>
      </c>
      <c r="AFH85" s="70">
        <v>0</v>
      </c>
      <c r="AFI85" s="70">
        <v>0</v>
      </c>
      <c r="AFJ85" s="70">
        <v>0</v>
      </c>
      <c r="AFK85" s="70">
        <v>0</v>
      </c>
      <c r="AFL85" s="70">
        <v>0</v>
      </c>
      <c r="AFM85" s="70">
        <v>0</v>
      </c>
      <c r="AFN85" s="70">
        <v>0</v>
      </c>
      <c r="AFO85" s="70">
        <v>0</v>
      </c>
      <c r="AFP85" s="70">
        <v>0</v>
      </c>
      <c r="AFQ85" s="70">
        <v>0</v>
      </c>
      <c r="AFR85" s="70">
        <v>0</v>
      </c>
      <c r="AFS85" s="70">
        <v>0</v>
      </c>
      <c r="AFT85" s="70">
        <v>0</v>
      </c>
      <c r="AFU85" s="70">
        <v>0</v>
      </c>
      <c r="AFV85" s="70">
        <v>0</v>
      </c>
      <c r="AFW85" s="70">
        <v>0</v>
      </c>
      <c r="AFX85" s="70">
        <v>0</v>
      </c>
      <c r="AFY85" s="70">
        <v>0</v>
      </c>
      <c r="AFZ85" s="70">
        <v>0</v>
      </c>
      <c r="AGA85" s="70">
        <v>0</v>
      </c>
      <c r="AGB85" s="70">
        <v>0</v>
      </c>
      <c r="AGC85" s="70">
        <v>0</v>
      </c>
      <c r="AGD85" s="70">
        <v>0</v>
      </c>
      <c r="AGE85" s="70">
        <v>0</v>
      </c>
      <c r="AGF85" s="70">
        <v>0</v>
      </c>
      <c r="AGG85" s="70">
        <v>0</v>
      </c>
      <c r="AGH85" s="70">
        <v>0</v>
      </c>
      <c r="AGI85" s="70">
        <v>0</v>
      </c>
      <c r="AGJ85" s="70">
        <v>0</v>
      </c>
      <c r="AGK85" s="70">
        <v>0</v>
      </c>
      <c r="AGL85" s="70">
        <v>0</v>
      </c>
      <c r="AGM85" s="70">
        <v>0</v>
      </c>
      <c r="AGN85" s="70">
        <v>0</v>
      </c>
      <c r="AGO85" s="70">
        <v>0</v>
      </c>
      <c r="AGP85" s="70">
        <v>0</v>
      </c>
      <c r="AGQ85" s="70">
        <v>0</v>
      </c>
      <c r="AGR85" s="70">
        <v>0</v>
      </c>
      <c r="AGS85" s="70">
        <v>0</v>
      </c>
      <c r="AGT85" s="70">
        <v>0</v>
      </c>
      <c r="AGU85" s="70">
        <v>0</v>
      </c>
      <c r="AGV85" s="70">
        <v>0</v>
      </c>
      <c r="AGW85" s="70">
        <v>0</v>
      </c>
      <c r="AGX85" s="70">
        <v>0</v>
      </c>
      <c r="AGY85" s="70">
        <v>0</v>
      </c>
      <c r="AGZ85" s="70">
        <v>0</v>
      </c>
      <c r="AHA85" s="70">
        <v>0</v>
      </c>
      <c r="AHB85" s="70">
        <v>0</v>
      </c>
      <c r="AHC85" s="70">
        <v>0</v>
      </c>
      <c r="AHD85" s="70">
        <v>0</v>
      </c>
      <c r="AHE85" s="70">
        <v>0</v>
      </c>
      <c r="AHF85" s="70">
        <v>0</v>
      </c>
      <c r="AHG85" s="70">
        <v>0</v>
      </c>
      <c r="AHH85" s="70">
        <v>0</v>
      </c>
      <c r="AHI85" s="70">
        <v>0</v>
      </c>
      <c r="AHJ85" s="70">
        <v>0</v>
      </c>
      <c r="AHK85" s="70">
        <v>0</v>
      </c>
      <c r="AHL85" s="70">
        <v>0</v>
      </c>
      <c r="AHM85" s="70">
        <v>0</v>
      </c>
      <c r="AHN85" s="70">
        <v>0</v>
      </c>
      <c r="AHO85" s="70">
        <v>0</v>
      </c>
      <c r="AHP85" s="70">
        <v>0</v>
      </c>
      <c r="AHQ85" s="70">
        <v>0</v>
      </c>
      <c r="AHR85" s="70">
        <v>0</v>
      </c>
      <c r="AHS85" s="70">
        <v>0</v>
      </c>
      <c r="AHT85" s="70">
        <v>0</v>
      </c>
      <c r="AHU85" s="70">
        <v>0</v>
      </c>
      <c r="AHV85" s="70">
        <v>0</v>
      </c>
      <c r="AHW85" s="70">
        <v>0</v>
      </c>
      <c r="AHX85" s="70">
        <v>0</v>
      </c>
      <c r="AHY85" s="70">
        <v>0</v>
      </c>
      <c r="AHZ85" s="70">
        <v>0</v>
      </c>
      <c r="AIA85" s="70">
        <v>0</v>
      </c>
      <c r="AIB85" s="70">
        <v>0</v>
      </c>
      <c r="AIC85" s="70">
        <v>0</v>
      </c>
      <c r="AID85" s="70">
        <v>0</v>
      </c>
      <c r="AIE85" s="70">
        <v>0</v>
      </c>
      <c r="AIF85" s="70">
        <v>0</v>
      </c>
      <c r="AIG85" s="70">
        <v>0</v>
      </c>
      <c r="AIH85" s="70">
        <v>0</v>
      </c>
      <c r="AII85" s="70">
        <v>0</v>
      </c>
      <c r="AIJ85" s="70">
        <v>0</v>
      </c>
      <c r="AIK85" s="70">
        <v>0</v>
      </c>
      <c r="AIL85" s="70">
        <v>0</v>
      </c>
      <c r="AIM85" s="70">
        <v>0</v>
      </c>
      <c r="AIN85" s="70">
        <v>0</v>
      </c>
      <c r="AIO85" s="70">
        <v>0</v>
      </c>
      <c r="AIP85" s="70">
        <v>0</v>
      </c>
      <c r="AIQ85" s="70">
        <v>0</v>
      </c>
      <c r="AIR85" s="70">
        <v>0</v>
      </c>
      <c r="AIS85" s="70">
        <v>0</v>
      </c>
      <c r="AIT85" s="70">
        <v>0</v>
      </c>
      <c r="AIU85" s="70">
        <v>0</v>
      </c>
      <c r="AIV85" s="70">
        <v>0</v>
      </c>
      <c r="AIW85" s="70">
        <v>0</v>
      </c>
      <c r="AIX85" s="70">
        <v>0</v>
      </c>
      <c r="AIY85" s="70">
        <v>0</v>
      </c>
      <c r="AIZ85" s="70">
        <v>0</v>
      </c>
      <c r="AJA85" s="70">
        <v>0</v>
      </c>
      <c r="AJB85" s="70">
        <v>0</v>
      </c>
      <c r="AJC85" s="70">
        <v>0</v>
      </c>
      <c r="AJD85" s="70">
        <v>0</v>
      </c>
      <c r="AJE85" s="70">
        <v>0</v>
      </c>
      <c r="AJF85" s="70">
        <v>0</v>
      </c>
      <c r="AJG85" s="70">
        <v>0</v>
      </c>
      <c r="AJH85" s="70">
        <v>0</v>
      </c>
      <c r="AJI85" s="70">
        <v>0</v>
      </c>
      <c r="AJJ85" s="70">
        <v>0</v>
      </c>
      <c r="AJK85" s="70">
        <v>0</v>
      </c>
      <c r="AJL85" s="70">
        <v>0</v>
      </c>
      <c r="AJM85" s="70">
        <v>0</v>
      </c>
      <c r="AJN85" s="70">
        <v>0</v>
      </c>
      <c r="AJO85" s="70">
        <v>0</v>
      </c>
      <c r="AJP85" s="70">
        <v>0</v>
      </c>
      <c r="AJQ85" s="70">
        <v>0</v>
      </c>
      <c r="AJR85" s="70">
        <v>0</v>
      </c>
      <c r="AJS85" s="70">
        <v>0</v>
      </c>
      <c r="AJT85" s="70">
        <v>0</v>
      </c>
      <c r="AJU85" s="70">
        <v>0</v>
      </c>
      <c r="AJV85" s="70">
        <v>0</v>
      </c>
      <c r="AJW85" s="70">
        <v>0</v>
      </c>
      <c r="AJX85" s="70">
        <v>0</v>
      </c>
      <c r="AJY85" s="70">
        <v>0</v>
      </c>
      <c r="AJZ85" s="70">
        <v>0</v>
      </c>
      <c r="AKA85" s="70">
        <v>0</v>
      </c>
      <c r="AKB85" s="70">
        <v>0</v>
      </c>
      <c r="AKC85" s="70">
        <v>0</v>
      </c>
      <c r="AKD85" s="70">
        <v>0</v>
      </c>
      <c r="AKE85" s="70">
        <v>0</v>
      </c>
      <c r="AKF85" s="70">
        <v>0</v>
      </c>
      <c r="AKG85" s="70">
        <v>0</v>
      </c>
      <c r="AKH85" s="70">
        <v>0</v>
      </c>
      <c r="AKI85" s="70">
        <v>0</v>
      </c>
      <c r="AKJ85" s="70">
        <v>0</v>
      </c>
      <c r="AKK85" s="70">
        <v>0</v>
      </c>
      <c r="AKL85" s="70">
        <v>0</v>
      </c>
      <c r="AKM85" s="70">
        <v>0</v>
      </c>
      <c r="AKN85" s="70">
        <v>0</v>
      </c>
      <c r="AKO85" s="70">
        <v>0</v>
      </c>
      <c r="AKP85" s="70">
        <v>0</v>
      </c>
      <c r="AKQ85" s="70">
        <v>0</v>
      </c>
      <c r="AKR85" s="70">
        <v>0</v>
      </c>
      <c r="AKS85" s="70">
        <v>0</v>
      </c>
      <c r="AKT85" s="70">
        <v>0</v>
      </c>
      <c r="AKU85" s="70">
        <v>0</v>
      </c>
      <c r="AKV85" s="70">
        <v>0</v>
      </c>
      <c r="AKW85" s="70">
        <v>0</v>
      </c>
      <c r="AKX85" s="70">
        <v>0</v>
      </c>
      <c r="AKY85" s="70">
        <v>0</v>
      </c>
      <c r="AKZ85" s="70">
        <v>0</v>
      </c>
      <c r="ALA85" s="70">
        <v>0</v>
      </c>
      <c r="ALB85" s="70">
        <v>0</v>
      </c>
      <c r="ALC85" s="70">
        <v>0</v>
      </c>
      <c r="ALD85" s="70">
        <v>0</v>
      </c>
      <c r="ALE85" s="70">
        <v>0</v>
      </c>
      <c r="ALF85" s="70">
        <v>0</v>
      </c>
      <c r="ALG85" s="70">
        <v>0</v>
      </c>
      <c r="ALH85" s="70">
        <v>0</v>
      </c>
      <c r="ALI85" s="70">
        <v>0</v>
      </c>
      <c r="ALJ85" s="70">
        <v>0</v>
      </c>
      <c r="ALK85" s="70">
        <v>0</v>
      </c>
      <c r="ALL85" s="70">
        <v>0</v>
      </c>
      <c r="ALM85" s="70">
        <v>0</v>
      </c>
      <c r="ALN85" s="70">
        <v>0</v>
      </c>
      <c r="ALO85" s="70">
        <v>0</v>
      </c>
      <c r="ALP85" s="70">
        <v>0</v>
      </c>
      <c r="ALQ85" s="70">
        <v>0</v>
      </c>
      <c r="ALR85" s="70">
        <v>0</v>
      </c>
      <c r="ALS85" s="70">
        <v>0</v>
      </c>
      <c r="ALT85" s="70">
        <v>0</v>
      </c>
      <c r="ALU85" s="70">
        <v>0</v>
      </c>
      <c r="ALV85" s="70">
        <v>0</v>
      </c>
      <c r="ALW85" s="70">
        <v>0</v>
      </c>
      <c r="ALX85" s="70">
        <v>0</v>
      </c>
      <c r="ALY85" s="70">
        <v>0</v>
      </c>
      <c r="ALZ85" s="70">
        <v>0</v>
      </c>
      <c r="AMA85" s="70">
        <v>0</v>
      </c>
      <c r="AMB85" s="70">
        <v>0</v>
      </c>
      <c r="AMC85" s="70">
        <v>0</v>
      </c>
      <c r="AMD85" s="70">
        <v>0</v>
      </c>
      <c r="AME85" s="70">
        <v>0</v>
      </c>
      <c r="AMF85" s="70">
        <v>0</v>
      </c>
      <c r="AMG85" s="70">
        <v>0</v>
      </c>
      <c r="AMH85" s="70">
        <v>0</v>
      </c>
      <c r="AMI85" s="70">
        <v>0</v>
      </c>
      <c r="AMJ85" s="70">
        <v>0</v>
      </c>
      <c r="AMK85" s="70">
        <v>0</v>
      </c>
      <c r="AML85" s="70">
        <v>0</v>
      </c>
      <c r="AMM85" s="70">
        <v>0</v>
      </c>
      <c r="AMN85" s="70">
        <v>0</v>
      </c>
      <c r="AMO85" s="70">
        <v>0</v>
      </c>
      <c r="AMP85" s="70">
        <v>0</v>
      </c>
      <c r="AMQ85" s="70">
        <v>0</v>
      </c>
      <c r="AMR85" s="70">
        <v>0</v>
      </c>
      <c r="AMS85" s="70">
        <v>0</v>
      </c>
      <c r="AMT85" s="70">
        <v>0</v>
      </c>
      <c r="AMU85" s="70">
        <v>0</v>
      </c>
      <c r="AMV85" s="70">
        <v>0</v>
      </c>
      <c r="AMW85" s="70">
        <v>0</v>
      </c>
      <c r="AMX85" s="70">
        <v>0</v>
      </c>
      <c r="AMY85" s="70">
        <v>0</v>
      </c>
      <c r="AMZ85" s="70">
        <v>0</v>
      </c>
      <c r="ANA85" s="70">
        <v>0</v>
      </c>
      <c r="ANB85" s="70">
        <v>0</v>
      </c>
      <c r="ANC85" s="70">
        <v>0</v>
      </c>
      <c r="AND85" s="70">
        <v>0</v>
      </c>
      <c r="ANE85" s="70">
        <v>0</v>
      </c>
      <c r="ANF85" s="70">
        <v>0</v>
      </c>
      <c r="ANG85" s="70">
        <v>0</v>
      </c>
      <c r="ANH85" s="70">
        <v>0</v>
      </c>
      <c r="ANI85" s="70">
        <v>0</v>
      </c>
      <c r="ANJ85" s="70">
        <v>0</v>
      </c>
      <c r="ANK85" s="70">
        <v>0</v>
      </c>
      <c r="ANL85" s="70">
        <v>0</v>
      </c>
      <c r="ANM85" s="70">
        <v>0</v>
      </c>
      <c r="ANN85" s="70">
        <v>0</v>
      </c>
      <c r="ANO85" s="70">
        <v>0</v>
      </c>
      <c r="ANP85" s="70">
        <v>0</v>
      </c>
      <c r="ANQ85" s="70">
        <v>0</v>
      </c>
      <c r="ANR85" s="70">
        <v>0</v>
      </c>
      <c r="ANS85" s="70">
        <v>0</v>
      </c>
      <c r="ANT85" s="70">
        <v>0</v>
      </c>
      <c r="ANU85" s="70">
        <v>0</v>
      </c>
      <c r="ANV85" s="70">
        <v>0</v>
      </c>
      <c r="ANW85" s="70">
        <v>0</v>
      </c>
      <c r="ANX85" s="70">
        <v>0</v>
      </c>
      <c r="ANY85" s="70">
        <v>0</v>
      </c>
      <c r="ANZ85" s="70">
        <v>0</v>
      </c>
      <c r="AOA85" s="70">
        <v>0</v>
      </c>
      <c r="AOB85" s="70">
        <v>0</v>
      </c>
      <c r="AOC85" s="70">
        <v>0</v>
      </c>
      <c r="AOD85" s="70">
        <v>0</v>
      </c>
      <c r="AOE85" s="70">
        <v>0</v>
      </c>
      <c r="AOF85" s="70">
        <v>0</v>
      </c>
      <c r="AOG85" s="70">
        <v>0</v>
      </c>
      <c r="AOH85" s="70">
        <v>0</v>
      </c>
      <c r="AOI85" s="70">
        <v>0</v>
      </c>
      <c r="AOJ85" s="70">
        <v>0</v>
      </c>
      <c r="AOK85" s="70">
        <v>0</v>
      </c>
      <c r="AOL85" s="70">
        <v>0</v>
      </c>
      <c r="AOM85" s="70">
        <v>0</v>
      </c>
      <c r="AON85" s="70">
        <v>0</v>
      </c>
      <c r="AOO85" s="70">
        <v>0</v>
      </c>
      <c r="AOP85" s="70">
        <v>0</v>
      </c>
      <c r="AOQ85" s="70">
        <v>0</v>
      </c>
      <c r="AOR85" s="70">
        <v>0</v>
      </c>
      <c r="AOS85" s="70">
        <v>0</v>
      </c>
      <c r="AOT85" s="70">
        <v>0</v>
      </c>
      <c r="AOU85" s="70">
        <v>0</v>
      </c>
      <c r="AOV85" s="70">
        <v>0</v>
      </c>
      <c r="AOW85" s="70">
        <v>0</v>
      </c>
      <c r="AOX85" s="70">
        <v>0</v>
      </c>
      <c r="AOY85" s="70">
        <v>0</v>
      </c>
      <c r="AOZ85" s="70">
        <v>0</v>
      </c>
      <c r="APA85" s="70">
        <v>0</v>
      </c>
      <c r="APB85" s="70">
        <v>0</v>
      </c>
      <c r="APC85" s="70">
        <v>0</v>
      </c>
      <c r="APD85" s="70">
        <v>0</v>
      </c>
      <c r="APE85" s="70">
        <v>0</v>
      </c>
      <c r="APF85" s="70">
        <v>0</v>
      </c>
      <c r="APG85" s="70">
        <v>0</v>
      </c>
      <c r="APH85" s="70">
        <v>0</v>
      </c>
      <c r="API85" s="70">
        <v>0</v>
      </c>
      <c r="APJ85" s="70">
        <v>0</v>
      </c>
      <c r="APK85" s="70">
        <v>0</v>
      </c>
      <c r="APL85" s="70">
        <v>0</v>
      </c>
      <c r="APM85" s="70">
        <v>0</v>
      </c>
      <c r="APN85" s="70">
        <v>0</v>
      </c>
      <c r="APO85" s="70">
        <v>0</v>
      </c>
      <c r="APP85" s="70">
        <v>0</v>
      </c>
      <c r="APQ85" s="70">
        <v>0</v>
      </c>
      <c r="APR85" s="70">
        <v>0</v>
      </c>
      <c r="APS85" s="70">
        <v>0</v>
      </c>
      <c r="APT85" s="70">
        <v>0</v>
      </c>
      <c r="APU85" s="70">
        <v>0</v>
      </c>
      <c r="APV85" s="70">
        <v>0</v>
      </c>
      <c r="APW85" s="70">
        <v>0</v>
      </c>
      <c r="APX85" s="70">
        <v>0</v>
      </c>
      <c r="APY85" s="70">
        <v>0</v>
      </c>
      <c r="APZ85" s="70">
        <v>0</v>
      </c>
      <c r="AQA85" s="70">
        <v>0</v>
      </c>
      <c r="AQB85" s="70">
        <v>0</v>
      </c>
      <c r="AQC85" s="70">
        <v>0</v>
      </c>
      <c r="AQD85" s="70">
        <v>0</v>
      </c>
      <c r="AQE85" s="70">
        <v>0</v>
      </c>
      <c r="AQF85" s="70">
        <v>0</v>
      </c>
      <c r="AQG85" s="70">
        <v>0</v>
      </c>
      <c r="AQH85" s="70">
        <v>0</v>
      </c>
      <c r="AQI85" s="70">
        <v>0</v>
      </c>
      <c r="AQJ85" s="70">
        <v>0</v>
      </c>
      <c r="AQK85" s="70">
        <v>0</v>
      </c>
      <c r="AQL85" s="70">
        <v>0</v>
      </c>
      <c r="AQM85" s="70">
        <v>0</v>
      </c>
      <c r="AQN85" s="70">
        <v>0</v>
      </c>
      <c r="AQO85" s="70">
        <v>0</v>
      </c>
      <c r="AQP85" s="70">
        <v>0</v>
      </c>
      <c r="AQQ85" s="70">
        <v>0</v>
      </c>
      <c r="AQR85" s="70">
        <v>0</v>
      </c>
      <c r="AQS85" s="70">
        <v>0</v>
      </c>
      <c r="AQT85" s="70">
        <v>0</v>
      </c>
      <c r="AQU85" s="70">
        <v>0</v>
      </c>
      <c r="AQV85" s="70">
        <v>0</v>
      </c>
      <c r="AQW85" s="70">
        <v>0</v>
      </c>
      <c r="AQX85" s="70">
        <v>0</v>
      </c>
      <c r="AQY85" s="70">
        <v>0</v>
      </c>
      <c r="AQZ85" s="70">
        <v>0</v>
      </c>
      <c r="ARA85" s="70">
        <v>0</v>
      </c>
      <c r="ARB85" s="70">
        <v>0</v>
      </c>
      <c r="ARC85" s="70">
        <v>0</v>
      </c>
      <c r="ARD85" s="70">
        <v>0</v>
      </c>
      <c r="ARE85" s="70">
        <v>0</v>
      </c>
      <c r="ARF85" s="70">
        <v>0</v>
      </c>
      <c r="ARG85" s="70">
        <v>0</v>
      </c>
      <c r="ARH85" s="70">
        <v>0</v>
      </c>
      <c r="ARI85" s="70">
        <v>0</v>
      </c>
      <c r="ARJ85" s="70">
        <v>0</v>
      </c>
      <c r="ARK85" s="70">
        <v>0</v>
      </c>
      <c r="ARL85" s="70">
        <v>0</v>
      </c>
      <c r="ARM85" s="70">
        <v>0</v>
      </c>
      <c r="ARN85" s="70">
        <v>0</v>
      </c>
      <c r="ARO85" s="70">
        <v>0</v>
      </c>
      <c r="ARP85" s="70">
        <v>0</v>
      </c>
      <c r="ARQ85" s="70">
        <v>0</v>
      </c>
      <c r="ARR85" s="70">
        <v>0</v>
      </c>
      <c r="ARS85" s="70">
        <v>0</v>
      </c>
      <c r="ART85" s="70">
        <v>0</v>
      </c>
      <c r="ARU85" s="70">
        <v>0</v>
      </c>
      <c r="ARV85" s="70">
        <v>0</v>
      </c>
      <c r="ARW85" s="70">
        <v>0</v>
      </c>
      <c r="ARX85" s="70">
        <v>0</v>
      </c>
      <c r="ARY85" s="70">
        <v>0</v>
      </c>
      <c r="ARZ85" s="70">
        <v>0</v>
      </c>
      <c r="ASA85" s="70">
        <v>0</v>
      </c>
      <c r="ASB85" s="70">
        <v>0</v>
      </c>
      <c r="ASC85" s="70">
        <v>0</v>
      </c>
      <c r="ASD85" s="70">
        <v>0</v>
      </c>
      <c r="ASE85" s="70">
        <v>0</v>
      </c>
      <c r="ASF85" s="70">
        <v>0</v>
      </c>
      <c r="ASG85" s="70">
        <v>0</v>
      </c>
      <c r="ASH85" s="70">
        <v>0</v>
      </c>
      <c r="ASI85" s="70">
        <v>0</v>
      </c>
      <c r="ASJ85" s="70">
        <v>0</v>
      </c>
      <c r="ASK85" s="70">
        <v>0</v>
      </c>
      <c r="ASL85" s="70">
        <v>0</v>
      </c>
      <c r="ASM85" s="70">
        <v>0</v>
      </c>
      <c r="ASN85" s="70">
        <v>0</v>
      </c>
      <c r="ASO85" s="70">
        <v>0</v>
      </c>
      <c r="ASP85" s="70">
        <v>0</v>
      </c>
      <c r="ASQ85" s="70">
        <v>0</v>
      </c>
      <c r="ASR85" s="70">
        <v>0</v>
      </c>
      <c r="ASS85" s="70">
        <v>0</v>
      </c>
      <c r="AST85" s="70">
        <v>0</v>
      </c>
      <c r="ASU85" s="70">
        <v>0</v>
      </c>
      <c r="ASV85" s="70">
        <v>0</v>
      </c>
      <c r="ASW85" s="70">
        <v>0</v>
      </c>
      <c r="ASX85" s="70">
        <v>0</v>
      </c>
      <c r="ASY85" s="70">
        <v>0</v>
      </c>
      <c r="ASZ85" s="70">
        <v>0</v>
      </c>
      <c r="ATA85" s="70">
        <v>0</v>
      </c>
      <c r="ATB85" s="70">
        <v>0</v>
      </c>
      <c r="ATC85" s="70">
        <v>0</v>
      </c>
      <c r="ATD85" s="70">
        <v>0</v>
      </c>
      <c r="ATE85" s="70">
        <v>0</v>
      </c>
      <c r="ATF85" s="70">
        <v>0</v>
      </c>
      <c r="ATG85" s="70">
        <v>0</v>
      </c>
      <c r="ATH85" s="70">
        <v>0</v>
      </c>
      <c r="ATI85" s="70">
        <v>0</v>
      </c>
      <c r="ATJ85" s="70">
        <v>0</v>
      </c>
      <c r="ATK85" s="70">
        <v>0</v>
      </c>
      <c r="ATL85" s="70">
        <v>0</v>
      </c>
      <c r="ATM85" s="70">
        <v>0</v>
      </c>
      <c r="ATN85" s="70">
        <v>0</v>
      </c>
      <c r="ATO85" s="70">
        <v>0</v>
      </c>
      <c r="ATP85" s="70">
        <v>0</v>
      </c>
      <c r="ATQ85" s="70">
        <v>0</v>
      </c>
      <c r="ATR85" s="70">
        <v>0</v>
      </c>
      <c r="ATS85" s="70">
        <v>0</v>
      </c>
      <c r="ATT85" s="70">
        <v>0</v>
      </c>
      <c r="ATU85" s="70">
        <v>0</v>
      </c>
      <c r="ATV85" s="70">
        <v>0</v>
      </c>
      <c r="ATW85" s="70">
        <v>0</v>
      </c>
      <c r="ATX85" s="70">
        <v>0</v>
      </c>
      <c r="ATY85" s="70">
        <v>0</v>
      </c>
      <c r="ATZ85" s="70">
        <v>0</v>
      </c>
      <c r="AUA85" s="70">
        <v>0</v>
      </c>
      <c r="AUB85" s="70">
        <v>0</v>
      </c>
      <c r="AUC85" s="70">
        <v>0</v>
      </c>
      <c r="AUD85" s="70">
        <v>0</v>
      </c>
      <c r="AUE85" s="70">
        <v>0</v>
      </c>
      <c r="AUF85" s="70">
        <v>0</v>
      </c>
      <c r="AUG85" s="70">
        <v>0</v>
      </c>
      <c r="AUH85" s="70">
        <v>0</v>
      </c>
      <c r="AUI85" s="70">
        <v>0</v>
      </c>
      <c r="AUJ85" s="70">
        <v>0</v>
      </c>
      <c r="AUK85" s="70">
        <v>0</v>
      </c>
      <c r="AUL85" s="70">
        <v>0</v>
      </c>
      <c r="AUM85" s="70">
        <v>0</v>
      </c>
      <c r="AUN85" s="70">
        <v>0</v>
      </c>
      <c r="AUO85" s="70">
        <v>0</v>
      </c>
      <c r="AUP85" s="70">
        <v>0</v>
      </c>
      <c r="AUQ85" s="70">
        <v>0</v>
      </c>
      <c r="AUR85" s="70">
        <v>0</v>
      </c>
      <c r="AUS85" s="70">
        <v>0</v>
      </c>
      <c r="AUT85" s="70">
        <v>0</v>
      </c>
      <c r="AUU85" s="70">
        <v>0</v>
      </c>
      <c r="AUV85" s="70">
        <v>0</v>
      </c>
      <c r="AUW85" s="70">
        <v>0</v>
      </c>
      <c r="AUX85" s="70">
        <v>0</v>
      </c>
      <c r="AUY85" s="70">
        <v>0</v>
      </c>
      <c r="AUZ85" s="70">
        <v>0</v>
      </c>
      <c r="AVA85" s="70">
        <v>0</v>
      </c>
      <c r="AVB85" s="70">
        <v>0</v>
      </c>
      <c r="AVC85" s="70">
        <v>0</v>
      </c>
      <c r="AVD85" s="70">
        <v>0</v>
      </c>
      <c r="AVE85" s="70">
        <v>0</v>
      </c>
      <c r="AVF85" s="70">
        <v>0</v>
      </c>
      <c r="AVG85" s="70">
        <v>0</v>
      </c>
      <c r="AVH85" s="70">
        <v>0</v>
      </c>
      <c r="AVI85" s="70">
        <v>0</v>
      </c>
      <c r="AVJ85" s="70">
        <v>0</v>
      </c>
      <c r="AVK85" s="70">
        <v>0</v>
      </c>
      <c r="AVL85" s="70">
        <v>0</v>
      </c>
      <c r="AVM85" s="70">
        <v>0</v>
      </c>
      <c r="AVN85" s="70">
        <v>0</v>
      </c>
      <c r="AVO85" s="70">
        <v>0</v>
      </c>
      <c r="AVP85" s="70">
        <v>0</v>
      </c>
      <c r="AVQ85" s="70">
        <v>0</v>
      </c>
      <c r="AVR85" s="70">
        <v>0</v>
      </c>
      <c r="AVS85" s="70">
        <v>0</v>
      </c>
      <c r="AVT85" s="70">
        <v>0</v>
      </c>
      <c r="AVU85" s="70">
        <v>0</v>
      </c>
      <c r="AVV85" s="70">
        <v>0</v>
      </c>
      <c r="AVW85" s="70">
        <v>0</v>
      </c>
      <c r="AVX85" s="70">
        <v>0</v>
      </c>
      <c r="AVY85" s="70">
        <v>0</v>
      </c>
      <c r="AVZ85" s="70">
        <v>0</v>
      </c>
      <c r="AWA85" s="70">
        <v>0</v>
      </c>
      <c r="AWB85" s="70">
        <v>0</v>
      </c>
      <c r="AWC85" s="70">
        <v>0</v>
      </c>
      <c r="AWD85" s="70">
        <v>0</v>
      </c>
      <c r="AWE85" s="70">
        <v>0</v>
      </c>
      <c r="AWF85" s="70">
        <v>0</v>
      </c>
      <c r="AWG85" s="70">
        <v>0</v>
      </c>
      <c r="AWH85" s="70">
        <v>0</v>
      </c>
      <c r="AWI85" s="70">
        <v>0</v>
      </c>
      <c r="AWJ85" s="70">
        <v>0</v>
      </c>
      <c r="AWK85" s="70">
        <v>0</v>
      </c>
      <c r="AWL85" s="70">
        <v>0</v>
      </c>
      <c r="AWM85" s="70">
        <v>0</v>
      </c>
      <c r="AWN85" s="70">
        <v>0</v>
      </c>
      <c r="AWO85" s="70">
        <v>0</v>
      </c>
      <c r="AWP85" s="70">
        <v>0</v>
      </c>
      <c r="AWQ85" s="70">
        <v>0</v>
      </c>
      <c r="AWR85" s="70">
        <v>0</v>
      </c>
      <c r="AWS85" s="70">
        <v>0</v>
      </c>
      <c r="AWT85" s="70">
        <v>0</v>
      </c>
      <c r="AWU85" s="70">
        <v>0</v>
      </c>
      <c r="AWV85" s="70">
        <v>0</v>
      </c>
      <c r="AWW85" s="70">
        <v>0</v>
      </c>
      <c r="AWX85" s="70">
        <v>0</v>
      </c>
      <c r="AWY85" s="70">
        <v>0</v>
      </c>
      <c r="AWZ85" s="70">
        <v>0</v>
      </c>
      <c r="AXA85" s="70">
        <v>0</v>
      </c>
      <c r="AXB85" s="70">
        <v>0</v>
      </c>
      <c r="AXC85" s="70">
        <v>0</v>
      </c>
      <c r="AXD85" s="70">
        <v>0</v>
      </c>
      <c r="AXE85" s="70">
        <v>0</v>
      </c>
      <c r="AXF85" s="70">
        <v>0</v>
      </c>
      <c r="AXG85" s="70">
        <v>0</v>
      </c>
      <c r="AXH85" s="70">
        <v>0</v>
      </c>
      <c r="AXI85" s="70">
        <v>0</v>
      </c>
      <c r="AXJ85" s="70">
        <v>0</v>
      </c>
      <c r="AXK85" s="70">
        <v>0</v>
      </c>
      <c r="AXL85" s="70">
        <v>0</v>
      </c>
      <c r="AXM85" s="70">
        <v>0</v>
      </c>
      <c r="AXN85" s="70">
        <v>0</v>
      </c>
      <c r="AXO85" s="70">
        <v>0</v>
      </c>
      <c r="AXP85" s="70">
        <v>0</v>
      </c>
      <c r="AXQ85" s="70">
        <v>0</v>
      </c>
      <c r="AXR85" s="70">
        <v>0</v>
      </c>
      <c r="AXS85" s="70">
        <v>0</v>
      </c>
      <c r="AXT85" s="70">
        <v>0</v>
      </c>
      <c r="AXU85" s="70">
        <v>0</v>
      </c>
      <c r="AXV85" s="70">
        <v>0</v>
      </c>
      <c r="AXW85" s="70">
        <v>0</v>
      </c>
      <c r="AXX85" s="70">
        <v>0</v>
      </c>
      <c r="AXY85" s="70">
        <v>0</v>
      </c>
      <c r="AXZ85" s="70">
        <v>0</v>
      </c>
      <c r="AYA85" s="70">
        <v>0</v>
      </c>
      <c r="AYB85" s="70">
        <v>0</v>
      </c>
      <c r="AYC85" s="70">
        <v>0</v>
      </c>
      <c r="AYD85" s="70">
        <v>0</v>
      </c>
      <c r="AYE85" s="70">
        <v>0</v>
      </c>
      <c r="AYF85" s="70">
        <v>0</v>
      </c>
      <c r="AYG85" s="70">
        <v>0</v>
      </c>
      <c r="AYH85" s="70">
        <v>0</v>
      </c>
      <c r="AYI85" s="70">
        <v>0</v>
      </c>
      <c r="AYJ85" s="70">
        <v>0</v>
      </c>
      <c r="AYK85" s="70">
        <v>0</v>
      </c>
      <c r="AYL85" s="70">
        <v>0</v>
      </c>
      <c r="AYM85" s="70">
        <v>0</v>
      </c>
      <c r="AYN85" s="70">
        <v>0</v>
      </c>
      <c r="AYO85" s="70">
        <v>0</v>
      </c>
      <c r="AYP85" s="70">
        <v>0</v>
      </c>
      <c r="AYQ85" s="70">
        <v>0</v>
      </c>
      <c r="AYR85" s="70">
        <v>0</v>
      </c>
      <c r="AYS85" s="70">
        <v>0</v>
      </c>
      <c r="AYT85" s="70">
        <v>0</v>
      </c>
      <c r="AYU85" s="70">
        <v>0</v>
      </c>
      <c r="AYV85" s="70">
        <v>0</v>
      </c>
      <c r="AYW85" s="70">
        <v>0</v>
      </c>
      <c r="AYX85" s="70">
        <v>0</v>
      </c>
      <c r="AYY85" s="70">
        <v>0</v>
      </c>
      <c r="AYZ85" s="70">
        <v>0</v>
      </c>
      <c r="AZA85" s="70">
        <v>0</v>
      </c>
      <c r="AZB85" s="70">
        <v>0</v>
      </c>
      <c r="AZC85" s="70">
        <v>0</v>
      </c>
      <c r="AZD85" s="70">
        <v>0</v>
      </c>
      <c r="AZE85" s="70">
        <v>0</v>
      </c>
      <c r="AZF85" s="70">
        <v>0</v>
      </c>
      <c r="AZG85" s="70">
        <v>0</v>
      </c>
      <c r="AZH85" s="70">
        <v>0</v>
      </c>
      <c r="AZI85" s="70">
        <v>0</v>
      </c>
      <c r="AZJ85" s="70">
        <v>0</v>
      </c>
      <c r="AZK85" s="70">
        <v>0</v>
      </c>
      <c r="AZL85" s="70">
        <v>0</v>
      </c>
      <c r="AZM85" s="70">
        <v>0</v>
      </c>
      <c r="AZN85" s="70">
        <v>0</v>
      </c>
      <c r="AZO85" s="70">
        <v>0</v>
      </c>
      <c r="AZP85" s="70">
        <v>0</v>
      </c>
      <c r="AZQ85" s="70">
        <v>0</v>
      </c>
      <c r="AZR85" s="70">
        <v>0</v>
      </c>
      <c r="AZS85" s="70">
        <v>0</v>
      </c>
      <c r="AZT85" s="70">
        <v>0</v>
      </c>
      <c r="AZU85" s="70">
        <v>0</v>
      </c>
      <c r="AZV85" s="70">
        <v>0</v>
      </c>
      <c r="AZW85" s="70">
        <v>0</v>
      </c>
      <c r="AZX85" s="70">
        <v>0</v>
      </c>
      <c r="AZY85" s="70">
        <v>0</v>
      </c>
      <c r="AZZ85" s="70">
        <v>0</v>
      </c>
      <c r="BAA85" s="70">
        <v>0</v>
      </c>
      <c r="BAB85" s="70">
        <v>0</v>
      </c>
      <c r="BAC85" s="70">
        <v>0</v>
      </c>
      <c r="BAD85" s="70">
        <v>0</v>
      </c>
      <c r="BAE85" s="70">
        <v>0</v>
      </c>
      <c r="BAF85" s="70">
        <v>0</v>
      </c>
      <c r="BAG85" s="70">
        <v>0</v>
      </c>
      <c r="BAH85" s="70">
        <v>0</v>
      </c>
      <c r="BAI85" s="70">
        <v>0</v>
      </c>
      <c r="BAJ85" s="70">
        <v>0</v>
      </c>
      <c r="BAK85" s="70">
        <v>0</v>
      </c>
      <c r="BAL85" s="70">
        <v>0</v>
      </c>
      <c r="BAM85" s="70">
        <v>0</v>
      </c>
      <c r="BAN85" s="70">
        <v>0</v>
      </c>
      <c r="BAO85" s="70">
        <v>0</v>
      </c>
      <c r="BAP85" s="70">
        <v>0</v>
      </c>
      <c r="BAQ85" s="70">
        <v>0</v>
      </c>
      <c r="BAR85" s="70">
        <v>0</v>
      </c>
      <c r="BAS85" s="70">
        <v>0</v>
      </c>
      <c r="BAT85" s="70">
        <v>0</v>
      </c>
      <c r="BAU85" s="70">
        <v>0</v>
      </c>
      <c r="BAV85" s="70">
        <v>0</v>
      </c>
      <c r="BAW85" s="70">
        <v>0</v>
      </c>
      <c r="BAX85" s="70">
        <v>0</v>
      </c>
      <c r="BAY85" s="70">
        <v>0</v>
      </c>
      <c r="BAZ85" s="70">
        <v>0</v>
      </c>
      <c r="BBA85" s="70">
        <v>0</v>
      </c>
      <c r="BBB85" s="70">
        <v>0</v>
      </c>
      <c r="BBC85" s="70">
        <v>0</v>
      </c>
      <c r="BBD85" s="70">
        <v>0</v>
      </c>
      <c r="BBE85" s="70">
        <v>0</v>
      </c>
      <c r="BBF85" s="70">
        <v>0</v>
      </c>
      <c r="BBG85" s="70">
        <v>0</v>
      </c>
      <c r="BBH85" s="70">
        <v>0</v>
      </c>
      <c r="BBI85" s="70">
        <v>0</v>
      </c>
      <c r="BBJ85" s="70">
        <v>0</v>
      </c>
      <c r="BBK85" s="70">
        <v>0</v>
      </c>
      <c r="BBL85" s="70">
        <v>0</v>
      </c>
      <c r="BBM85" s="70">
        <v>0</v>
      </c>
      <c r="BBN85" s="70">
        <v>0</v>
      </c>
      <c r="BBO85" s="70">
        <v>0</v>
      </c>
      <c r="BBP85" s="70">
        <v>0</v>
      </c>
      <c r="BBQ85" s="70">
        <v>0</v>
      </c>
      <c r="BBR85" s="70">
        <v>0</v>
      </c>
      <c r="BBS85" s="70">
        <v>0</v>
      </c>
      <c r="BBT85" s="70">
        <v>0</v>
      </c>
      <c r="BBU85" s="70">
        <v>0</v>
      </c>
      <c r="BBV85" s="70">
        <v>0</v>
      </c>
      <c r="BBW85" s="70">
        <v>0</v>
      </c>
      <c r="BBX85" s="70">
        <v>0</v>
      </c>
      <c r="BBY85" s="70">
        <v>0</v>
      </c>
      <c r="BBZ85" s="70">
        <v>0</v>
      </c>
      <c r="BCA85" s="70">
        <v>0</v>
      </c>
      <c r="BCB85" s="70">
        <v>0</v>
      </c>
      <c r="BCC85" s="70">
        <v>0</v>
      </c>
      <c r="BCD85" s="70">
        <v>0</v>
      </c>
      <c r="BCE85" s="70">
        <v>0</v>
      </c>
      <c r="BCF85" s="70">
        <v>0</v>
      </c>
      <c r="BCG85" s="70">
        <v>0</v>
      </c>
      <c r="BCH85" s="70">
        <v>0</v>
      </c>
      <c r="BCI85" s="70">
        <v>0</v>
      </c>
      <c r="BCJ85" s="70">
        <v>0</v>
      </c>
      <c r="BCK85" s="70">
        <v>0</v>
      </c>
      <c r="BCL85" s="70">
        <v>0</v>
      </c>
      <c r="BCM85" s="70">
        <v>0</v>
      </c>
      <c r="BCN85" s="70">
        <v>0</v>
      </c>
      <c r="BCO85" s="70">
        <v>0</v>
      </c>
      <c r="BCP85" s="70">
        <v>0</v>
      </c>
      <c r="BCQ85" s="70">
        <v>0</v>
      </c>
      <c r="BCR85" s="70">
        <v>0</v>
      </c>
      <c r="BCS85" s="70">
        <v>0</v>
      </c>
      <c r="BCT85" s="70">
        <v>0</v>
      </c>
      <c r="BCU85" s="70">
        <v>0</v>
      </c>
      <c r="BCV85" s="70">
        <v>0</v>
      </c>
      <c r="BCW85" s="70">
        <v>0</v>
      </c>
      <c r="BCX85" s="70">
        <v>0</v>
      </c>
      <c r="BCY85" s="70">
        <v>0</v>
      </c>
      <c r="BCZ85" s="70">
        <v>0</v>
      </c>
      <c r="BDA85" s="70">
        <v>0</v>
      </c>
      <c r="BDB85" s="70">
        <v>0</v>
      </c>
      <c r="BDC85" s="70">
        <v>0</v>
      </c>
      <c r="BDD85" s="70">
        <v>0</v>
      </c>
      <c r="BDE85" s="70">
        <v>0</v>
      </c>
      <c r="BDF85" s="70">
        <v>0</v>
      </c>
      <c r="BDG85" s="70">
        <v>0</v>
      </c>
      <c r="BDH85" s="70">
        <v>0</v>
      </c>
      <c r="BDI85" s="70">
        <v>0</v>
      </c>
      <c r="BDJ85" s="70">
        <v>0</v>
      </c>
      <c r="BDK85" s="70">
        <v>0</v>
      </c>
      <c r="BDL85" s="70">
        <v>0</v>
      </c>
      <c r="BDM85" s="70">
        <v>0</v>
      </c>
      <c r="BDN85" s="70">
        <v>0</v>
      </c>
      <c r="BDO85" s="70">
        <v>0</v>
      </c>
      <c r="BDP85" s="70">
        <v>0</v>
      </c>
      <c r="BDQ85" s="70">
        <v>0</v>
      </c>
      <c r="BDR85" s="70">
        <v>0</v>
      </c>
      <c r="BDS85" s="70">
        <v>0</v>
      </c>
      <c r="BDT85" s="70">
        <v>0</v>
      </c>
      <c r="BDU85" s="70">
        <v>0</v>
      </c>
      <c r="BDV85" s="70">
        <v>0</v>
      </c>
      <c r="BDW85" s="70">
        <v>0</v>
      </c>
      <c r="BDX85" s="70">
        <v>0</v>
      </c>
      <c r="BDY85" s="70">
        <v>0</v>
      </c>
      <c r="BDZ85" s="70">
        <v>0</v>
      </c>
      <c r="BEA85" s="70">
        <v>0</v>
      </c>
      <c r="BEB85" s="70">
        <v>0</v>
      </c>
      <c r="BEC85" s="70">
        <v>0</v>
      </c>
      <c r="BED85" s="70">
        <v>0</v>
      </c>
      <c r="BEE85" s="70">
        <v>0</v>
      </c>
      <c r="BEF85" s="70">
        <v>0</v>
      </c>
      <c r="BEG85" s="70">
        <v>0</v>
      </c>
      <c r="BEH85" s="70">
        <v>0</v>
      </c>
      <c r="BEI85" s="70">
        <v>0</v>
      </c>
      <c r="BEJ85" s="70">
        <v>0</v>
      </c>
      <c r="BEK85" s="70">
        <v>0</v>
      </c>
      <c r="BEL85" s="70">
        <v>0</v>
      </c>
      <c r="BEM85" s="70">
        <v>0</v>
      </c>
      <c r="BEN85" s="70">
        <v>0</v>
      </c>
      <c r="BEO85" s="70">
        <v>0</v>
      </c>
      <c r="BEP85" s="70">
        <v>0</v>
      </c>
      <c r="BEQ85" s="70">
        <v>0</v>
      </c>
      <c r="BER85" s="70">
        <v>0</v>
      </c>
      <c r="BES85" s="70">
        <v>0</v>
      </c>
      <c r="BET85" s="70">
        <v>0</v>
      </c>
      <c r="BEU85" s="70">
        <v>0</v>
      </c>
      <c r="BEV85" s="70">
        <v>0</v>
      </c>
      <c r="BEW85" s="70">
        <v>0</v>
      </c>
      <c r="BEX85" s="70">
        <v>0</v>
      </c>
      <c r="BEY85" s="70">
        <v>0</v>
      </c>
      <c r="BEZ85" s="70">
        <v>0</v>
      </c>
      <c r="BFA85" s="70">
        <v>0</v>
      </c>
      <c r="BFB85" s="70">
        <v>0</v>
      </c>
      <c r="BFC85" s="70">
        <v>0</v>
      </c>
      <c r="BFD85" s="70">
        <v>0</v>
      </c>
      <c r="BFE85" s="70">
        <v>0</v>
      </c>
      <c r="BFF85" s="70">
        <v>0</v>
      </c>
      <c r="BFG85" s="70">
        <v>0</v>
      </c>
      <c r="BFH85" s="70">
        <v>0</v>
      </c>
      <c r="BFI85" s="70">
        <v>0</v>
      </c>
      <c r="BFJ85" s="70">
        <v>0</v>
      </c>
      <c r="BFK85" s="70">
        <v>0</v>
      </c>
      <c r="BFL85" s="70">
        <v>0</v>
      </c>
      <c r="BFM85" s="70">
        <v>0</v>
      </c>
      <c r="BFN85" s="70">
        <v>0</v>
      </c>
      <c r="BFO85" s="70">
        <v>0</v>
      </c>
      <c r="BFP85" s="70">
        <v>0</v>
      </c>
      <c r="BFQ85" s="70">
        <v>0</v>
      </c>
      <c r="BFR85" s="70">
        <v>0</v>
      </c>
      <c r="BFS85" s="70">
        <v>0</v>
      </c>
      <c r="BFT85" s="70">
        <v>0</v>
      </c>
      <c r="BFU85" s="70">
        <v>0</v>
      </c>
      <c r="BFV85" s="70">
        <v>0</v>
      </c>
      <c r="BFW85" s="70">
        <v>0</v>
      </c>
      <c r="BFX85" s="70">
        <v>0</v>
      </c>
      <c r="BFY85" s="70">
        <v>0</v>
      </c>
      <c r="BFZ85" s="70">
        <v>0</v>
      </c>
      <c r="BGA85" s="70">
        <v>0</v>
      </c>
      <c r="BGB85" s="70">
        <v>0</v>
      </c>
      <c r="BGC85" s="70">
        <v>0</v>
      </c>
      <c r="BGD85" s="70">
        <v>0</v>
      </c>
      <c r="BGE85" s="70">
        <v>0</v>
      </c>
      <c r="BGF85" s="70">
        <v>0</v>
      </c>
      <c r="BGG85" s="70">
        <v>0</v>
      </c>
      <c r="BGH85" s="70">
        <v>0</v>
      </c>
      <c r="BGI85" s="70">
        <v>0</v>
      </c>
      <c r="BGJ85" s="70">
        <v>0</v>
      </c>
      <c r="BGK85" s="70">
        <v>0</v>
      </c>
      <c r="BGL85" s="70">
        <v>0</v>
      </c>
      <c r="BGM85" s="70">
        <v>0</v>
      </c>
      <c r="BGN85" s="70">
        <v>0</v>
      </c>
      <c r="BGO85" s="70">
        <v>0</v>
      </c>
      <c r="BGP85" s="70">
        <v>0</v>
      </c>
      <c r="BGQ85" s="70">
        <v>0</v>
      </c>
      <c r="BGR85" s="70">
        <v>0</v>
      </c>
      <c r="BGS85" s="70">
        <v>0</v>
      </c>
      <c r="BGT85" s="70">
        <v>0</v>
      </c>
      <c r="BGU85" s="70">
        <v>0</v>
      </c>
      <c r="BGV85" s="70">
        <v>0</v>
      </c>
      <c r="BGW85" s="70">
        <v>0</v>
      </c>
      <c r="BGX85" s="70">
        <v>0</v>
      </c>
      <c r="BGY85" s="70">
        <v>0</v>
      </c>
      <c r="BGZ85" s="70">
        <v>0</v>
      </c>
      <c r="BHA85" s="70">
        <v>0</v>
      </c>
      <c r="BHB85" s="70">
        <v>0</v>
      </c>
      <c r="BHC85" s="70">
        <v>0</v>
      </c>
      <c r="BHD85" s="70">
        <v>0</v>
      </c>
      <c r="BHE85" s="70">
        <v>0</v>
      </c>
      <c r="BHF85" s="70">
        <v>0</v>
      </c>
      <c r="BHG85" s="70">
        <v>0</v>
      </c>
      <c r="BHH85" s="70">
        <v>0</v>
      </c>
      <c r="BHI85" s="70">
        <v>0</v>
      </c>
      <c r="BHJ85" s="70">
        <v>0</v>
      </c>
      <c r="BHK85" s="70">
        <v>0</v>
      </c>
      <c r="BHL85" s="70">
        <v>0</v>
      </c>
      <c r="BHM85" s="70">
        <v>0</v>
      </c>
      <c r="BHN85" s="70">
        <v>0</v>
      </c>
      <c r="BHO85" s="70">
        <v>0</v>
      </c>
      <c r="BHP85" s="70">
        <v>0</v>
      </c>
      <c r="BHQ85" s="70">
        <v>0</v>
      </c>
      <c r="BHR85" s="70">
        <v>0</v>
      </c>
      <c r="BHS85" s="70">
        <v>0</v>
      </c>
      <c r="BHT85" s="70">
        <v>0</v>
      </c>
      <c r="BHU85" s="70">
        <v>0</v>
      </c>
      <c r="BHV85" s="70">
        <v>0</v>
      </c>
      <c r="BHW85" s="70">
        <v>0</v>
      </c>
      <c r="BHX85" s="70">
        <v>0</v>
      </c>
      <c r="BHY85" s="70">
        <v>0</v>
      </c>
      <c r="BHZ85" s="70">
        <v>0</v>
      </c>
      <c r="BIA85" s="70">
        <v>0</v>
      </c>
      <c r="BIB85" s="70">
        <v>0</v>
      </c>
      <c r="BIC85" s="70">
        <v>0</v>
      </c>
      <c r="BID85" s="70">
        <v>0</v>
      </c>
      <c r="BIE85" s="70">
        <v>0</v>
      </c>
      <c r="BIF85" s="70">
        <v>0</v>
      </c>
      <c r="BIG85" s="70">
        <v>0</v>
      </c>
      <c r="BIH85" s="70">
        <v>0</v>
      </c>
      <c r="BII85" s="70">
        <v>0</v>
      </c>
      <c r="BIJ85" s="70">
        <v>0</v>
      </c>
      <c r="BIK85" s="70">
        <v>0</v>
      </c>
      <c r="BIL85" s="70">
        <v>0</v>
      </c>
      <c r="BIM85" s="70">
        <v>0</v>
      </c>
      <c r="BIN85" s="70">
        <v>0</v>
      </c>
      <c r="BIO85" s="70">
        <v>0</v>
      </c>
      <c r="BIP85" s="70">
        <v>0</v>
      </c>
      <c r="BIQ85" s="70">
        <v>0</v>
      </c>
      <c r="BIR85" s="70">
        <v>0</v>
      </c>
      <c r="BIS85" s="70">
        <v>0</v>
      </c>
      <c r="BIT85" s="70">
        <v>0</v>
      </c>
      <c r="BIU85" s="70">
        <v>0</v>
      </c>
      <c r="BIV85" s="70">
        <v>0</v>
      </c>
      <c r="BIW85" s="70">
        <v>0</v>
      </c>
      <c r="BIX85" s="70">
        <v>0</v>
      </c>
      <c r="BIY85" s="70">
        <v>0</v>
      </c>
      <c r="BIZ85" s="70">
        <v>0</v>
      </c>
      <c r="BJA85" s="70">
        <v>0</v>
      </c>
      <c r="BJB85" s="70">
        <v>0</v>
      </c>
      <c r="BJC85" s="70">
        <v>0</v>
      </c>
      <c r="BJD85" s="70">
        <v>0</v>
      </c>
      <c r="BJE85" s="70">
        <v>0</v>
      </c>
      <c r="BJF85" s="70">
        <v>0</v>
      </c>
      <c r="BJG85" s="70">
        <v>0</v>
      </c>
      <c r="BJH85" s="70">
        <v>0</v>
      </c>
      <c r="BJI85" s="70">
        <v>0</v>
      </c>
      <c r="BJJ85" s="70">
        <v>0</v>
      </c>
      <c r="BJK85" s="70">
        <v>0</v>
      </c>
      <c r="BJL85" s="70">
        <v>0</v>
      </c>
      <c r="BJM85" s="70">
        <v>0</v>
      </c>
      <c r="BJN85" s="70">
        <v>0</v>
      </c>
      <c r="BJO85" s="70">
        <v>0</v>
      </c>
      <c r="BJP85" s="70">
        <v>0</v>
      </c>
      <c r="BJQ85" s="70">
        <v>0</v>
      </c>
      <c r="BJR85" s="70">
        <v>0</v>
      </c>
      <c r="BJS85" s="70">
        <v>0</v>
      </c>
      <c r="BJT85" s="70">
        <v>0</v>
      </c>
      <c r="BJU85" s="70">
        <v>0</v>
      </c>
      <c r="BJV85" s="70">
        <v>0</v>
      </c>
      <c r="BJW85" s="70">
        <v>0</v>
      </c>
      <c r="BJX85" s="70">
        <v>0</v>
      </c>
      <c r="BJY85" s="70">
        <v>0</v>
      </c>
      <c r="BJZ85" s="70">
        <v>0</v>
      </c>
      <c r="BKA85" s="70">
        <v>0</v>
      </c>
      <c r="BKB85" s="70">
        <v>0</v>
      </c>
      <c r="BKC85" s="70">
        <v>0</v>
      </c>
      <c r="BKD85" s="70">
        <v>0</v>
      </c>
      <c r="BKE85" s="70">
        <v>0</v>
      </c>
      <c r="BKF85" s="70">
        <v>0</v>
      </c>
      <c r="BKG85" s="70">
        <v>0</v>
      </c>
      <c r="BKH85" s="70">
        <v>0</v>
      </c>
      <c r="BKI85" s="70">
        <v>0</v>
      </c>
      <c r="BKJ85" s="70">
        <v>0</v>
      </c>
      <c r="BKK85" s="70">
        <v>0</v>
      </c>
      <c r="BKL85" s="70">
        <v>0</v>
      </c>
      <c r="BKM85" s="70">
        <v>0</v>
      </c>
      <c r="BKN85" s="70">
        <v>0</v>
      </c>
      <c r="BKO85" s="70">
        <v>0</v>
      </c>
      <c r="BKP85" s="70">
        <v>0</v>
      </c>
      <c r="BKQ85" s="70">
        <v>0</v>
      </c>
      <c r="BKR85" s="70">
        <v>0</v>
      </c>
      <c r="BKS85" s="70">
        <v>0</v>
      </c>
      <c r="BKT85" s="70">
        <v>0</v>
      </c>
      <c r="BKU85" s="70">
        <v>0</v>
      </c>
      <c r="BKV85" s="70">
        <v>0</v>
      </c>
      <c r="BKW85" s="70">
        <v>0</v>
      </c>
      <c r="BKX85" s="70">
        <v>0</v>
      </c>
      <c r="BKY85" s="70">
        <v>0</v>
      </c>
      <c r="BKZ85" s="70">
        <v>0</v>
      </c>
      <c r="BLA85" s="70">
        <v>0</v>
      </c>
      <c r="BLB85" s="70">
        <v>0</v>
      </c>
      <c r="BLC85" s="70">
        <v>0</v>
      </c>
      <c r="BLD85" s="70">
        <v>0</v>
      </c>
      <c r="BLE85" s="70">
        <v>0</v>
      </c>
      <c r="BLF85" s="70">
        <v>0</v>
      </c>
      <c r="BLG85" s="70">
        <v>0</v>
      </c>
      <c r="BLH85" s="70">
        <v>0</v>
      </c>
      <c r="BLI85" s="70">
        <v>0</v>
      </c>
      <c r="BLJ85" s="70">
        <v>0</v>
      </c>
      <c r="BLK85" s="70">
        <v>0</v>
      </c>
      <c r="BLL85" s="70">
        <v>0</v>
      </c>
      <c r="BLM85" s="70">
        <v>0</v>
      </c>
      <c r="BLN85" s="70">
        <v>0</v>
      </c>
      <c r="BLO85" s="70">
        <v>0</v>
      </c>
      <c r="BLP85" s="70">
        <v>0</v>
      </c>
      <c r="BLQ85" s="70">
        <v>0</v>
      </c>
      <c r="BLR85" s="70">
        <v>0</v>
      </c>
      <c r="BLS85" s="70">
        <v>0</v>
      </c>
      <c r="BLT85" s="70">
        <v>0</v>
      </c>
      <c r="BLU85" s="70">
        <v>0</v>
      </c>
      <c r="BLV85" s="70">
        <v>0</v>
      </c>
      <c r="BLW85" s="70">
        <v>0</v>
      </c>
      <c r="BLX85" s="70">
        <v>0</v>
      </c>
      <c r="BLY85" s="70">
        <v>0</v>
      </c>
      <c r="BLZ85" s="70">
        <v>0</v>
      </c>
      <c r="BMA85" s="70">
        <v>0</v>
      </c>
      <c r="BMB85" s="70">
        <v>0</v>
      </c>
      <c r="BMC85" s="70">
        <v>0</v>
      </c>
      <c r="BMD85" s="70">
        <v>0</v>
      </c>
      <c r="BME85" s="70">
        <v>0</v>
      </c>
      <c r="BMF85" s="70">
        <v>0</v>
      </c>
      <c r="BMG85" s="70">
        <v>0</v>
      </c>
      <c r="BMH85" s="70">
        <v>0</v>
      </c>
      <c r="BMI85" s="70">
        <v>0</v>
      </c>
      <c r="BMJ85" s="70">
        <v>0</v>
      </c>
      <c r="BMK85" s="70">
        <v>0</v>
      </c>
      <c r="BML85" s="70">
        <v>0</v>
      </c>
      <c r="BMM85" s="70">
        <v>0</v>
      </c>
      <c r="BMN85" s="70">
        <v>0</v>
      </c>
      <c r="BMO85" s="70">
        <v>0</v>
      </c>
      <c r="BMP85" s="70">
        <v>0</v>
      </c>
      <c r="BMQ85" s="70">
        <v>0</v>
      </c>
      <c r="BMR85" s="70">
        <v>0</v>
      </c>
      <c r="BMS85" s="70">
        <v>0</v>
      </c>
      <c r="BMT85" s="70">
        <v>0</v>
      </c>
      <c r="BMU85" s="70">
        <v>0</v>
      </c>
      <c r="BMV85" s="70">
        <v>0</v>
      </c>
      <c r="BMW85" s="70">
        <v>0</v>
      </c>
      <c r="BMX85" s="70">
        <v>0</v>
      </c>
      <c r="BMY85" s="70">
        <v>0</v>
      </c>
      <c r="BMZ85" s="70">
        <v>0</v>
      </c>
      <c r="BNA85" s="70">
        <v>0</v>
      </c>
      <c r="BNB85" s="70">
        <v>0</v>
      </c>
      <c r="BNC85" s="70">
        <v>0</v>
      </c>
      <c r="BND85" s="70">
        <v>0</v>
      </c>
      <c r="BNE85" s="70">
        <v>0</v>
      </c>
      <c r="BNF85" s="70">
        <v>0</v>
      </c>
      <c r="BNG85" s="70">
        <v>0</v>
      </c>
      <c r="BNH85" s="70">
        <v>0</v>
      </c>
      <c r="BNI85" s="70">
        <v>0</v>
      </c>
      <c r="BNJ85" s="70">
        <v>0</v>
      </c>
      <c r="BNK85" s="70">
        <v>0</v>
      </c>
      <c r="BNL85" s="70">
        <v>0</v>
      </c>
      <c r="BNM85" s="70">
        <v>0</v>
      </c>
      <c r="BNN85" s="70">
        <v>0</v>
      </c>
      <c r="BNO85" s="70">
        <v>0</v>
      </c>
      <c r="BNP85" s="70">
        <v>0</v>
      </c>
      <c r="BNQ85" s="70">
        <v>0</v>
      </c>
      <c r="BNR85" s="70">
        <v>0</v>
      </c>
      <c r="BNS85" s="70">
        <v>0</v>
      </c>
      <c r="BNT85" s="70">
        <v>0</v>
      </c>
      <c r="BNU85" s="70">
        <v>0</v>
      </c>
      <c r="BNV85" s="70">
        <v>0</v>
      </c>
      <c r="BNW85" s="70">
        <v>0</v>
      </c>
      <c r="BNX85" s="70">
        <v>0</v>
      </c>
      <c r="BNY85" s="70">
        <v>0</v>
      </c>
      <c r="BNZ85" s="70">
        <v>0</v>
      </c>
      <c r="BOA85" s="70">
        <v>0</v>
      </c>
      <c r="BOB85" s="70">
        <v>0</v>
      </c>
      <c r="BOC85" s="70">
        <v>0</v>
      </c>
      <c r="BOD85" s="70">
        <v>0</v>
      </c>
      <c r="BOE85" s="70">
        <v>0</v>
      </c>
      <c r="BOF85" s="70">
        <v>0</v>
      </c>
      <c r="BOG85" s="70">
        <v>0</v>
      </c>
      <c r="BOH85" s="70">
        <v>0</v>
      </c>
      <c r="BOI85" s="70">
        <v>0</v>
      </c>
      <c r="BOJ85" s="70">
        <v>0</v>
      </c>
      <c r="BOK85" s="70">
        <v>0</v>
      </c>
      <c r="BOL85" s="70">
        <v>0</v>
      </c>
      <c r="BOM85" s="70">
        <v>0</v>
      </c>
      <c r="BON85" s="70">
        <v>0</v>
      </c>
      <c r="BOO85" s="70">
        <v>0</v>
      </c>
      <c r="BOP85" s="70">
        <v>0</v>
      </c>
      <c r="BOQ85" s="70">
        <v>0</v>
      </c>
      <c r="BOR85" s="70">
        <v>0</v>
      </c>
      <c r="BOS85" s="70">
        <v>0</v>
      </c>
      <c r="BOT85" s="70">
        <v>0</v>
      </c>
      <c r="BOU85" s="70">
        <v>0</v>
      </c>
      <c r="BOV85" s="70">
        <v>0</v>
      </c>
      <c r="BOW85" s="70">
        <v>0</v>
      </c>
      <c r="BOX85" s="70">
        <v>0</v>
      </c>
      <c r="BOY85" s="70">
        <v>0</v>
      </c>
      <c r="BOZ85" s="70">
        <v>0</v>
      </c>
      <c r="BPA85" s="70">
        <v>0</v>
      </c>
      <c r="BPB85" s="70">
        <v>0</v>
      </c>
      <c r="BPC85" s="70">
        <v>0</v>
      </c>
      <c r="BPD85" s="70">
        <v>0</v>
      </c>
      <c r="BPE85" s="70">
        <v>0</v>
      </c>
      <c r="BPF85" s="70">
        <v>0</v>
      </c>
      <c r="BPG85" s="70">
        <v>0</v>
      </c>
      <c r="BPH85" s="70">
        <v>0</v>
      </c>
      <c r="BPI85" s="70">
        <v>0</v>
      </c>
      <c r="BPJ85" s="70">
        <v>0</v>
      </c>
      <c r="BPK85" s="70">
        <v>0</v>
      </c>
      <c r="BPL85" s="70">
        <v>0</v>
      </c>
      <c r="BPM85" s="70">
        <v>0</v>
      </c>
      <c r="BPN85" s="70">
        <v>0</v>
      </c>
      <c r="BPO85" s="70">
        <v>0</v>
      </c>
      <c r="BPP85" s="70">
        <v>0</v>
      </c>
      <c r="BPQ85" s="70">
        <v>0</v>
      </c>
      <c r="BPR85" s="70">
        <v>0</v>
      </c>
      <c r="BPS85" s="70">
        <v>0</v>
      </c>
      <c r="BPT85" s="70">
        <v>0</v>
      </c>
      <c r="BPU85" s="70">
        <v>0</v>
      </c>
      <c r="BPV85" s="70">
        <v>0</v>
      </c>
      <c r="BPW85" s="70">
        <v>0</v>
      </c>
      <c r="BPX85" s="70">
        <v>0</v>
      </c>
      <c r="BPY85" s="70">
        <v>0</v>
      </c>
      <c r="BPZ85" s="70">
        <v>0</v>
      </c>
      <c r="BQA85" s="70">
        <v>0</v>
      </c>
      <c r="BQB85" s="70">
        <v>0</v>
      </c>
      <c r="BQC85" s="70">
        <v>0</v>
      </c>
      <c r="BQD85" s="70">
        <v>0</v>
      </c>
      <c r="BQE85" s="70">
        <v>0</v>
      </c>
      <c r="BQF85" s="70">
        <v>0</v>
      </c>
      <c r="BQG85" s="70">
        <v>0</v>
      </c>
      <c r="BQH85" s="70">
        <v>0</v>
      </c>
      <c r="BQI85" s="70">
        <v>0</v>
      </c>
      <c r="BQJ85" s="70">
        <v>0</v>
      </c>
      <c r="BQK85" s="70">
        <v>0</v>
      </c>
      <c r="BQL85" s="70">
        <v>0</v>
      </c>
      <c r="BQM85" s="70">
        <v>0</v>
      </c>
      <c r="BQN85" s="70">
        <v>0</v>
      </c>
      <c r="BQO85" s="70">
        <v>0</v>
      </c>
      <c r="BQP85" s="70">
        <v>0</v>
      </c>
      <c r="BQQ85" s="70">
        <v>0</v>
      </c>
      <c r="BQR85" s="70">
        <v>0</v>
      </c>
      <c r="BQS85" s="70">
        <v>0</v>
      </c>
      <c r="BQT85" s="70">
        <v>0</v>
      </c>
      <c r="BQU85" s="70">
        <v>0</v>
      </c>
      <c r="BQV85" s="70">
        <v>0</v>
      </c>
      <c r="BQW85" s="70">
        <v>0</v>
      </c>
      <c r="BQX85" s="70">
        <v>0</v>
      </c>
      <c r="BQY85" s="70">
        <v>0</v>
      </c>
      <c r="BQZ85" s="70">
        <v>0</v>
      </c>
      <c r="BRA85" s="70">
        <v>0</v>
      </c>
      <c r="BRB85" s="70">
        <v>0</v>
      </c>
      <c r="BRC85" s="70">
        <v>0</v>
      </c>
      <c r="BRD85" s="70">
        <v>0</v>
      </c>
      <c r="BRE85" s="70">
        <v>0</v>
      </c>
      <c r="BRF85" s="70">
        <v>0</v>
      </c>
      <c r="BRG85" s="70">
        <v>0</v>
      </c>
      <c r="BRH85" s="70">
        <v>0</v>
      </c>
      <c r="BRI85" s="70">
        <v>0</v>
      </c>
      <c r="BRJ85" s="70">
        <v>0</v>
      </c>
      <c r="BRK85" s="70">
        <v>0</v>
      </c>
      <c r="BRL85" s="70">
        <v>0</v>
      </c>
      <c r="BRM85" s="70">
        <v>0</v>
      </c>
      <c r="BRN85" s="70">
        <v>0</v>
      </c>
      <c r="BRO85" s="70">
        <v>0</v>
      </c>
      <c r="BRP85" s="70">
        <v>0</v>
      </c>
      <c r="BRQ85" s="70">
        <v>0</v>
      </c>
      <c r="BRR85" s="70">
        <v>0</v>
      </c>
      <c r="BRS85" s="70">
        <v>0</v>
      </c>
      <c r="BRT85" s="70">
        <v>0</v>
      </c>
      <c r="BRU85" s="70">
        <v>0</v>
      </c>
      <c r="BRV85" s="70">
        <v>0</v>
      </c>
      <c r="BRW85" s="70">
        <v>0</v>
      </c>
      <c r="BRX85" s="70">
        <v>0</v>
      </c>
      <c r="BRY85" s="70">
        <v>0</v>
      </c>
      <c r="BRZ85" s="70">
        <v>0</v>
      </c>
      <c r="BSA85" s="70">
        <v>0</v>
      </c>
      <c r="BSB85" s="70">
        <v>0</v>
      </c>
      <c r="BSC85" s="70">
        <v>0</v>
      </c>
      <c r="BSD85" s="70">
        <v>0</v>
      </c>
      <c r="BSE85" s="70">
        <v>0</v>
      </c>
      <c r="BSF85" s="70">
        <v>0</v>
      </c>
      <c r="BSG85" s="70">
        <v>0</v>
      </c>
      <c r="BSH85" s="70">
        <v>0</v>
      </c>
      <c r="BSI85" s="70">
        <v>0</v>
      </c>
      <c r="BSJ85" s="70">
        <v>0</v>
      </c>
      <c r="BSK85" s="70">
        <v>0</v>
      </c>
      <c r="BSL85" s="70">
        <v>0</v>
      </c>
      <c r="BSM85" s="70">
        <v>0</v>
      </c>
      <c r="BSN85" s="70">
        <v>0</v>
      </c>
      <c r="BSO85" s="70">
        <v>0</v>
      </c>
      <c r="BSP85" s="70">
        <v>0</v>
      </c>
      <c r="BSQ85" s="70">
        <v>0</v>
      </c>
      <c r="BSR85" s="70">
        <v>0</v>
      </c>
      <c r="BSS85" s="70">
        <v>0</v>
      </c>
      <c r="BST85" s="70">
        <v>0</v>
      </c>
      <c r="BSU85" s="70">
        <v>0</v>
      </c>
      <c r="BSV85" s="70">
        <v>0</v>
      </c>
      <c r="BSW85" s="70">
        <v>0</v>
      </c>
      <c r="BSX85" s="70">
        <v>0</v>
      </c>
      <c r="BSY85" s="70">
        <v>0</v>
      </c>
      <c r="BSZ85" s="70">
        <v>0</v>
      </c>
      <c r="BTA85" s="70">
        <v>0</v>
      </c>
      <c r="BTB85" s="70">
        <v>0</v>
      </c>
      <c r="BTC85" s="70">
        <v>0</v>
      </c>
      <c r="BTD85" s="70">
        <v>0</v>
      </c>
      <c r="BTE85" s="70">
        <v>0</v>
      </c>
      <c r="BTF85" s="70">
        <v>0</v>
      </c>
      <c r="BTG85" s="70">
        <v>0</v>
      </c>
      <c r="BTH85" s="70">
        <v>0</v>
      </c>
      <c r="BTI85" s="70">
        <v>0</v>
      </c>
      <c r="BTJ85" s="70">
        <v>0</v>
      </c>
      <c r="BTK85" s="70">
        <v>0</v>
      </c>
      <c r="BTL85" s="70">
        <v>0</v>
      </c>
      <c r="BTM85" s="70">
        <v>0</v>
      </c>
      <c r="BTN85" s="70">
        <v>0</v>
      </c>
      <c r="BTO85" s="70">
        <v>0</v>
      </c>
      <c r="BTP85" s="70">
        <v>0</v>
      </c>
      <c r="BTQ85" s="70">
        <v>0</v>
      </c>
      <c r="BTR85" s="70">
        <v>0</v>
      </c>
      <c r="BTS85" s="70">
        <v>0</v>
      </c>
      <c r="BTT85" s="70">
        <v>0</v>
      </c>
      <c r="BTU85" s="70">
        <v>0</v>
      </c>
      <c r="BTV85" s="70">
        <v>0</v>
      </c>
      <c r="BTW85" s="70">
        <v>0</v>
      </c>
      <c r="BTX85" s="70">
        <v>0</v>
      </c>
      <c r="BTY85" s="70">
        <v>0</v>
      </c>
      <c r="BTZ85" s="70">
        <v>0</v>
      </c>
      <c r="BUA85" s="70">
        <v>0</v>
      </c>
      <c r="BUB85" s="70">
        <v>0</v>
      </c>
      <c r="BUC85" s="70">
        <v>0</v>
      </c>
      <c r="BUD85" s="70">
        <v>0</v>
      </c>
      <c r="BUE85" s="70">
        <v>0</v>
      </c>
      <c r="BUF85" s="70">
        <v>0</v>
      </c>
      <c r="BUG85" s="70">
        <v>0</v>
      </c>
      <c r="BUH85" s="70">
        <v>0</v>
      </c>
      <c r="BUI85" s="70">
        <v>0</v>
      </c>
      <c r="BUJ85" s="70">
        <v>0</v>
      </c>
      <c r="BUK85" s="70">
        <v>0</v>
      </c>
      <c r="BUL85" s="70">
        <v>0</v>
      </c>
      <c r="BUM85" s="70">
        <v>0</v>
      </c>
      <c r="BUN85" s="70">
        <v>0</v>
      </c>
      <c r="BUO85" s="70">
        <v>0</v>
      </c>
      <c r="BUP85" s="70">
        <v>0</v>
      </c>
      <c r="BUQ85" s="70">
        <v>0</v>
      </c>
      <c r="BUR85" s="70">
        <v>0</v>
      </c>
      <c r="BUS85" s="70">
        <v>0</v>
      </c>
      <c r="BUT85" s="70">
        <v>0</v>
      </c>
      <c r="BUU85" s="70">
        <v>0</v>
      </c>
      <c r="BUV85" s="70">
        <v>0</v>
      </c>
      <c r="BUW85" s="70">
        <v>0</v>
      </c>
      <c r="BUX85" s="70">
        <v>0</v>
      </c>
      <c r="BUY85" s="70">
        <v>0</v>
      </c>
      <c r="BUZ85" s="70">
        <v>0</v>
      </c>
      <c r="BVA85" s="70">
        <v>0</v>
      </c>
      <c r="BVB85" s="70">
        <v>0</v>
      </c>
      <c r="BVC85" s="70">
        <v>0</v>
      </c>
      <c r="BVD85" s="70">
        <v>0</v>
      </c>
      <c r="BVE85" s="70">
        <v>0</v>
      </c>
      <c r="BVF85" s="70">
        <v>0</v>
      </c>
      <c r="BVG85" s="70">
        <v>0</v>
      </c>
      <c r="BVH85" s="70">
        <v>0</v>
      </c>
      <c r="BVI85" s="70">
        <v>0</v>
      </c>
      <c r="BVJ85" s="70">
        <v>0</v>
      </c>
      <c r="BVK85" s="70">
        <v>0</v>
      </c>
      <c r="BVL85" s="70">
        <v>0</v>
      </c>
      <c r="BVM85" s="70">
        <v>0</v>
      </c>
      <c r="BVN85" s="70">
        <v>0</v>
      </c>
      <c r="BVO85" s="70">
        <v>0</v>
      </c>
      <c r="BVP85" s="70">
        <v>0</v>
      </c>
      <c r="BVQ85" s="70">
        <v>0</v>
      </c>
      <c r="BVR85" s="70">
        <v>0</v>
      </c>
      <c r="BVS85" s="70">
        <v>0</v>
      </c>
      <c r="BVT85" s="70">
        <v>0</v>
      </c>
      <c r="BVU85" s="70">
        <v>0</v>
      </c>
      <c r="BVV85" s="70">
        <v>0</v>
      </c>
      <c r="BVW85" s="70">
        <v>0</v>
      </c>
      <c r="BVX85" s="70">
        <v>0</v>
      </c>
      <c r="BVY85" s="70">
        <v>0</v>
      </c>
      <c r="BVZ85" s="70">
        <v>0</v>
      </c>
      <c r="BWA85" s="70">
        <v>0</v>
      </c>
      <c r="BWB85" s="70">
        <v>0</v>
      </c>
      <c r="BWC85" s="70">
        <v>0</v>
      </c>
      <c r="BWD85" s="70">
        <v>0</v>
      </c>
      <c r="BWE85" s="70">
        <v>0</v>
      </c>
      <c r="BWF85" s="70">
        <v>0</v>
      </c>
      <c r="BWG85" s="70">
        <v>0</v>
      </c>
      <c r="BWH85" s="70">
        <v>0</v>
      </c>
      <c r="BWI85" s="70">
        <v>0</v>
      </c>
      <c r="BWJ85" s="70">
        <v>0</v>
      </c>
      <c r="BWK85" s="70">
        <v>0</v>
      </c>
      <c r="BWL85" s="70">
        <v>0</v>
      </c>
      <c r="BWM85" s="70">
        <v>0</v>
      </c>
      <c r="BWN85" s="70">
        <v>0</v>
      </c>
      <c r="BWO85" s="70">
        <v>0</v>
      </c>
      <c r="BWP85" s="70">
        <v>0</v>
      </c>
      <c r="BWQ85" s="70">
        <v>0</v>
      </c>
      <c r="BWR85" s="70">
        <v>0</v>
      </c>
      <c r="BWS85" s="70">
        <v>0</v>
      </c>
      <c r="BWT85" s="70">
        <v>0</v>
      </c>
      <c r="BWU85" s="70">
        <v>0</v>
      </c>
      <c r="BWV85" s="70">
        <v>0</v>
      </c>
      <c r="BWW85" s="70">
        <v>0</v>
      </c>
      <c r="BWX85" s="70">
        <v>0</v>
      </c>
      <c r="BWY85" s="70">
        <v>0</v>
      </c>
      <c r="BWZ85" s="70">
        <v>0</v>
      </c>
      <c r="BXA85" s="70">
        <v>0</v>
      </c>
      <c r="BXB85" s="70">
        <v>0</v>
      </c>
      <c r="BXC85" s="70">
        <v>0</v>
      </c>
      <c r="BXD85" s="70">
        <v>0</v>
      </c>
      <c r="BXE85" s="70">
        <v>0</v>
      </c>
      <c r="BXF85" s="70">
        <v>0</v>
      </c>
      <c r="BXG85" s="70">
        <v>0</v>
      </c>
      <c r="BXH85" s="70">
        <v>0</v>
      </c>
      <c r="BXI85" s="70">
        <v>0</v>
      </c>
      <c r="BXJ85" s="70">
        <v>0</v>
      </c>
      <c r="BXK85" s="70">
        <v>0</v>
      </c>
      <c r="BXL85" s="70">
        <v>0</v>
      </c>
      <c r="BXM85" s="70">
        <v>0</v>
      </c>
      <c r="BXN85" s="70">
        <v>0</v>
      </c>
      <c r="BXO85" s="70">
        <v>0</v>
      </c>
      <c r="BXP85" s="70">
        <v>0</v>
      </c>
      <c r="BXQ85" s="70">
        <v>0</v>
      </c>
      <c r="BXR85" s="70">
        <v>0</v>
      </c>
      <c r="BXS85" s="70">
        <v>0</v>
      </c>
      <c r="BXT85" s="70">
        <v>0</v>
      </c>
      <c r="BXU85" s="70">
        <v>0</v>
      </c>
      <c r="BXV85" s="70">
        <v>0</v>
      </c>
      <c r="BXW85" s="70">
        <v>0</v>
      </c>
      <c r="BXX85" s="70">
        <v>0</v>
      </c>
      <c r="BXY85" s="70">
        <v>0</v>
      </c>
      <c r="BXZ85" s="70">
        <v>0</v>
      </c>
      <c r="BYA85" s="70">
        <v>0</v>
      </c>
      <c r="BYB85" s="70">
        <v>0</v>
      </c>
      <c r="BYC85" s="70">
        <v>0</v>
      </c>
      <c r="BYD85" s="70">
        <v>0</v>
      </c>
      <c r="BYE85" s="70">
        <v>0</v>
      </c>
      <c r="BYF85" s="70">
        <v>0</v>
      </c>
      <c r="BYG85" s="70">
        <v>0</v>
      </c>
      <c r="BYH85" s="70">
        <v>0</v>
      </c>
      <c r="BYI85" s="70">
        <v>0</v>
      </c>
      <c r="BYJ85" s="70">
        <v>0</v>
      </c>
      <c r="BYK85" s="70">
        <v>0</v>
      </c>
      <c r="BYL85" s="70">
        <v>0</v>
      </c>
      <c r="BYM85" s="70">
        <v>0</v>
      </c>
      <c r="BYN85" s="70">
        <v>0</v>
      </c>
      <c r="BYO85" s="70">
        <v>0</v>
      </c>
      <c r="BYP85" s="70">
        <v>0</v>
      </c>
      <c r="BYQ85" s="70">
        <v>0</v>
      </c>
      <c r="BYR85" s="70">
        <v>0</v>
      </c>
      <c r="BYS85" s="70">
        <v>0</v>
      </c>
      <c r="BYT85" s="70">
        <v>0</v>
      </c>
      <c r="BYU85" s="70">
        <v>0</v>
      </c>
      <c r="BYV85" s="70">
        <v>0</v>
      </c>
      <c r="BYW85" s="70">
        <v>0</v>
      </c>
      <c r="BYX85" s="70">
        <v>0</v>
      </c>
      <c r="BYY85" s="70">
        <v>0</v>
      </c>
      <c r="BYZ85" s="70">
        <v>0</v>
      </c>
      <c r="BZA85" s="70">
        <v>0</v>
      </c>
      <c r="BZB85" s="70">
        <v>0</v>
      </c>
      <c r="BZC85" s="70">
        <v>0</v>
      </c>
      <c r="BZD85" s="70">
        <v>0</v>
      </c>
      <c r="BZE85" s="70">
        <v>0</v>
      </c>
      <c r="BZF85" s="70">
        <v>0</v>
      </c>
      <c r="BZG85" s="70">
        <v>0</v>
      </c>
      <c r="BZH85" s="70">
        <v>0</v>
      </c>
      <c r="BZI85" s="70">
        <v>0</v>
      </c>
      <c r="BZJ85" s="70">
        <v>0</v>
      </c>
      <c r="BZK85" s="70">
        <v>0</v>
      </c>
      <c r="BZL85" s="70">
        <v>0</v>
      </c>
      <c r="BZM85" s="70">
        <v>0</v>
      </c>
      <c r="BZN85" s="70">
        <v>0</v>
      </c>
      <c r="BZO85" s="70">
        <v>0</v>
      </c>
      <c r="BZP85" s="70">
        <v>0</v>
      </c>
      <c r="BZQ85" s="70">
        <v>0</v>
      </c>
      <c r="BZR85" s="70">
        <v>0</v>
      </c>
      <c r="BZS85" s="70">
        <v>0</v>
      </c>
      <c r="BZT85" s="70">
        <v>0</v>
      </c>
      <c r="BZU85" s="70">
        <v>0</v>
      </c>
      <c r="BZV85" s="70">
        <v>0</v>
      </c>
      <c r="BZW85" s="70">
        <v>0</v>
      </c>
      <c r="BZX85" s="70">
        <v>0</v>
      </c>
      <c r="BZY85" s="70">
        <v>0</v>
      </c>
      <c r="BZZ85" s="70">
        <v>0</v>
      </c>
      <c r="CAA85" s="70">
        <v>0</v>
      </c>
      <c r="CAB85" s="70">
        <v>0</v>
      </c>
      <c r="CAC85" s="70">
        <v>0</v>
      </c>
      <c r="CAD85" s="70">
        <v>0</v>
      </c>
      <c r="CAE85" s="70">
        <v>0</v>
      </c>
      <c r="CAF85" s="70">
        <v>0</v>
      </c>
      <c r="CAG85" s="70">
        <v>0</v>
      </c>
      <c r="CAH85" s="70">
        <v>0</v>
      </c>
      <c r="CAI85" s="70">
        <v>0</v>
      </c>
      <c r="CAJ85" s="70">
        <v>0</v>
      </c>
      <c r="CAK85" s="70">
        <v>0</v>
      </c>
      <c r="CAL85" s="70">
        <v>0</v>
      </c>
      <c r="CAM85" s="70">
        <v>0</v>
      </c>
      <c r="CAN85" s="70">
        <v>0</v>
      </c>
      <c r="CAO85" s="70">
        <v>0</v>
      </c>
      <c r="CAP85" s="70">
        <v>0</v>
      </c>
      <c r="CAQ85" s="70">
        <v>0</v>
      </c>
      <c r="CAR85" s="70">
        <v>0</v>
      </c>
      <c r="CAS85" s="70">
        <v>0</v>
      </c>
      <c r="CAT85" s="70">
        <v>0</v>
      </c>
      <c r="CAU85" s="70">
        <v>0</v>
      </c>
      <c r="CAV85" s="70">
        <v>0</v>
      </c>
      <c r="CAW85" s="70">
        <v>0</v>
      </c>
      <c r="CAX85" s="70">
        <v>0</v>
      </c>
      <c r="CAY85" s="70">
        <v>0</v>
      </c>
      <c r="CAZ85" s="70">
        <v>0</v>
      </c>
      <c r="CBA85" s="70">
        <v>0</v>
      </c>
      <c r="CBB85" s="70">
        <v>0</v>
      </c>
      <c r="CBC85" s="70">
        <v>0</v>
      </c>
      <c r="CBD85" s="70">
        <v>0</v>
      </c>
      <c r="CBE85" s="70">
        <v>0</v>
      </c>
      <c r="CBF85" s="70">
        <v>0</v>
      </c>
      <c r="CBG85" s="70">
        <v>0</v>
      </c>
      <c r="CBH85" s="70">
        <v>0</v>
      </c>
      <c r="CBI85" s="70">
        <v>0</v>
      </c>
      <c r="CBJ85" s="70">
        <v>0</v>
      </c>
      <c r="CBK85" s="70">
        <v>0</v>
      </c>
      <c r="CBL85" s="70">
        <v>0</v>
      </c>
      <c r="CBM85" s="70">
        <v>0</v>
      </c>
      <c r="CBN85" s="70">
        <v>0</v>
      </c>
      <c r="CBO85" s="70">
        <v>0</v>
      </c>
      <c r="CBP85" s="70">
        <v>0</v>
      </c>
      <c r="CBQ85" s="70">
        <v>0</v>
      </c>
      <c r="CBR85" s="70">
        <v>0</v>
      </c>
      <c r="CBS85" s="70">
        <v>0</v>
      </c>
      <c r="CBT85" s="70">
        <v>0</v>
      </c>
      <c r="CBU85" s="70">
        <v>0</v>
      </c>
      <c r="CBV85" s="70">
        <v>0</v>
      </c>
      <c r="CBW85" s="70">
        <v>0</v>
      </c>
      <c r="CBX85" s="70">
        <v>0</v>
      </c>
      <c r="CBY85" s="70">
        <v>0</v>
      </c>
      <c r="CBZ85" s="70">
        <v>0</v>
      </c>
      <c r="CCA85" s="70">
        <v>0</v>
      </c>
      <c r="CCB85" s="70">
        <v>0</v>
      </c>
      <c r="CCC85" s="70">
        <v>0</v>
      </c>
      <c r="CCD85" s="70">
        <v>0</v>
      </c>
      <c r="CCE85" s="70">
        <v>0</v>
      </c>
      <c r="CCF85" s="70">
        <v>0</v>
      </c>
      <c r="CCG85" s="70">
        <v>0</v>
      </c>
      <c r="CCH85" s="70">
        <v>0</v>
      </c>
      <c r="CCI85" s="70">
        <v>0</v>
      </c>
      <c r="CCJ85" s="70">
        <v>0</v>
      </c>
      <c r="CCK85" s="70">
        <v>0</v>
      </c>
      <c r="CCL85" s="70">
        <v>0</v>
      </c>
      <c r="CCM85" s="70">
        <v>0</v>
      </c>
      <c r="CCN85" s="70">
        <v>0</v>
      </c>
      <c r="CCO85" s="70">
        <v>0</v>
      </c>
      <c r="CCP85" s="70">
        <v>0</v>
      </c>
      <c r="CCQ85" s="70">
        <v>0</v>
      </c>
      <c r="CCR85" s="70">
        <v>0</v>
      </c>
      <c r="CCS85" s="70">
        <v>0</v>
      </c>
      <c r="CCT85" s="70">
        <v>0</v>
      </c>
      <c r="CCU85" s="70">
        <v>0</v>
      </c>
      <c r="CCV85" s="70">
        <v>0</v>
      </c>
      <c r="CCW85" s="70">
        <v>0</v>
      </c>
      <c r="CCX85" s="70">
        <v>0</v>
      </c>
      <c r="CCY85" s="70">
        <v>0</v>
      </c>
      <c r="CCZ85" s="70">
        <v>0</v>
      </c>
      <c r="CDA85" s="70">
        <v>0</v>
      </c>
      <c r="CDB85" s="70">
        <v>0</v>
      </c>
      <c r="CDC85" s="70">
        <v>0</v>
      </c>
      <c r="CDD85" s="70">
        <v>0</v>
      </c>
      <c r="CDE85" s="70">
        <v>0</v>
      </c>
      <c r="CDF85" s="70">
        <v>0</v>
      </c>
      <c r="CDG85" s="70">
        <v>0</v>
      </c>
      <c r="CDH85" s="70">
        <v>0</v>
      </c>
      <c r="CDI85" s="70">
        <v>0</v>
      </c>
      <c r="CDJ85" s="70">
        <v>0</v>
      </c>
      <c r="CDK85" s="70">
        <v>0</v>
      </c>
      <c r="CDL85" s="70">
        <v>0</v>
      </c>
      <c r="CDM85" s="70">
        <v>0</v>
      </c>
      <c r="CDN85" s="70">
        <v>0</v>
      </c>
      <c r="CDO85" s="70">
        <v>0</v>
      </c>
      <c r="CDP85" s="70">
        <v>0</v>
      </c>
      <c r="CDQ85" s="70">
        <v>0</v>
      </c>
      <c r="CDR85" s="70">
        <v>0</v>
      </c>
      <c r="CDS85" s="70">
        <v>0</v>
      </c>
      <c r="CDT85" s="70">
        <v>0</v>
      </c>
      <c r="CDU85" s="70">
        <v>0</v>
      </c>
      <c r="CDV85" s="70">
        <v>0</v>
      </c>
      <c r="CDW85" s="70">
        <v>0</v>
      </c>
      <c r="CDX85" s="70">
        <v>0</v>
      </c>
      <c r="CDY85" s="70">
        <v>0</v>
      </c>
      <c r="CDZ85" s="70">
        <v>0</v>
      </c>
      <c r="CEA85" s="70">
        <v>0</v>
      </c>
      <c r="CEB85" s="70">
        <v>0</v>
      </c>
      <c r="CEC85" s="70">
        <v>0</v>
      </c>
      <c r="CED85" s="70">
        <v>0</v>
      </c>
      <c r="CEE85" s="70">
        <v>0</v>
      </c>
      <c r="CEF85" s="70">
        <v>0</v>
      </c>
      <c r="CEG85" s="70">
        <v>0</v>
      </c>
      <c r="CEH85" s="70">
        <v>0</v>
      </c>
      <c r="CEI85" s="70">
        <v>0</v>
      </c>
      <c r="CEJ85" s="70">
        <v>0</v>
      </c>
      <c r="CEK85" s="70">
        <v>0</v>
      </c>
      <c r="CEL85" s="70">
        <v>0</v>
      </c>
      <c r="CEM85" s="70">
        <v>0</v>
      </c>
      <c r="CEN85" s="70">
        <v>0</v>
      </c>
      <c r="CEO85" s="70">
        <v>0</v>
      </c>
      <c r="CEP85" s="70">
        <v>0</v>
      </c>
      <c r="CEQ85" s="70">
        <v>0</v>
      </c>
      <c r="CER85" s="70">
        <v>0</v>
      </c>
      <c r="CES85" s="70">
        <v>0</v>
      </c>
      <c r="CET85" s="70">
        <v>0</v>
      </c>
      <c r="CEU85" s="70">
        <v>0</v>
      </c>
      <c r="CEV85" s="70">
        <v>0</v>
      </c>
      <c r="CEW85" s="70">
        <v>0</v>
      </c>
      <c r="CEX85" s="70">
        <v>0</v>
      </c>
      <c r="CEY85" s="70">
        <v>0</v>
      </c>
      <c r="CEZ85" s="70">
        <v>0</v>
      </c>
      <c r="CFA85" s="70">
        <v>0</v>
      </c>
      <c r="CFB85" s="70">
        <v>0</v>
      </c>
      <c r="CFC85" s="70">
        <v>0</v>
      </c>
      <c r="CFD85" s="70">
        <v>0</v>
      </c>
      <c r="CFE85" s="70">
        <v>0</v>
      </c>
      <c r="CFF85" s="70">
        <v>0</v>
      </c>
      <c r="CFG85" s="70">
        <v>0</v>
      </c>
      <c r="CFH85" s="70">
        <v>0</v>
      </c>
      <c r="CFI85" s="70">
        <v>0</v>
      </c>
      <c r="CFJ85" s="70">
        <v>0</v>
      </c>
      <c r="CFK85" s="70">
        <v>0</v>
      </c>
      <c r="CFL85" s="70">
        <v>0</v>
      </c>
      <c r="CFM85" s="70">
        <v>0</v>
      </c>
      <c r="CFN85" s="70">
        <v>0</v>
      </c>
      <c r="CFO85" s="70">
        <v>0</v>
      </c>
      <c r="CFP85" s="70">
        <v>0</v>
      </c>
      <c r="CFQ85" s="70">
        <v>0</v>
      </c>
      <c r="CFR85" s="70">
        <v>0</v>
      </c>
      <c r="CFS85" s="70">
        <v>0</v>
      </c>
      <c r="CFT85" s="70">
        <v>0</v>
      </c>
      <c r="CFU85" s="70">
        <v>0</v>
      </c>
      <c r="CFV85" s="70">
        <v>0</v>
      </c>
      <c r="CFW85" s="70">
        <v>0</v>
      </c>
      <c r="CFX85" s="70">
        <v>0</v>
      </c>
      <c r="CFY85" s="70">
        <v>0</v>
      </c>
      <c r="CFZ85" s="70">
        <v>0</v>
      </c>
      <c r="CGA85" s="70">
        <v>0</v>
      </c>
      <c r="CGB85" s="70">
        <v>0</v>
      </c>
      <c r="CGC85" s="70">
        <v>0</v>
      </c>
      <c r="CGD85" s="70">
        <v>0</v>
      </c>
      <c r="CGE85" s="70">
        <v>0</v>
      </c>
      <c r="CGF85" s="70">
        <v>0</v>
      </c>
      <c r="CGG85" s="70">
        <v>0</v>
      </c>
      <c r="CGH85" s="70">
        <v>0</v>
      </c>
      <c r="CGI85" s="70">
        <v>0</v>
      </c>
      <c r="CGJ85" s="70">
        <v>0</v>
      </c>
      <c r="CGK85" s="70">
        <v>0</v>
      </c>
      <c r="CGL85" s="70">
        <v>0</v>
      </c>
      <c r="CGM85" s="70">
        <v>0</v>
      </c>
      <c r="CGN85" s="70">
        <v>0</v>
      </c>
      <c r="CGO85" s="70">
        <v>0</v>
      </c>
      <c r="CGP85" s="70">
        <v>0</v>
      </c>
      <c r="CGQ85" s="70">
        <v>0</v>
      </c>
      <c r="CGR85" s="70">
        <v>0</v>
      </c>
      <c r="CGS85" s="70">
        <v>0</v>
      </c>
      <c r="CGT85" s="70">
        <v>0</v>
      </c>
      <c r="CGU85" s="70">
        <v>0</v>
      </c>
      <c r="CGV85" s="70">
        <v>0</v>
      </c>
      <c r="CGW85" s="70">
        <v>0</v>
      </c>
      <c r="CGX85" s="70">
        <v>0</v>
      </c>
      <c r="CGY85" s="70">
        <v>0</v>
      </c>
      <c r="CGZ85" s="70">
        <v>0</v>
      </c>
      <c r="CHA85" s="70">
        <v>0</v>
      </c>
      <c r="CHB85" s="70">
        <v>0</v>
      </c>
      <c r="CHC85" s="70">
        <v>0</v>
      </c>
      <c r="CHD85" s="70">
        <v>0</v>
      </c>
      <c r="CHE85" s="70">
        <v>0</v>
      </c>
      <c r="CHF85" s="70">
        <v>0</v>
      </c>
      <c r="CHG85" s="70">
        <v>0</v>
      </c>
      <c r="CHH85" s="70">
        <v>0</v>
      </c>
      <c r="CHI85" s="70">
        <v>0</v>
      </c>
      <c r="CHJ85" s="70">
        <v>0</v>
      </c>
      <c r="CHK85" s="70">
        <v>0</v>
      </c>
      <c r="CHL85" s="70">
        <v>0</v>
      </c>
      <c r="CHM85" s="70">
        <v>0</v>
      </c>
      <c r="CHN85" s="70">
        <v>0</v>
      </c>
      <c r="CHO85" s="70">
        <v>0</v>
      </c>
      <c r="CHP85" s="70">
        <v>0</v>
      </c>
      <c r="CHQ85" s="70">
        <v>0</v>
      </c>
      <c r="CHR85" s="70">
        <v>0</v>
      </c>
      <c r="CHS85" s="70">
        <v>0</v>
      </c>
      <c r="CHT85" s="70">
        <v>0</v>
      </c>
      <c r="CHU85" s="70">
        <v>0</v>
      </c>
      <c r="CHV85" s="70">
        <v>0</v>
      </c>
      <c r="CHW85" s="70">
        <v>0</v>
      </c>
      <c r="CHX85" s="70">
        <v>0</v>
      </c>
      <c r="CHY85" s="70">
        <v>0</v>
      </c>
      <c r="CHZ85" s="70">
        <v>0</v>
      </c>
      <c r="CIA85" s="70">
        <v>0</v>
      </c>
      <c r="CIB85" s="70">
        <v>0</v>
      </c>
      <c r="CIC85" s="70">
        <v>0</v>
      </c>
      <c r="CID85" s="70">
        <v>0</v>
      </c>
      <c r="CIE85" s="70">
        <v>0</v>
      </c>
      <c r="CIF85" s="70">
        <v>0</v>
      </c>
      <c r="CIG85" s="70">
        <v>0</v>
      </c>
      <c r="CIH85" s="70">
        <v>0</v>
      </c>
      <c r="CII85" s="70">
        <v>0</v>
      </c>
      <c r="CIJ85" s="70">
        <v>0</v>
      </c>
      <c r="CIK85" s="70">
        <v>0</v>
      </c>
      <c r="CIL85" s="70">
        <v>0</v>
      </c>
      <c r="CIM85" s="70">
        <v>0</v>
      </c>
      <c r="CIN85" s="70">
        <v>0</v>
      </c>
      <c r="CIO85" s="70">
        <v>0</v>
      </c>
      <c r="CIP85" s="70">
        <v>0</v>
      </c>
      <c r="CIQ85" s="70">
        <v>0</v>
      </c>
      <c r="CIR85" s="70">
        <v>0</v>
      </c>
      <c r="CIS85" s="70">
        <v>0</v>
      </c>
      <c r="CIT85" s="70">
        <v>0</v>
      </c>
      <c r="CIU85" s="70">
        <v>0</v>
      </c>
      <c r="CIV85" s="70">
        <v>0</v>
      </c>
      <c r="CIW85" s="70">
        <v>0</v>
      </c>
      <c r="CIX85" s="70">
        <v>0</v>
      </c>
      <c r="CIY85" s="70">
        <v>0</v>
      </c>
      <c r="CIZ85" s="70">
        <v>0</v>
      </c>
      <c r="CJA85" s="70">
        <v>0</v>
      </c>
      <c r="CJB85" s="70">
        <v>0</v>
      </c>
      <c r="CJC85" s="70">
        <v>0</v>
      </c>
      <c r="CJD85" s="70">
        <v>0</v>
      </c>
      <c r="CJE85" s="70">
        <v>0</v>
      </c>
      <c r="CJF85" s="70">
        <v>0</v>
      </c>
      <c r="CJG85" s="70">
        <v>0</v>
      </c>
      <c r="CJH85" s="70">
        <v>0</v>
      </c>
      <c r="CJI85" s="70">
        <v>0</v>
      </c>
      <c r="CJJ85" s="70">
        <v>0</v>
      </c>
      <c r="CJK85" s="70">
        <v>0</v>
      </c>
      <c r="CJL85" s="70">
        <v>0</v>
      </c>
      <c r="CJM85" s="70">
        <v>0</v>
      </c>
      <c r="CJN85" s="70">
        <v>0</v>
      </c>
      <c r="CJO85" s="70">
        <v>0</v>
      </c>
      <c r="CJP85" s="70">
        <v>0</v>
      </c>
      <c r="CJQ85" s="70">
        <v>0</v>
      </c>
      <c r="CJR85" s="70">
        <v>0</v>
      </c>
      <c r="CJS85" s="70">
        <v>0</v>
      </c>
      <c r="CJT85" s="70">
        <v>0</v>
      </c>
      <c r="CJU85" s="70">
        <v>0</v>
      </c>
      <c r="CJV85" s="70">
        <v>0</v>
      </c>
      <c r="CJW85" s="70">
        <v>0</v>
      </c>
      <c r="CJX85" s="70">
        <v>0</v>
      </c>
      <c r="CJY85" s="70">
        <v>0</v>
      </c>
      <c r="CJZ85" s="70">
        <v>0</v>
      </c>
      <c r="CKA85" s="70">
        <v>0</v>
      </c>
      <c r="CKB85" s="70">
        <v>0</v>
      </c>
      <c r="CKC85" s="70">
        <v>0</v>
      </c>
      <c r="CKD85" s="70">
        <v>0</v>
      </c>
      <c r="CKE85" s="70">
        <v>0</v>
      </c>
      <c r="CKF85" s="70">
        <v>0</v>
      </c>
      <c r="CKG85" s="70">
        <v>0</v>
      </c>
      <c r="CKH85" s="70">
        <v>0</v>
      </c>
      <c r="CKI85" s="70">
        <v>0</v>
      </c>
      <c r="CKJ85" s="70">
        <v>0</v>
      </c>
      <c r="CKK85" s="70">
        <v>0</v>
      </c>
      <c r="CKL85" s="70">
        <v>0</v>
      </c>
      <c r="CKM85" s="70">
        <v>0</v>
      </c>
      <c r="CKN85" s="70">
        <v>0</v>
      </c>
      <c r="CKO85" s="70">
        <v>0</v>
      </c>
      <c r="CKP85" s="70">
        <v>0</v>
      </c>
      <c r="CKQ85" s="70">
        <v>0</v>
      </c>
      <c r="CKR85" s="70">
        <v>0</v>
      </c>
      <c r="CKS85" s="70">
        <v>0</v>
      </c>
      <c r="CKT85" s="70">
        <v>0</v>
      </c>
      <c r="CKU85" s="70">
        <v>0</v>
      </c>
      <c r="CKV85" s="70">
        <v>0</v>
      </c>
      <c r="CKW85" s="70">
        <v>0</v>
      </c>
      <c r="CKX85" s="70">
        <v>0</v>
      </c>
      <c r="CKY85" s="70">
        <v>0</v>
      </c>
      <c r="CKZ85" s="70">
        <v>0</v>
      </c>
      <c r="CLA85" s="70">
        <v>0</v>
      </c>
      <c r="CLB85" s="70">
        <v>0</v>
      </c>
      <c r="CLC85" s="70">
        <v>0</v>
      </c>
      <c r="CLD85" s="70">
        <v>0</v>
      </c>
      <c r="CLE85" s="70">
        <v>0</v>
      </c>
      <c r="CLF85" s="70">
        <v>0</v>
      </c>
      <c r="CLG85" s="70">
        <v>0</v>
      </c>
      <c r="CLH85" s="70">
        <v>0</v>
      </c>
      <c r="CLI85" s="70">
        <v>0</v>
      </c>
      <c r="CLJ85" s="70">
        <v>0</v>
      </c>
      <c r="CLK85" s="70">
        <v>0</v>
      </c>
      <c r="CLL85" s="70">
        <v>0</v>
      </c>
      <c r="CLM85" s="70">
        <v>0</v>
      </c>
      <c r="CLN85" s="70">
        <v>0</v>
      </c>
      <c r="CLO85" s="70">
        <v>0</v>
      </c>
      <c r="CLP85" s="70">
        <v>0</v>
      </c>
      <c r="CLQ85" s="70">
        <v>0</v>
      </c>
      <c r="CLR85" s="70">
        <v>0</v>
      </c>
      <c r="CLS85" s="70">
        <v>0</v>
      </c>
      <c r="CLT85" s="70">
        <v>0</v>
      </c>
      <c r="CLU85" s="70">
        <v>0</v>
      </c>
      <c r="CLV85" s="70">
        <v>0</v>
      </c>
      <c r="CLW85" s="70">
        <v>0</v>
      </c>
      <c r="CLX85" s="70">
        <v>0</v>
      </c>
      <c r="CLY85" s="70">
        <v>0</v>
      </c>
      <c r="CLZ85" s="70">
        <v>0</v>
      </c>
      <c r="CMA85" s="70">
        <v>0</v>
      </c>
      <c r="CMB85" s="70">
        <v>0</v>
      </c>
      <c r="CMC85" s="70">
        <v>0</v>
      </c>
      <c r="CMD85" s="70">
        <v>0</v>
      </c>
      <c r="CME85" s="70">
        <v>0</v>
      </c>
      <c r="CMF85" s="70">
        <v>0</v>
      </c>
      <c r="CMG85" s="70">
        <v>0</v>
      </c>
      <c r="CMH85" s="70">
        <v>0</v>
      </c>
      <c r="CMI85" s="70">
        <v>0</v>
      </c>
      <c r="CMJ85" s="70">
        <v>0</v>
      </c>
      <c r="CMK85" s="70">
        <v>0</v>
      </c>
      <c r="CML85" s="70">
        <v>0</v>
      </c>
      <c r="CMM85" s="70">
        <v>0</v>
      </c>
      <c r="CMN85" s="70">
        <v>0</v>
      </c>
      <c r="CMO85" s="70">
        <v>0</v>
      </c>
      <c r="CMP85" s="70">
        <v>0</v>
      </c>
      <c r="CMQ85" s="70">
        <v>0</v>
      </c>
      <c r="CMR85" s="70">
        <v>0</v>
      </c>
      <c r="CMS85" s="70">
        <v>0</v>
      </c>
      <c r="CMT85" s="70">
        <v>0</v>
      </c>
      <c r="CMU85" s="70">
        <v>0</v>
      </c>
      <c r="CMV85" s="70">
        <v>0</v>
      </c>
      <c r="CMW85" s="70">
        <v>0</v>
      </c>
      <c r="CMX85" s="70">
        <v>0</v>
      </c>
      <c r="CMY85" s="70">
        <v>0</v>
      </c>
      <c r="CMZ85" s="70">
        <v>0</v>
      </c>
      <c r="CNA85" s="70">
        <v>0</v>
      </c>
      <c r="CNB85" s="70">
        <v>0</v>
      </c>
      <c r="CNC85" s="70">
        <v>0</v>
      </c>
      <c r="CND85" s="70">
        <v>0</v>
      </c>
      <c r="CNE85" s="70">
        <v>0</v>
      </c>
      <c r="CNF85" s="70">
        <v>0</v>
      </c>
      <c r="CNG85" s="70">
        <v>0</v>
      </c>
      <c r="CNH85" s="70">
        <v>0</v>
      </c>
      <c r="CNI85" s="70">
        <v>0</v>
      </c>
      <c r="CNJ85" s="70">
        <v>0</v>
      </c>
      <c r="CNK85" s="70">
        <v>0</v>
      </c>
      <c r="CNL85" s="70">
        <v>0</v>
      </c>
      <c r="CNM85" s="70">
        <v>0</v>
      </c>
      <c r="CNN85" s="70">
        <v>0</v>
      </c>
      <c r="CNO85" s="70">
        <v>0</v>
      </c>
      <c r="CNP85" s="70">
        <v>0</v>
      </c>
      <c r="CNQ85" s="70">
        <v>0</v>
      </c>
      <c r="CNR85" s="70">
        <v>0</v>
      </c>
      <c r="CNS85" s="70">
        <v>0</v>
      </c>
      <c r="CNT85" s="70">
        <v>0</v>
      </c>
      <c r="CNU85" s="70">
        <v>0</v>
      </c>
      <c r="CNV85" s="70">
        <v>0</v>
      </c>
      <c r="CNW85" s="70">
        <v>0</v>
      </c>
      <c r="CNX85" s="70">
        <v>0</v>
      </c>
      <c r="CNY85" s="70">
        <v>0</v>
      </c>
      <c r="CNZ85" s="70">
        <v>0</v>
      </c>
      <c r="COA85" s="70">
        <v>0</v>
      </c>
      <c r="COB85" s="70">
        <v>0</v>
      </c>
      <c r="COC85" s="70">
        <v>0</v>
      </c>
      <c r="COD85" s="70">
        <v>0</v>
      </c>
      <c r="COE85" s="70">
        <v>0</v>
      </c>
      <c r="COF85" s="70">
        <v>0</v>
      </c>
      <c r="COG85" s="70">
        <v>0</v>
      </c>
      <c r="COH85" s="70">
        <v>0</v>
      </c>
      <c r="COI85" s="70">
        <v>0</v>
      </c>
      <c r="COJ85" s="70">
        <v>0</v>
      </c>
      <c r="COK85" s="70">
        <v>0</v>
      </c>
      <c r="COL85" s="70">
        <v>0</v>
      </c>
      <c r="COM85" s="70">
        <v>0</v>
      </c>
      <c r="CON85" s="70">
        <v>0</v>
      </c>
      <c r="COO85" s="70">
        <v>0</v>
      </c>
      <c r="COP85" s="70">
        <v>0</v>
      </c>
      <c r="COQ85" s="70">
        <v>0</v>
      </c>
      <c r="COR85" s="70">
        <v>0</v>
      </c>
      <c r="COS85" s="70">
        <v>0</v>
      </c>
      <c r="COT85" s="70">
        <v>0</v>
      </c>
      <c r="COU85" s="70">
        <v>0</v>
      </c>
      <c r="COV85" s="70">
        <v>0</v>
      </c>
      <c r="COW85" s="70">
        <v>0</v>
      </c>
      <c r="COX85" s="70">
        <v>0</v>
      </c>
      <c r="COY85" s="70">
        <v>0</v>
      </c>
      <c r="COZ85" s="70">
        <v>0</v>
      </c>
      <c r="CPA85" s="70">
        <v>0</v>
      </c>
      <c r="CPB85" s="70">
        <v>0</v>
      </c>
      <c r="CPC85" s="70">
        <v>0</v>
      </c>
      <c r="CPD85" s="70">
        <v>0</v>
      </c>
      <c r="CPE85" s="70">
        <v>0</v>
      </c>
      <c r="CPF85" s="70">
        <v>0</v>
      </c>
      <c r="CPG85" s="70">
        <v>0</v>
      </c>
      <c r="CPH85" s="70">
        <v>0</v>
      </c>
      <c r="CPI85" s="70">
        <v>0</v>
      </c>
      <c r="CPJ85" s="70">
        <v>0</v>
      </c>
      <c r="CPK85" s="70">
        <v>0</v>
      </c>
      <c r="CPL85" s="70">
        <v>0</v>
      </c>
      <c r="CPM85" s="70">
        <v>0</v>
      </c>
      <c r="CPN85" s="70">
        <v>0</v>
      </c>
      <c r="CPO85" s="70">
        <v>0</v>
      </c>
      <c r="CPP85" s="70">
        <v>0</v>
      </c>
      <c r="CPQ85" s="70">
        <v>0</v>
      </c>
      <c r="CPR85" s="70">
        <v>0</v>
      </c>
      <c r="CPS85" s="70">
        <v>0</v>
      </c>
      <c r="CPT85" s="70">
        <v>0</v>
      </c>
      <c r="CPU85" s="70">
        <v>0</v>
      </c>
      <c r="CPV85" s="70">
        <v>0</v>
      </c>
      <c r="CPW85" s="70">
        <v>0</v>
      </c>
      <c r="CPX85" s="70">
        <v>0</v>
      </c>
      <c r="CPY85" s="70">
        <v>0</v>
      </c>
      <c r="CPZ85" s="70">
        <v>0</v>
      </c>
      <c r="CQA85" s="70">
        <v>0</v>
      </c>
      <c r="CQB85" s="70">
        <v>0</v>
      </c>
      <c r="CQC85" s="70">
        <v>0</v>
      </c>
      <c r="CQD85" s="70">
        <v>0</v>
      </c>
      <c r="CQE85" s="70">
        <v>0</v>
      </c>
      <c r="CQF85" s="70">
        <v>0</v>
      </c>
      <c r="CQG85" s="70">
        <v>0</v>
      </c>
      <c r="CQH85" s="70">
        <v>0</v>
      </c>
      <c r="CQI85" s="70">
        <v>0</v>
      </c>
      <c r="CQJ85" s="70">
        <v>0</v>
      </c>
      <c r="CQK85" s="70">
        <v>0</v>
      </c>
      <c r="CQL85" s="70">
        <v>0</v>
      </c>
      <c r="CQM85" s="70">
        <v>0</v>
      </c>
      <c r="CQN85" s="70">
        <v>0</v>
      </c>
      <c r="CQO85" s="70">
        <v>0</v>
      </c>
      <c r="CQP85" s="70">
        <v>0</v>
      </c>
      <c r="CQQ85" s="70">
        <v>0</v>
      </c>
      <c r="CQR85" s="70">
        <v>0</v>
      </c>
      <c r="CQS85" s="70">
        <v>0</v>
      </c>
      <c r="CQT85" s="70">
        <v>0</v>
      </c>
      <c r="CQU85" s="70">
        <v>0</v>
      </c>
      <c r="CQV85" s="70">
        <v>0</v>
      </c>
      <c r="CQW85" s="70">
        <v>0</v>
      </c>
      <c r="CQX85" s="70">
        <v>0</v>
      </c>
      <c r="CQY85" s="70">
        <v>0</v>
      </c>
      <c r="CQZ85" s="70">
        <v>0</v>
      </c>
      <c r="CRA85" s="70">
        <v>0</v>
      </c>
      <c r="CRB85" s="70">
        <v>0</v>
      </c>
      <c r="CRC85" s="70">
        <v>0</v>
      </c>
      <c r="CRD85" s="70">
        <v>0</v>
      </c>
      <c r="CRE85" s="70">
        <v>0</v>
      </c>
      <c r="CRF85" s="70">
        <v>0</v>
      </c>
      <c r="CRG85" s="70">
        <v>0</v>
      </c>
      <c r="CRH85" s="70">
        <v>0</v>
      </c>
      <c r="CRI85" s="70">
        <v>0</v>
      </c>
      <c r="CRJ85" s="70">
        <v>0</v>
      </c>
      <c r="CRK85" s="70">
        <v>0</v>
      </c>
      <c r="CRL85" s="70">
        <v>0</v>
      </c>
      <c r="CRM85" s="70">
        <v>0</v>
      </c>
      <c r="CRN85" s="70">
        <v>0</v>
      </c>
      <c r="CRO85" s="70">
        <v>0</v>
      </c>
      <c r="CRP85" s="70">
        <v>0</v>
      </c>
      <c r="CRQ85" s="70">
        <v>0</v>
      </c>
      <c r="CRR85" s="70">
        <v>0</v>
      </c>
      <c r="CRS85" s="70">
        <v>0</v>
      </c>
      <c r="CRT85" s="70">
        <v>0</v>
      </c>
      <c r="CRU85" s="70">
        <v>0</v>
      </c>
      <c r="CRV85" s="70">
        <v>0</v>
      </c>
      <c r="CRW85" s="70">
        <v>0</v>
      </c>
      <c r="CRX85" s="70">
        <v>0</v>
      </c>
      <c r="CRY85" s="70">
        <v>0</v>
      </c>
      <c r="CRZ85" s="70">
        <v>0</v>
      </c>
      <c r="CSA85" s="70">
        <v>0</v>
      </c>
      <c r="CSB85" s="70">
        <v>0</v>
      </c>
      <c r="CSC85" s="70">
        <v>0</v>
      </c>
      <c r="CSD85" s="70">
        <v>0</v>
      </c>
      <c r="CSE85" s="70">
        <v>0</v>
      </c>
      <c r="CSF85" s="70">
        <v>0</v>
      </c>
      <c r="CSG85" s="70">
        <v>0</v>
      </c>
      <c r="CSH85" s="70">
        <v>0</v>
      </c>
      <c r="CSI85" s="70">
        <v>0</v>
      </c>
      <c r="CSJ85" s="70">
        <v>0</v>
      </c>
      <c r="CSK85" s="70">
        <v>0</v>
      </c>
      <c r="CSL85" s="70">
        <v>0</v>
      </c>
      <c r="CSM85" s="70">
        <v>0</v>
      </c>
      <c r="CSN85" s="70">
        <v>0</v>
      </c>
      <c r="CSO85" s="70">
        <v>0</v>
      </c>
      <c r="CSP85" s="70">
        <v>0</v>
      </c>
      <c r="CSQ85" s="70">
        <v>0</v>
      </c>
      <c r="CSR85" s="70">
        <v>0</v>
      </c>
      <c r="CSS85" s="70">
        <v>0</v>
      </c>
      <c r="CST85" s="70">
        <v>0</v>
      </c>
      <c r="CSU85" s="70">
        <v>0</v>
      </c>
      <c r="CSV85" s="70">
        <v>0</v>
      </c>
      <c r="CSW85" s="70">
        <v>0</v>
      </c>
      <c r="CSX85" s="70">
        <v>0</v>
      </c>
      <c r="CSY85" s="70">
        <v>0</v>
      </c>
      <c r="CSZ85" s="70">
        <v>0</v>
      </c>
      <c r="CTA85" s="70">
        <v>0</v>
      </c>
      <c r="CTB85" s="70">
        <v>0</v>
      </c>
      <c r="CTC85" s="70">
        <v>0</v>
      </c>
      <c r="CTD85" s="70">
        <v>0</v>
      </c>
      <c r="CTE85" s="70">
        <v>0</v>
      </c>
      <c r="CTF85" s="70">
        <v>0</v>
      </c>
      <c r="CTG85" s="70">
        <v>0</v>
      </c>
      <c r="CTH85" s="70">
        <v>0</v>
      </c>
      <c r="CTI85" s="70">
        <v>0</v>
      </c>
      <c r="CTJ85" s="70">
        <v>0</v>
      </c>
      <c r="CTK85" s="70">
        <v>0</v>
      </c>
      <c r="CTL85" s="70">
        <v>0</v>
      </c>
      <c r="CTM85" s="70">
        <v>0</v>
      </c>
      <c r="CTN85" s="70">
        <v>0</v>
      </c>
      <c r="CTO85" s="70">
        <v>0</v>
      </c>
      <c r="CTP85" s="70">
        <v>0</v>
      </c>
      <c r="CTQ85" s="70">
        <v>0</v>
      </c>
      <c r="CTR85" s="70">
        <v>0</v>
      </c>
      <c r="CTS85" s="70">
        <v>0</v>
      </c>
      <c r="CTT85" s="70">
        <v>0</v>
      </c>
      <c r="CTU85" s="70">
        <v>0</v>
      </c>
      <c r="CTV85" s="70">
        <v>0</v>
      </c>
      <c r="CTW85" s="70">
        <v>0</v>
      </c>
      <c r="CTX85" s="70">
        <v>0</v>
      </c>
      <c r="CTY85" s="70">
        <v>0</v>
      </c>
      <c r="CTZ85" s="70">
        <v>0</v>
      </c>
      <c r="CUA85" s="70">
        <v>0</v>
      </c>
      <c r="CUB85" s="70">
        <v>0</v>
      </c>
      <c r="CUC85" s="70">
        <v>0</v>
      </c>
      <c r="CUD85" s="70">
        <v>0</v>
      </c>
      <c r="CUE85" s="70">
        <v>0</v>
      </c>
      <c r="CUF85" s="70">
        <v>0</v>
      </c>
      <c r="CUG85" s="70">
        <v>0</v>
      </c>
      <c r="CUH85" s="70">
        <v>0</v>
      </c>
      <c r="CUI85" s="70">
        <v>0</v>
      </c>
      <c r="CUJ85" s="70">
        <v>0</v>
      </c>
      <c r="CUK85" s="70">
        <v>0</v>
      </c>
      <c r="CUL85" s="70">
        <v>0</v>
      </c>
      <c r="CUM85" s="70">
        <v>0</v>
      </c>
      <c r="CUN85" s="70">
        <v>0</v>
      </c>
      <c r="CUO85" s="70">
        <v>0</v>
      </c>
      <c r="CUP85" s="70">
        <v>0</v>
      </c>
      <c r="CUQ85" s="70">
        <v>0</v>
      </c>
      <c r="CUR85" s="70">
        <v>0</v>
      </c>
      <c r="CUS85" s="70">
        <v>0</v>
      </c>
      <c r="CUT85" s="70">
        <v>0</v>
      </c>
      <c r="CUU85" s="70">
        <v>0</v>
      </c>
      <c r="CUV85" s="70">
        <v>0</v>
      </c>
      <c r="CUW85" s="70">
        <v>0</v>
      </c>
      <c r="CUX85" s="70">
        <v>0</v>
      </c>
      <c r="CUY85" s="70">
        <v>0</v>
      </c>
      <c r="CUZ85" s="70">
        <v>0</v>
      </c>
      <c r="CVA85" s="70">
        <v>0</v>
      </c>
      <c r="CVB85" s="70">
        <v>0</v>
      </c>
      <c r="CVC85" s="70">
        <v>0</v>
      </c>
      <c r="CVD85" s="70">
        <v>0</v>
      </c>
      <c r="CVE85" s="70">
        <v>0</v>
      </c>
      <c r="CVF85" s="70">
        <v>0</v>
      </c>
      <c r="CVG85" s="70">
        <v>0</v>
      </c>
      <c r="CVH85" s="70">
        <v>0</v>
      </c>
      <c r="CVI85" s="70">
        <v>0</v>
      </c>
      <c r="CVJ85" s="70">
        <v>0</v>
      </c>
      <c r="CVK85" s="70">
        <v>0</v>
      </c>
      <c r="CVL85" s="70">
        <v>0</v>
      </c>
      <c r="CVM85" s="70">
        <v>0</v>
      </c>
      <c r="CVN85" s="70">
        <v>0</v>
      </c>
      <c r="CVO85" s="70">
        <v>0</v>
      </c>
      <c r="CVP85" s="70">
        <v>0</v>
      </c>
      <c r="CVQ85" s="70">
        <v>0</v>
      </c>
      <c r="CVR85" s="70">
        <v>0</v>
      </c>
      <c r="CVS85" s="70">
        <v>0</v>
      </c>
      <c r="CVT85" s="70">
        <v>0</v>
      </c>
      <c r="CVU85" s="70">
        <v>0</v>
      </c>
      <c r="CVV85" s="70">
        <v>0</v>
      </c>
      <c r="CVW85" s="70">
        <v>0</v>
      </c>
      <c r="CVX85" s="70">
        <v>0</v>
      </c>
      <c r="CVY85" s="70">
        <v>0</v>
      </c>
      <c r="CVZ85" s="70">
        <v>0</v>
      </c>
      <c r="CWA85" s="70">
        <v>0</v>
      </c>
      <c r="CWB85" s="70">
        <v>0</v>
      </c>
      <c r="CWC85" s="70">
        <v>0</v>
      </c>
      <c r="CWD85" s="70">
        <v>0</v>
      </c>
      <c r="CWE85" s="70">
        <v>0</v>
      </c>
      <c r="CWF85" s="70">
        <v>0</v>
      </c>
      <c r="CWG85" s="70">
        <v>0</v>
      </c>
      <c r="CWH85" s="70">
        <v>0</v>
      </c>
      <c r="CWI85" s="70">
        <v>0</v>
      </c>
      <c r="CWJ85" s="70">
        <v>0</v>
      </c>
      <c r="CWK85" s="70">
        <v>0</v>
      </c>
      <c r="CWL85" s="70">
        <v>0</v>
      </c>
      <c r="CWM85" s="70">
        <v>0</v>
      </c>
      <c r="CWN85" s="70">
        <v>0</v>
      </c>
      <c r="CWO85" s="70">
        <v>0</v>
      </c>
      <c r="CWP85" s="70">
        <v>0</v>
      </c>
      <c r="CWQ85" s="70">
        <v>0</v>
      </c>
      <c r="CWR85" s="70">
        <v>0</v>
      </c>
      <c r="CWS85" s="70">
        <v>0</v>
      </c>
      <c r="CWT85" s="70">
        <v>0</v>
      </c>
      <c r="CWU85" s="70">
        <v>0</v>
      </c>
      <c r="CWV85" s="70">
        <v>0</v>
      </c>
      <c r="CWW85" s="70">
        <v>0</v>
      </c>
      <c r="CWX85" s="70">
        <v>0</v>
      </c>
      <c r="CWY85" s="70">
        <v>0</v>
      </c>
      <c r="CWZ85" s="70">
        <v>0</v>
      </c>
      <c r="CXA85" s="70">
        <v>0</v>
      </c>
      <c r="CXB85" s="70">
        <v>0</v>
      </c>
      <c r="CXC85" s="70">
        <v>0</v>
      </c>
      <c r="CXD85" s="70">
        <v>0</v>
      </c>
      <c r="CXE85" s="70">
        <v>0</v>
      </c>
      <c r="CXF85" s="70">
        <v>0</v>
      </c>
      <c r="CXG85" s="70">
        <v>0</v>
      </c>
      <c r="CXH85" s="70">
        <v>0</v>
      </c>
      <c r="CXI85" s="70">
        <v>0</v>
      </c>
      <c r="CXJ85" s="70">
        <v>0</v>
      </c>
      <c r="CXK85" s="70">
        <v>0</v>
      </c>
      <c r="CXL85" s="70">
        <v>0</v>
      </c>
      <c r="CXM85" s="70">
        <v>0</v>
      </c>
      <c r="CXN85" s="70">
        <v>0</v>
      </c>
      <c r="CXO85" s="70">
        <v>0</v>
      </c>
      <c r="CXP85" s="70">
        <v>0</v>
      </c>
      <c r="CXQ85" s="70">
        <v>0</v>
      </c>
      <c r="CXR85" s="70">
        <v>0</v>
      </c>
      <c r="CXS85" s="70">
        <v>0</v>
      </c>
      <c r="CXT85" s="70">
        <v>0</v>
      </c>
      <c r="CXU85" s="70">
        <v>0</v>
      </c>
      <c r="CXV85" s="70">
        <v>0</v>
      </c>
      <c r="CXW85" s="70">
        <v>0</v>
      </c>
      <c r="CXX85" s="70">
        <v>0</v>
      </c>
      <c r="CXY85" s="70">
        <v>0</v>
      </c>
      <c r="CXZ85" s="70">
        <v>0</v>
      </c>
      <c r="CYA85" s="70">
        <v>0</v>
      </c>
      <c r="CYB85" s="70">
        <v>0</v>
      </c>
      <c r="CYC85" s="70">
        <v>0</v>
      </c>
      <c r="CYD85" s="70">
        <v>0</v>
      </c>
      <c r="CYE85" s="70">
        <v>0</v>
      </c>
      <c r="CYF85" s="70">
        <v>0</v>
      </c>
      <c r="CYG85" s="70">
        <v>0</v>
      </c>
      <c r="CYH85" s="70">
        <v>0</v>
      </c>
      <c r="CYI85" s="70">
        <v>0</v>
      </c>
      <c r="CYJ85" s="70">
        <v>0</v>
      </c>
      <c r="CYK85" s="70">
        <v>0</v>
      </c>
      <c r="CYL85" s="70">
        <v>0</v>
      </c>
      <c r="CYM85" s="70">
        <v>0</v>
      </c>
      <c r="CYN85" s="70">
        <v>0</v>
      </c>
      <c r="CYO85" s="70">
        <v>0</v>
      </c>
      <c r="CYP85" s="70">
        <v>0</v>
      </c>
      <c r="CYQ85" s="70">
        <v>0</v>
      </c>
      <c r="CYR85" s="70">
        <v>0</v>
      </c>
      <c r="CYS85" s="70">
        <v>0</v>
      </c>
      <c r="CYT85" s="70">
        <v>0</v>
      </c>
      <c r="CYU85" s="70">
        <v>0</v>
      </c>
      <c r="CYV85" s="70">
        <v>0</v>
      </c>
      <c r="CYW85" s="70">
        <v>0</v>
      </c>
      <c r="CYX85" s="70">
        <v>0</v>
      </c>
      <c r="CYY85" s="70">
        <v>0</v>
      </c>
      <c r="CYZ85" s="70">
        <v>0</v>
      </c>
      <c r="CZA85" s="70">
        <v>0</v>
      </c>
      <c r="CZB85" s="70">
        <v>0</v>
      </c>
      <c r="CZC85" s="70">
        <v>0</v>
      </c>
      <c r="CZD85" s="70">
        <v>0</v>
      </c>
      <c r="CZE85" s="70">
        <v>0</v>
      </c>
      <c r="CZF85" s="70">
        <v>0</v>
      </c>
      <c r="CZG85" s="70">
        <v>0</v>
      </c>
      <c r="CZH85" s="70">
        <v>0</v>
      </c>
      <c r="CZI85" s="70">
        <v>0</v>
      </c>
      <c r="CZJ85" s="70">
        <v>0</v>
      </c>
      <c r="CZK85" s="70">
        <v>0</v>
      </c>
      <c r="CZL85" s="70">
        <v>0</v>
      </c>
      <c r="CZM85" s="70">
        <v>0</v>
      </c>
      <c r="CZN85" s="70">
        <v>0</v>
      </c>
      <c r="CZO85" s="70">
        <v>0</v>
      </c>
      <c r="CZP85" s="70">
        <v>0</v>
      </c>
      <c r="CZQ85" s="70">
        <v>0</v>
      </c>
      <c r="CZR85" s="70">
        <v>0</v>
      </c>
      <c r="CZS85" s="70">
        <v>0</v>
      </c>
      <c r="CZT85" s="70">
        <v>0</v>
      </c>
      <c r="CZU85" s="70">
        <v>0</v>
      </c>
      <c r="CZV85" s="70">
        <v>0</v>
      </c>
      <c r="CZW85" s="70">
        <v>0</v>
      </c>
      <c r="CZX85" s="70">
        <v>0</v>
      </c>
      <c r="CZY85" s="70">
        <v>0</v>
      </c>
      <c r="CZZ85" s="70">
        <v>0</v>
      </c>
      <c r="DAA85" s="70">
        <v>0</v>
      </c>
      <c r="DAB85" s="70">
        <v>0</v>
      </c>
      <c r="DAC85" s="70">
        <v>0</v>
      </c>
      <c r="DAD85" s="70">
        <v>0</v>
      </c>
      <c r="DAE85" s="70">
        <v>0</v>
      </c>
      <c r="DAF85" s="70">
        <v>0</v>
      </c>
      <c r="DAG85" s="70">
        <v>0</v>
      </c>
      <c r="DAH85" s="70">
        <v>0</v>
      </c>
      <c r="DAI85" s="70">
        <v>0</v>
      </c>
      <c r="DAJ85" s="70">
        <v>0</v>
      </c>
      <c r="DAK85" s="70">
        <v>0</v>
      </c>
      <c r="DAL85" s="70">
        <v>0</v>
      </c>
      <c r="DAM85" s="70">
        <v>0</v>
      </c>
      <c r="DAN85" s="70">
        <v>0</v>
      </c>
      <c r="DAO85" s="70">
        <v>0</v>
      </c>
      <c r="DAP85" s="70">
        <v>0</v>
      </c>
      <c r="DAQ85" s="70">
        <v>0</v>
      </c>
      <c r="DAR85" s="70">
        <v>0</v>
      </c>
      <c r="DAS85" s="70">
        <v>0</v>
      </c>
      <c r="DAT85" s="70">
        <v>0</v>
      </c>
      <c r="DAU85" s="70">
        <v>0</v>
      </c>
      <c r="DAV85" s="70">
        <v>0</v>
      </c>
      <c r="DAW85" s="70">
        <v>0</v>
      </c>
      <c r="DAX85" s="70">
        <v>0</v>
      </c>
      <c r="DAY85" s="70">
        <v>0</v>
      </c>
      <c r="DAZ85" s="70">
        <v>0</v>
      </c>
      <c r="DBA85" s="70">
        <v>0</v>
      </c>
      <c r="DBB85" s="70">
        <v>0</v>
      </c>
      <c r="DBC85" s="70">
        <v>0</v>
      </c>
      <c r="DBD85" s="70">
        <v>0</v>
      </c>
      <c r="DBE85" s="70">
        <v>0</v>
      </c>
      <c r="DBF85" s="70">
        <v>0</v>
      </c>
      <c r="DBG85" s="70">
        <v>0</v>
      </c>
      <c r="DBH85" s="70">
        <v>0</v>
      </c>
      <c r="DBI85" s="70">
        <v>0</v>
      </c>
      <c r="DBJ85" s="70">
        <v>0</v>
      </c>
      <c r="DBK85" s="70">
        <v>0</v>
      </c>
      <c r="DBL85" s="70">
        <v>0</v>
      </c>
      <c r="DBM85" s="70">
        <v>0</v>
      </c>
      <c r="DBN85" s="70">
        <v>0</v>
      </c>
      <c r="DBO85" s="70">
        <v>0</v>
      </c>
      <c r="DBP85" s="70">
        <v>0</v>
      </c>
      <c r="DBQ85" s="70">
        <v>0</v>
      </c>
      <c r="DBR85" s="70">
        <v>0</v>
      </c>
      <c r="DBS85" s="70">
        <v>0</v>
      </c>
      <c r="DBT85" s="70">
        <v>0</v>
      </c>
      <c r="DBU85" s="70">
        <v>0</v>
      </c>
      <c r="DBV85" s="70">
        <v>0</v>
      </c>
      <c r="DBW85" s="70">
        <v>0</v>
      </c>
      <c r="DBX85" s="70">
        <v>0</v>
      </c>
      <c r="DBY85" s="70">
        <v>0</v>
      </c>
      <c r="DBZ85" s="70">
        <v>0</v>
      </c>
      <c r="DCA85" s="70">
        <v>0</v>
      </c>
      <c r="DCB85" s="70">
        <v>0</v>
      </c>
      <c r="DCC85" s="70">
        <v>0</v>
      </c>
      <c r="DCD85" s="70">
        <v>0</v>
      </c>
      <c r="DCE85" s="70">
        <v>0</v>
      </c>
      <c r="DCF85" s="70">
        <v>0</v>
      </c>
      <c r="DCG85" s="70">
        <v>0</v>
      </c>
      <c r="DCH85" s="70">
        <v>0</v>
      </c>
      <c r="DCI85" s="70">
        <v>0</v>
      </c>
      <c r="DCJ85" s="70">
        <v>0</v>
      </c>
      <c r="DCK85" s="70">
        <v>0</v>
      </c>
      <c r="DCL85" s="70">
        <v>0</v>
      </c>
      <c r="DCM85" s="70">
        <v>0</v>
      </c>
      <c r="DCN85" s="70">
        <v>0</v>
      </c>
      <c r="DCO85" s="70">
        <v>0</v>
      </c>
      <c r="DCP85" s="70">
        <v>0</v>
      </c>
      <c r="DCQ85" s="70">
        <v>0</v>
      </c>
      <c r="DCR85" s="70">
        <v>0</v>
      </c>
      <c r="DCS85" s="70">
        <v>0</v>
      </c>
      <c r="DCT85" s="70">
        <v>0</v>
      </c>
      <c r="DCU85" s="70">
        <v>0</v>
      </c>
      <c r="DCV85" s="70">
        <v>0</v>
      </c>
      <c r="DCW85" s="70">
        <v>0</v>
      </c>
      <c r="DCX85" s="70">
        <v>0</v>
      </c>
      <c r="DCY85" s="70">
        <v>0</v>
      </c>
      <c r="DCZ85" s="70">
        <v>0</v>
      </c>
      <c r="DDA85" s="70">
        <v>0</v>
      </c>
      <c r="DDB85" s="70">
        <v>0</v>
      </c>
      <c r="DDC85" s="70">
        <v>0</v>
      </c>
      <c r="DDD85" s="70">
        <v>0</v>
      </c>
      <c r="DDE85" s="70">
        <v>0</v>
      </c>
      <c r="DDF85" s="70">
        <v>0</v>
      </c>
      <c r="DDG85" s="70">
        <v>0</v>
      </c>
      <c r="DDH85" s="70">
        <v>0</v>
      </c>
      <c r="DDI85" s="70">
        <v>0</v>
      </c>
      <c r="DDJ85" s="70">
        <v>0</v>
      </c>
      <c r="DDK85" s="70">
        <v>0</v>
      </c>
      <c r="DDL85" s="70">
        <v>0</v>
      </c>
      <c r="DDM85" s="70">
        <v>0</v>
      </c>
      <c r="DDN85" s="70">
        <v>0</v>
      </c>
      <c r="DDO85" s="70">
        <v>0</v>
      </c>
      <c r="DDP85" s="70">
        <v>0</v>
      </c>
      <c r="DDQ85" s="70">
        <v>0</v>
      </c>
      <c r="DDR85" s="70">
        <v>0</v>
      </c>
      <c r="DDS85" s="70">
        <v>0</v>
      </c>
      <c r="DDT85" s="70">
        <v>0</v>
      </c>
      <c r="DDU85" s="70">
        <v>0</v>
      </c>
      <c r="DDV85" s="70">
        <v>0</v>
      </c>
      <c r="DDW85" s="70">
        <v>0</v>
      </c>
      <c r="DDX85" s="70">
        <v>0</v>
      </c>
      <c r="DDY85" s="70">
        <v>0</v>
      </c>
      <c r="DDZ85" s="70">
        <v>0</v>
      </c>
      <c r="DEA85" s="70">
        <v>0</v>
      </c>
      <c r="DEB85" s="70">
        <v>0</v>
      </c>
      <c r="DEC85" s="70">
        <v>0</v>
      </c>
      <c r="DED85" s="70">
        <v>0</v>
      </c>
      <c r="DEE85" s="70">
        <v>0</v>
      </c>
      <c r="DEF85" s="70">
        <v>0</v>
      </c>
      <c r="DEG85" s="70">
        <v>0</v>
      </c>
      <c r="DEH85" s="70">
        <v>0</v>
      </c>
      <c r="DEI85" s="70">
        <v>0</v>
      </c>
      <c r="DEJ85" s="70">
        <v>0</v>
      </c>
      <c r="DEK85" s="70">
        <v>0</v>
      </c>
      <c r="DEL85" s="70">
        <v>0</v>
      </c>
      <c r="DEM85" s="70">
        <v>0</v>
      </c>
      <c r="DEN85" s="70">
        <v>0</v>
      </c>
      <c r="DEO85" s="70">
        <v>0</v>
      </c>
      <c r="DEP85" s="70">
        <v>0</v>
      </c>
      <c r="DEQ85" s="70">
        <v>0</v>
      </c>
      <c r="DER85" s="70">
        <v>0</v>
      </c>
      <c r="DES85" s="70">
        <v>0</v>
      </c>
      <c r="DET85" s="70">
        <v>0</v>
      </c>
      <c r="DEU85" s="70">
        <v>0</v>
      </c>
      <c r="DEV85" s="70">
        <v>0</v>
      </c>
      <c r="DEW85" s="70">
        <v>0</v>
      </c>
      <c r="DEX85" s="70">
        <v>0</v>
      </c>
      <c r="DEY85" s="70">
        <v>0</v>
      </c>
      <c r="DEZ85" s="70">
        <v>0</v>
      </c>
      <c r="DFA85" s="70">
        <v>0</v>
      </c>
      <c r="DFB85" s="70">
        <v>0</v>
      </c>
      <c r="DFC85" s="70">
        <v>0</v>
      </c>
      <c r="DFD85" s="70">
        <v>0</v>
      </c>
      <c r="DFE85" s="70">
        <v>0</v>
      </c>
      <c r="DFF85" s="70">
        <v>0</v>
      </c>
      <c r="DFG85" s="70">
        <v>0</v>
      </c>
      <c r="DFH85" s="70">
        <v>0</v>
      </c>
      <c r="DFI85" s="70">
        <v>0</v>
      </c>
      <c r="DFJ85" s="70">
        <v>0</v>
      </c>
      <c r="DFK85" s="70">
        <v>0</v>
      </c>
      <c r="DFL85" s="70">
        <v>0</v>
      </c>
      <c r="DFM85" s="70">
        <v>0</v>
      </c>
      <c r="DFN85" s="70">
        <v>0</v>
      </c>
      <c r="DFO85" s="70">
        <v>0</v>
      </c>
      <c r="DFP85" s="70">
        <v>0</v>
      </c>
      <c r="DFQ85" s="70">
        <v>0</v>
      </c>
      <c r="DFR85" s="70">
        <v>0</v>
      </c>
      <c r="DFS85" s="70">
        <v>0</v>
      </c>
      <c r="DFT85" s="70">
        <v>0</v>
      </c>
      <c r="DFU85" s="70">
        <v>0</v>
      </c>
      <c r="DFV85" s="70">
        <v>0</v>
      </c>
      <c r="DFW85" s="70">
        <v>0</v>
      </c>
      <c r="DFX85" s="70">
        <v>0</v>
      </c>
      <c r="DFY85" s="70">
        <v>0</v>
      </c>
      <c r="DFZ85" s="70">
        <v>0</v>
      </c>
      <c r="DGA85" s="70">
        <v>0</v>
      </c>
      <c r="DGB85" s="70">
        <v>0</v>
      </c>
      <c r="DGC85" s="70">
        <v>0</v>
      </c>
      <c r="DGD85" s="70">
        <v>0</v>
      </c>
      <c r="DGE85" s="70">
        <v>0</v>
      </c>
      <c r="DGF85" s="70">
        <v>0</v>
      </c>
      <c r="DGG85" s="70">
        <v>0</v>
      </c>
      <c r="DGH85" s="70">
        <v>0</v>
      </c>
      <c r="DGI85" s="70">
        <v>0</v>
      </c>
      <c r="DGJ85" s="70">
        <v>0</v>
      </c>
      <c r="DGK85" s="70">
        <v>0</v>
      </c>
      <c r="DGL85" s="70">
        <v>0</v>
      </c>
      <c r="DGM85" s="70">
        <v>0</v>
      </c>
      <c r="DGN85" s="70">
        <v>0</v>
      </c>
      <c r="DGO85" s="70">
        <v>0</v>
      </c>
      <c r="DGP85" s="70">
        <v>0</v>
      </c>
      <c r="DGQ85" s="70">
        <v>0</v>
      </c>
      <c r="DGR85" s="70">
        <v>0</v>
      </c>
      <c r="DGS85" s="70">
        <v>0</v>
      </c>
      <c r="DGT85" s="70">
        <v>0</v>
      </c>
      <c r="DGU85" s="70">
        <v>0</v>
      </c>
      <c r="DGV85" s="70">
        <v>0</v>
      </c>
      <c r="DGW85" s="70">
        <v>0</v>
      </c>
      <c r="DGX85" s="70">
        <v>0</v>
      </c>
      <c r="DGY85" s="70">
        <v>0</v>
      </c>
      <c r="DGZ85" s="70">
        <v>0</v>
      </c>
      <c r="DHA85" s="70">
        <v>0</v>
      </c>
      <c r="DHB85" s="70">
        <v>0</v>
      </c>
      <c r="DHC85" s="70">
        <v>0</v>
      </c>
      <c r="DHD85" s="70">
        <v>0</v>
      </c>
      <c r="DHE85" s="70">
        <v>0</v>
      </c>
      <c r="DHF85" s="70">
        <v>0</v>
      </c>
      <c r="DHG85" s="70">
        <v>0</v>
      </c>
      <c r="DHH85" s="70">
        <v>0</v>
      </c>
      <c r="DHI85" s="70">
        <v>0</v>
      </c>
      <c r="DHJ85" s="70">
        <v>0</v>
      </c>
      <c r="DHK85" s="70">
        <v>0</v>
      </c>
      <c r="DHL85" s="70">
        <v>0</v>
      </c>
      <c r="DHM85" s="70">
        <v>0</v>
      </c>
      <c r="DHN85" s="70">
        <v>0</v>
      </c>
      <c r="DHO85" s="70">
        <v>0</v>
      </c>
      <c r="DHP85" s="70">
        <v>0</v>
      </c>
      <c r="DHQ85" s="70">
        <v>0</v>
      </c>
      <c r="DHR85" s="70">
        <v>0</v>
      </c>
      <c r="DHS85" s="70">
        <v>0</v>
      </c>
      <c r="DHT85" s="70">
        <v>0</v>
      </c>
      <c r="DHU85" s="70">
        <v>0</v>
      </c>
      <c r="DHV85" s="70">
        <v>0</v>
      </c>
      <c r="DHW85" s="70">
        <v>0</v>
      </c>
      <c r="DHX85" s="70">
        <v>0</v>
      </c>
      <c r="DHY85" s="70">
        <v>0</v>
      </c>
      <c r="DHZ85" s="70">
        <v>0</v>
      </c>
      <c r="DIA85" s="70">
        <v>0</v>
      </c>
      <c r="DIB85" s="70">
        <v>0</v>
      </c>
      <c r="DIC85" s="70">
        <v>0</v>
      </c>
      <c r="DID85" s="70">
        <v>0</v>
      </c>
      <c r="DIE85" s="70">
        <v>0</v>
      </c>
      <c r="DIF85" s="70">
        <v>0</v>
      </c>
      <c r="DIG85" s="70">
        <v>0</v>
      </c>
      <c r="DIH85" s="70">
        <v>0</v>
      </c>
      <c r="DII85" s="70">
        <v>0</v>
      </c>
      <c r="DIJ85" s="70">
        <v>0</v>
      </c>
      <c r="DIK85" s="70">
        <v>0</v>
      </c>
      <c r="DIL85" s="70">
        <v>0</v>
      </c>
      <c r="DIM85" s="70">
        <v>0</v>
      </c>
      <c r="DIN85" s="70">
        <v>0</v>
      </c>
      <c r="DIO85" s="70">
        <v>0</v>
      </c>
      <c r="DIP85" s="70">
        <v>0</v>
      </c>
      <c r="DIQ85" s="70">
        <v>0</v>
      </c>
      <c r="DIR85" s="70">
        <v>0</v>
      </c>
      <c r="DIS85" s="70">
        <v>0</v>
      </c>
      <c r="DIT85" s="70">
        <v>0</v>
      </c>
      <c r="DIU85" s="70">
        <v>0</v>
      </c>
      <c r="DIV85" s="70">
        <v>0</v>
      </c>
      <c r="DIW85" s="70">
        <v>0</v>
      </c>
      <c r="DIX85" s="70">
        <v>0</v>
      </c>
      <c r="DIY85" s="70">
        <v>0</v>
      </c>
      <c r="DIZ85" s="70">
        <v>0</v>
      </c>
      <c r="DJA85" s="70">
        <v>0</v>
      </c>
      <c r="DJB85" s="70">
        <v>0</v>
      </c>
      <c r="DJC85" s="70">
        <v>0</v>
      </c>
      <c r="DJD85" s="70">
        <v>0</v>
      </c>
      <c r="DJE85" s="70">
        <v>0</v>
      </c>
      <c r="DJF85" s="70">
        <v>0</v>
      </c>
      <c r="DJG85" s="70">
        <v>0</v>
      </c>
      <c r="DJH85" s="70">
        <v>0</v>
      </c>
      <c r="DJI85" s="70">
        <v>0</v>
      </c>
      <c r="DJJ85" s="70">
        <v>0</v>
      </c>
      <c r="DJK85" s="70">
        <v>0</v>
      </c>
      <c r="DJL85" s="70">
        <v>0</v>
      </c>
      <c r="DJM85" s="70">
        <v>0</v>
      </c>
      <c r="DJN85" s="70">
        <v>0</v>
      </c>
      <c r="DJO85" s="70">
        <v>0</v>
      </c>
      <c r="DJP85" s="70">
        <v>0</v>
      </c>
      <c r="DJQ85" s="70">
        <v>0</v>
      </c>
      <c r="DJR85" s="70">
        <v>0</v>
      </c>
      <c r="DJS85" s="70">
        <v>0</v>
      </c>
      <c r="DJT85" s="70">
        <v>0</v>
      </c>
      <c r="DJU85" s="70">
        <v>0</v>
      </c>
      <c r="DJV85" s="70">
        <v>0</v>
      </c>
      <c r="DJW85" s="70">
        <v>0</v>
      </c>
      <c r="DJX85" s="70">
        <v>0</v>
      </c>
      <c r="DJY85" s="70">
        <v>0</v>
      </c>
      <c r="DJZ85" s="70">
        <v>0</v>
      </c>
      <c r="DKA85" s="70">
        <v>0</v>
      </c>
      <c r="DKB85" s="70">
        <v>0</v>
      </c>
      <c r="DKC85" s="70">
        <v>0</v>
      </c>
      <c r="DKD85" s="70">
        <v>0</v>
      </c>
      <c r="DKE85" s="70">
        <v>0</v>
      </c>
      <c r="DKF85" s="70">
        <v>0</v>
      </c>
      <c r="DKG85" s="70">
        <v>0</v>
      </c>
      <c r="DKH85" s="70">
        <v>0</v>
      </c>
      <c r="DKI85" s="70">
        <v>0</v>
      </c>
      <c r="DKJ85" s="70">
        <v>0</v>
      </c>
      <c r="DKK85" s="70">
        <v>0</v>
      </c>
      <c r="DKL85" s="70">
        <v>0</v>
      </c>
      <c r="DKM85" s="70">
        <v>0</v>
      </c>
      <c r="DKN85" s="70">
        <v>0</v>
      </c>
      <c r="DKO85" s="70">
        <v>0</v>
      </c>
      <c r="DKP85" s="70">
        <v>0</v>
      </c>
      <c r="DKQ85" s="70">
        <v>0</v>
      </c>
      <c r="DKR85" s="70">
        <v>0</v>
      </c>
      <c r="DKS85" s="70">
        <v>0</v>
      </c>
      <c r="DKT85" s="70">
        <v>0</v>
      </c>
      <c r="DKU85" s="70">
        <v>0</v>
      </c>
      <c r="DKV85" s="70">
        <v>0</v>
      </c>
      <c r="DKW85" s="70">
        <v>0</v>
      </c>
      <c r="DKX85" s="70">
        <v>0</v>
      </c>
      <c r="DKY85" s="70">
        <v>0</v>
      </c>
      <c r="DKZ85" s="70">
        <v>0</v>
      </c>
      <c r="DLA85" s="70">
        <v>0</v>
      </c>
      <c r="DLB85" s="70">
        <v>0</v>
      </c>
      <c r="DLC85" s="70">
        <v>0</v>
      </c>
      <c r="DLD85" s="70">
        <v>0</v>
      </c>
      <c r="DLE85" s="70">
        <v>0</v>
      </c>
      <c r="DLF85" s="70">
        <v>0</v>
      </c>
      <c r="DLG85" s="70">
        <v>0</v>
      </c>
      <c r="DLH85" s="70">
        <v>0</v>
      </c>
      <c r="DLI85" s="70">
        <v>0</v>
      </c>
      <c r="DLJ85" s="70">
        <v>0</v>
      </c>
      <c r="DLK85" s="70">
        <v>0</v>
      </c>
      <c r="DLL85" s="70">
        <v>0</v>
      </c>
      <c r="DLM85" s="70">
        <v>0</v>
      </c>
      <c r="DLN85" s="70">
        <v>0</v>
      </c>
      <c r="DLO85" s="70">
        <v>0</v>
      </c>
      <c r="DLP85" s="70">
        <v>0</v>
      </c>
      <c r="DLQ85" s="70">
        <v>0</v>
      </c>
      <c r="DLR85" s="70">
        <v>0</v>
      </c>
      <c r="DLS85" s="70">
        <v>0</v>
      </c>
      <c r="DLT85" s="70">
        <v>0</v>
      </c>
      <c r="DLU85" s="70">
        <v>0</v>
      </c>
      <c r="DLV85" s="70">
        <v>0</v>
      </c>
      <c r="DLW85" s="70">
        <v>0</v>
      </c>
      <c r="DLX85" s="70">
        <v>0</v>
      </c>
      <c r="DLY85" s="70">
        <v>0</v>
      </c>
      <c r="DLZ85" s="70">
        <v>0</v>
      </c>
      <c r="DMA85" s="70">
        <v>0</v>
      </c>
      <c r="DMB85" s="70">
        <v>0</v>
      </c>
      <c r="DMC85" s="70">
        <v>0</v>
      </c>
      <c r="DMD85" s="70">
        <v>0</v>
      </c>
      <c r="DME85" s="70">
        <v>0</v>
      </c>
      <c r="DMF85" s="70">
        <v>0</v>
      </c>
      <c r="DMG85" s="70">
        <v>0</v>
      </c>
      <c r="DMH85" s="70">
        <v>0</v>
      </c>
      <c r="DMI85" s="70">
        <v>0</v>
      </c>
      <c r="DMJ85" s="70">
        <v>0</v>
      </c>
      <c r="DMK85" s="70">
        <v>0</v>
      </c>
      <c r="DML85" s="70">
        <v>0</v>
      </c>
      <c r="DMM85" s="70">
        <v>0</v>
      </c>
      <c r="DMN85" s="70">
        <v>0</v>
      </c>
      <c r="DMO85" s="70">
        <v>0</v>
      </c>
      <c r="DMP85" s="70">
        <v>0</v>
      </c>
      <c r="DMQ85" s="70">
        <v>0</v>
      </c>
      <c r="DMR85" s="70">
        <v>0</v>
      </c>
      <c r="DMS85" s="70">
        <v>0</v>
      </c>
      <c r="DMT85" s="70">
        <v>0</v>
      </c>
      <c r="DMU85" s="70">
        <v>0</v>
      </c>
      <c r="DMV85" s="70">
        <v>0</v>
      </c>
      <c r="DMW85" s="70">
        <v>0</v>
      </c>
      <c r="DMX85" s="70">
        <v>0</v>
      </c>
      <c r="DMY85" s="70">
        <v>0</v>
      </c>
      <c r="DMZ85" s="70">
        <v>0</v>
      </c>
      <c r="DNA85" s="70">
        <v>0</v>
      </c>
      <c r="DNB85" s="70">
        <v>0</v>
      </c>
      <c r="DNC85" s="70">
        <v>0</v>
      </c>
      <c r="DND85" s="70">
        <v>0</v>
      </c>
      <c r="DNE85" s="70">
        <v>0</v>
      </c>
      <c r="DNF85" s="70">
        <v>0</v>
      </c>
      <c r="DNG85" s="70">
        <v>0</v>
      </c>
      <c r="DNH85" s="70">
        <v>0</v>
      </c>
      <c r="DNI85" s="70">
        <v>0</v>
      </c>
      <c r="DNJ85" s="70">
        <v>0</v>
      </c>
      <c r="DNK85" s="70">
        <v>0</v>
      </c>
      <c r="DNL85" s="70">
        <v>0</v>
      </c>
      <c r="DNM85" s="70">
        <v>0</v>
      </c>
      <c r="DNN85" s="70">
        <v>0</v>
      </c>
      <c r="DNO85" s="70">
        <v>0</v>
      </c>
      <c r="DNP85" s="70">
        <v>0</v>
      </c>
      <c r="DNQ85" s="70">
        <v>0</v>
      </c>
      <c r="DNR85" s="70">
        <v>0</v>
      </c>
      <c r="DNS85" s="70">
        <v>0</v>
      </c>
      <c r="DNT85" s="70">
        <v>0</v>
      </c>
      <c r="DNU85" s="70">
        <v>0</v>
      </c>
      <c r="DNV85" s="70">
        <v>0</v>
      </c>
      <c r="DNW85" s="70">
        <v>0</v>
      </c>
      <c r="DNX85" s="70">
        <v>0</v>
      </c>
      <c r="DNY85" s="70">
        <v>0</v>
      </c>
      <c r="DNZ85" s="70">
        <v>0</v>
      </c>
      <c r="DOA85" s="70">
        <v>0</v>
      </c>
      <c r="DOB85" s="70">
        <v>0</v>
      </c>
      <c r="DOC85" s="70">
        <v>0</v>
      </c>
      <c r="DOD85" s="70">
        <v>0</v>
      </c>
      <c r="DOE85" s="70">
        <v>0</v>
      </c>
      <c r="DOF85" s="70">
        <v>0</v>
      </c>
      <c r="DOG85" s="70">
        <v>0</v>
      </c>
      <c r="DOH85" s="70">
        <v>0</v>
      </c>
      <c r="DOI85" s="70">
        <v>0</v>
      </c>
      <c r="DOJ85" s="70">
        <v>0</v>
      </c>
      <c r="DOK85" s="70">
        <v>0</v>
      </c>
      <c r="DOL85" s="70">
        <v>0</v>
      </c>
      <c r="DOM85" s="70">
        <v>0</v>
      </c>
      <c r="DON85" s="70">
        <v>0</v>
      </c>
      <c r="DOO85" s="70">
        <v>0</v>
      </c>
      <c r="DOP85" s="70">
        <v>0</v>
      </c>
      <c r="DOQ85" s="70">
        <v>0</v>
      </c>
      <c r="DOR85" s="70">
        <v>0</v>
      </c>
      <c r="DOS85" s="70">
        <v>0</v>
      </c>
      <c r="DOT85" s="70">
        <v>0</v>
      </c>
      <c r="DOU85" s="70">
        <v>0</v>
      </c>
      <c r="DOV85" s="70">
        <v>0</v>
      </c>
      <c r="DOW85" s="70">
        <v>0</v>
      </c>
      <c r="DOX85" s="70">
        <v>0</v>
      </c>
      <c r="DOY85" s="70">
        <v>0</v>
      </c>
      <c r="DOZ85" s="70">
        <v>0</v>
      </c>
      <c r="DPA85" s="70">
        <v>0</v>
      </c>
      <c r="DPB85" s="70">
        <v>0</v>
      </c>
      <c r="DPC85" s="70">
        <v>0</v>
      </c>
      <c r="DPD85" s="70">
        <v>0</v>
      </c>
      <c r="DPE85" s="70">
        <v>0</v>
      </c>
      <c r="DPF85" s="70">
        <v>0</v>
      </c>
      <c r="DPG85" s="70">
        <v>0</v>
      </c>
      <c r="DPH85" s="70">
        <v>0</v>
      </c>
      <c r="DPI85" s="70">
        <v>0</v>
      </c>
      <c r="DPJ85" s="70">
        <v>0</v>
      </c>
      <c r="DPK85" s="70">
        <v>0</v>
      </c>
      <c r="DPL85" s="70">
        <v>0</v>
      </c>
      <c r="DPM85" s="70">
        <v>0</v>
      </c>
      <c r="DPN85" s="70">
        <v>0</v>
      </c>
      <c r="DPO85" s="70">
        <v>0</v>
      </c>
      <c r="DPP85" s="70">
        <v>0</v>
      </c>
      <c r="DPQ85" s="70">
        <v>0</v>
      </c>
      <c r="DPR85" s="70">
        <v>0</v>
      </c>
      <c r="DPS85" s="70">
        <v>0</v>
      </c>
      <c r="DPT85" s="70">
        <v>0</v>
      </c>
      <c r="DPU85" s="70">
        <v>0</v>
      </c>
      <c r="DPV85" s="70">
        <v>0</v>
      </c>
      <c r="DPW85" s="70">
        <v>0</v>
      </c>
      <c r="DPX85" s="70">
        <v>0</v>
      </c>
      <c r="DPY85" s="70">
        <v>0</v>
      </c>
      <c r="DPZ85" s="70">
        <v>0</v>
      </c>
      <c r="DQA85" s="70">
        <v>0</v>
      </c>
      <c r="DQB85" s="70">
        <v>0</v>
      </c>
      <c r="DQC85" s="70">
        <v>0</v>
      </c>
      <c r="DQD85" s="70">
        <v>0</v>
      </c>
      <c r="DQE85" s="70">
        <v>0</v>
      </c>
      <c r="DQF85" s="70">
        <v>0</v>
      </c>
      <c r="DQG85" s="70">
        <v>0</v>
      </c>
      <c r="DQH85" s="70">
        <v>0</v>
      </c>
      <c r="DQI85" s="70">
        <v>0</v>
      </c>
      <c r="DQJ85" s="70">
        <v>0</v>
      </c>
      <c r="DQK85" s="70">
        <v>0</v>
      </c>
      <c r="DQL85" s="70">
        <v>0</v>
      </c>
      <c r="DQM85" s="70">
        <v>0</v>
      </c>
      <c r="DQN85" s="70">
        <v>0</v>
      </c>
      <c r="DQO85" s="70">
        <v>0</v>
      </c>
      <c r="DQP85" s="70">
        <v>0</v>
      </c>
      <c r="DQQ85" s="70">
        <v>0</v>
      </c>
      <c r="DQR85" s="70">
        <v>0</v>
      </c>
      <c r="DQS85" s="70">
        <v>0</v>
      </c>
      <c r="DQT85" s="70">
        <v>0</v>
      </c>
      <c r="DQU85" s="70">
        <v>0</v>
      </c>
      <c r="DQV85" s="70">
        <v>0</v>
      </c>
      <c r="DQW85" s="70">
        <v>0</v>
      </c>
      <c r="DQX85" s="70">
        <v>0</v>
      </c>
      <c r="DQY85" s="70">
        <v>0</v>
      </c>
      <c r="DQZ85" s="70">
        <v>0</v>
      </c>
      <c r="DRA85" s="70">
        <v>0</v>
      </c>
      <c r="DRB85" s="70">
        <v>0</v>
      </c>
      <c r="DRC85" s="70">
        <v>0</v>
      </c>
      <c r="DRD85" s="70">
        <v>0</v>
      </c>
      <c r="DRE85" s="70">
        <v>0</v>
      </c>
      <c r="DRF85" s="70">
        <v>0</v>
      </c>
      <c r="DRG85" s="70">
        <v>0</v>
      </c>
      <c r="DRH85" s="70">
        <v>0</v>
      </c>
      <c r="DRI85" s="70">
        <v>0</v>
      </c>
      <c r="DRJ85" s="70">
        <v>0</v>
      </c>
      <c r="DRK85" s="70">
        <v>0</v>
      </c>
      <c r="DRL85" s="70">
        <v>0</v>
      </c>
      <c r="DRM85" s="70">
        <v>0</v>
      </c>
      <c r="DRN85" s="70">
        <v>0</v>
      </c>
      <c r="DRO85" s="70">
        <v>0</v>
      </c>
      <c r="DRP85" s="70">
        <v>0</v>
      </c>
      <c r="DRQ85" s="70">
        <v>0</v>
      </c>
      <c r="DRR85" s="70">
        <v>0</v>
      </c>
      <c r="DRS85" s="70">
        <v>0</v>
      </c>
      <c r="DRT85" s="70">
        <v>0</v>
      </c>
      <c r="DRU85" s="70">
        <v>0</v>
      </c>
      <c r="DRV85" s="70">
        <v>0</v>
      </c>
      <c r="DRW85" s="70">
        <v>0</v>
      </c>
      <c r="DRX85" s="70">
        <v>0</v>
      </c>
      <c r="DRY85" s="70">
        <v>0</v>
      </c>
      <c r="DRZ85" s="70">
        <v>0</v>
      </c>
      <c r="DSA85" s="70">
        <v>0</v>
      </c>
      <c r="DSB85" s="70">
        <v>0</v>
      </c>
      <c r="DSC85" s="70">
        <v>0</v>
      </c>
      <c r="DSD85" s="70">
        <v>0</v>
      </c>
      <c r="DSE85" s="70">
        <v>0</v>
      </c>
      <c r="DSF85" s="70">
        <v>0</v>
      </c>
      <c r="DSG85" s="70">
        <v>0</v>
      </c>
      <c r="DSH85" s="70">
        <v>0</v>
      </c>
      <c r="DSI85" s="70">
        <v>0</v>
      </c>
      <c r="DSJ85" s="70">
        <v>0</v>
      </c>
      <c r="DSK85" s="70">
        <v>0</v>
      </c>
      <c r="DSL85" s="70">
        <v>0</v>
      </c>
      <c r="DSM85" s="70">
        <v>0</v>
      </c>
      <c r="DSN85" s="70">
        <v>0</v>
      </c>
      <c r="DSO85" s="70">
        <v>0</v>
      </c>
      <c r="DSP85" s="70">
        <v>0</v>
      </c>
      <c r="DSQ85" s="70">
        <v>0</v>
      </c>
      <c r="DSR85" s="70">
        <v>0</v>
      </c>
      <c r="DSS85" s="70">
        <v>0</v>
      </c>
      <c r="DST85" s="70">
        <v>0</v>
      </c>
      <c r="DSU85" s="70">
        <v>0</v>
      </c>
      <c r="DSV85" s="70">
        <v>0</v>
      </c>
      <c r="DSW85" s="70">
        <v>0</v>
      </c>
      <c r="DSX85" s="70">
        <v>0</v>
      </c>
      <c r="DSY85" s="70">
        <v>0</v>
      </c>
      <c r="DSZ85" s="70">
        <v>0</v>
      </c>
      <c r="DTA85" s="70">
        <v>0</v>
      </c>
      <c r="DTB85" s="70">
        <v>0</v>
      </c>
      <c r="DTC85" s="70">
        <v>0</v>
      </c>
      <c r="DTD85" s="70">
        <v>0</v>
      </c>
      <c r="DTE85" s="70">
        <v>0</v>
      </c>
      <c r="DTF85" s="70">
        <v>0</v>
      </c>
      <c r="DTG85" s="70">
        <v>0</v>
      </c>
      <c r="DTH85" s="70">
        <v>0</v>
      </c>
      <c r="DTI85" s="70">
        <v>0</v>
      </c>
      <c r="DTJ85" s="70">
        <v>0</v>
      </c>
      <c r="DTK85" s="70">
        <v>0</v>
      </c>
      <c r="DTL85" s="70">
        <v>0</v>
      </c>
      <c r="DTM85" s="70">
        <v>0</v>
      </c>
      <c r="DTN85" s="70">
        <v>0</v>
      </c>
      <c r="DTO85" s="70">
        <v>0</v>
      </c>
      <c r="DTP85" s="70">
        <v>0</v>
      </c>
      <c r="DTQ85" s="70">
        <v>0</v>
      </c>
      <c r="DTR85" s="70">
        <v>0</v>
      </c>
      <c r="DTS85" s="70">
        <v>0</v>
      </c>
      <c r="DTT85" s="70">
        <v>0</v>
      </c>
      <c r="DTU85" s="70">
        <v>0</v>
      </c>
      <c r="DTV85" s="70">
        <v>0</v>
      </c>
      <c r="DTW85" s="70">
        <v>0</v>
      </c>
      <c r="DTX85" s="70">
        <v>0</v>
      </c>
      <c r="DTY85" s="70">
        <v>0</v>
      </c>
      <c r="DTZ85" s="70">
        <v>0</v>
      </c>
      <c r="DUA85" s="70">
        <v>0</v>
      </c>
      <c r="DUB85" s="70">
        <v>0</v>
      </c>
      <c r="DUC85" s="70">
        <v>0</v>
      </c>
      <c r="DUD85" s="70">
        <v>0</v>
      </c>
      <c r="DUE85" s="70">
        <v>0</v>
      </c>
      <c r="DUF85" s="70">
        <v>0</v>
      </c>
      <c r="DUG85" s="70">
        <v>0</v>
      </c>
      <c r="DUH85" s="70">
        <v>0</v>
      </c>
      <c r="DUI85" s="70">
        <v>0</v>
      </c>
      <c r="DUJ85" s="70">
        <v>0</v>
      </c>
      <c r="DUK85" s="70">
        <v>0</v>
      </c>
      <c r="DUL85" s="70">
        <v>0</v>
      </c>
      <c r="DUM85" s="70">
        <v>0</v>
      </c>
      <c r="DUN85" s="70">
        <v>0</v>
      </c>
      <c r="DUO85" s="70">
        <v>0</v>
      </c>
      <c r="DUP85" s="70">
        <v>0</v>
      </c>
      <c r="DUQ85" s="70">
        <v>0</v>
      </c>
      <c r="DUR85" s="70">
        <v>0</v>
      </c>
      <c r="DUS85" s="70">
        <v>0</v>
      </c>
      <c r="DUT85" s="70">
        <v>0</v>
      </c>
      <c r="DUU85" s="70">
        <v>0</v>
      </c>
      <c r="DUV85" s="70">
        <v>0</v>
      </c>
      <c r="DUW85" s="70">
        <v>0</v>
      </c>
      <c r="DUX85" s="70">
        <v>0</v>
      </c>
      <c r="DUY85" s="70">
        <v>0</v>
      </c>
      <c r="DUZ85" s="70">
        <v>0</v>
      </c>
      <c r="DVA85" s="70">
        <v>0</v>
      </c>
      <c r="DVB85" s="70">
        <v>0</v>
      </c>
      <c r="DVC85" s="70">
        <v>0</v>
      </c>
      <c r="DVD85" s="70">
        <v>0</v>
      </c>
      <c r="DVE85" s="70">
        <v>0</v>
      </c>
      <c r="DVF85" s="70">
        <v>0</v>
      </c>
      <c r="DVG85" s="70">
        <v>0</v>
      </c>
      <c r="DVH85" s="70">
        <v>0</v>
      </c>
      <c r="DVI85" s="70">
        <v>0</v>
      </c>
      <c r="DVJ85" s="70">
        <v>0</v>
      </c>
      <c r="DVK85" s="70">
        <v>0</v>
      </c>
      <c r="DVL85" s="70">
        <v>0</v>
      </c>
      <c r="DVM85" s="70">
        <v>0</v>
      </c>
      <c r="DVN85" s="70">
        <v>0</v>
      </c>
      <c r="DVO85" s="70">
        <v>0</v>
      </c>
      <c r="DVP85" s="70">
        <v>0</v>
      </c>
      <c r="DVQ85" s="70">
        <v>0</v>
      </c>
      <c r="DVR85" s="70">
        <v>0</v>
      </c>
      <c r="DVS85" s="70">
        <v>0</v>
      </c>
      <c r="DVT85" s="70">
        <v>0</v>
      </c>
      <c r="DVU85" s="70">
        <v>0</v>
      </c>
      <c r="DVV85" s="70">
        <v>0</v>
      </c>
      <c r="DVW85" s="70">
        <v>0</v>
      </c>
      <c r="DVX85" s="70">
        <v>0</v>
      </c>
      <c r="DVY85" s="70">
        <v>0</v>
      </c>
      <c r="DVZ85" s="70">
        <v>0</v>
      </c>
      <c r="DWA85" s="70">
        <v>0</v>
      </c>
      <c r="DWB85" s="70">
        <v>0</v>
      </c>
      <c r="DWC85" s="70">
        <v>0</v>
      </c>
      <c r="DWD85" s="70">
        <v>0</v>
      </c>
      <c r="DWE85" s="70">
        <v>0</v>
      </c>
      <c r="DWF85" s="70">
        <v>0</v>
      </c>
      <c r="DWG85" s="70">
        <v>0</v>
      </c>
      <c r="DWH85" s="70">
        <v>0</v>
      </c>
      <c r="DWI85" s="70">
        <v>0</v>
      </c>
      <c r="DWJ85" s="70">
        <v>0</v>
      </c>
      <c r="DWK85" s="70">
        <v>0</v>
      </c>
      <c r="DWL85" s="70">
        <v>0</v>
      </c>
      <c r="DWM85" s="70">
        <v>0</v>
      </c>
      <c r="DWN85" s="70">
        <v>0</v>
      </c>
      <c r="DWO85" s="70">
        <v>0</v>
      </c>
      <c r="DWP85" s="70">
        <v>0</v>
      </c>
      <c r="DWQ85" s="70">
        <v>0</v>
      </c>
      <c r="DWR85" s="70">
        <v>0</v>
      </c>
      <c r="DWS85" s="70">
        <v>0</v>
      </c>
      <c r="DWT85" s="70">
        <v>0</v>
      </c>
      <c r="DWU85" s="70">
        <v>0</v>
      </c>
      <c r="DWV85" s="70">
        <v>0</v>
      </c>
      <c r="DWW85" s="70">
        <v>0</v>
      </c>
      <c r="DWX85" s="70">
        <v>0</v>
      </c>
      <c r="DWY85" s="70">
        <v>0</v>
      </c>
      <c r="DWZ85" s="70">
        <v>0</v>
      </c>
      <c r="DXA85" s="70">
        <v>0</v>
      </c>
      <c r="DXB85" s="70">
        <v>0</v>
      </c>
      <c r="DXC85" s="70">
        <v>0</v>
      </c>
      <c r="DXD85" s="70">
        <v>0</v>
      </c>
      <c r="DXE85" s="70">
        <v>0</v>
      </c>
      <c r="DXF85" s="70">
        <v>0</v>
      </c>
      <c r="DXG85" s="70">
        <v>0</v>
      </c>
      <c r="DXH85" s="70">
        <v>0</v>
      </c>
      <c r="DXI85" s="70">
        <v>0</v>
      </c>
      <c r="DXJ85" s="70">
        <v>0</v>
      </c>
      <c r="DXK85" s="70">
        <v>0</v>
      </c>
      <c r="DXL85" s="70">
        <v>0</v>
      </c>
      <c r="DXM85" s="70">
        <v>0</v>
      </c>
      <c r="DXN85" s="70">
        <v>0</v>
      </c>
      <c r="DXO85" s="70">
        <v>0</v>
      </c>
      <c r="DXP85" s="70">
        <v>0</v>
      </c>
      <c r="DXQ85" s="70">
        <v>0</v>
      </c>
      <c r="DXR85" s="70">
        <v>0</v>
      </c>
      <c r="DXS85" s="70">
        <v>0</v>
      </c>
      <c r="DXT85" s="70">
        <v>0</v>
      </c>
      <c r="DXU85" s="70">
        <v>0</v>
      </c>
      <c r="DXV85" s="70">
        <v>0</v>
      </c>
      <c r="DXW85" s="70">
        <v>0</v>
      </c>
      <c r="DXX85" s="70">
        <v>0</v>
      </c>
      <c r="DXY85" s="70">
        <v>0</v>
      </c>
      <c r="DXZ85" s="70">
        <v>0</v>
      </c>
      <c r="DYA85" s="70">
        <v>0</v>
      </c>
      <c r="DYB85" s="70">
        <v>0</v>
      </c>
      <c r="DYC85" s="70">
        <v>0</v>
      </c>
      <c r="DYD85" s="70">
        <v>0</v>
      </c>
      <c r="DYE85" s="70">
        <v>0</v>
      </c>
      <c r="DYF85" s="70">
        <v>0</v>
      </c>
      <c r="DYG85" s="70">
        <v>0</v>
      </c>
      <c r="DYH85" s="70">
        <v>0</v>
      </c>
      <c r="DYI85" s="70">
        <v>0</v>
      </c>
      <c r="DYJ85" s="70">
        <v>0</v>
      </c>
      <c r="DYK85" s="70">
        <v>0</v>
      </c>
      <c r="DYL85" s="70">
        <v>0</v>
      </c>
      <c r="DYM85" s="70">
        <v>0</v>
      </c>
      <c r="DYN85" s="70">
        <v>0</v>
      </c>
      <c r="DYO85" s="70">
        <v>0</v>
      </c>
      <c r="DYP85" s="70">
        <v>0</v>
      </c>
      <c r="DYQ85" s="70">
        <v>0</v>
      </c>
      <c r="DYR85" s="70">
        <v>0</v>
      </c>
      <c r="DYS85" s="70">
        <v>0</v>
      </c>
      <c r="DYT85" s="70">
        <v>0</v>
      </c>
      <c r="DYU85" s="70">
        <v>0</v>
      </c>
      <c r="DYV85" s="70">
        <v>0</v>
      </c>
      <c r="DYW85" s="70">
        <v>0</v>
      </c>
      <c r="DYX85" s="70">
        <v>0</v>
      </c>
      <c r="DYY85" s="70">
        <v>0</v>
      </c>
      <c r="DYZ85" s="70">
        <v>0</v>
      </c>
      <c r="DZA85" s="70">
        <v>0</v>
      </c>
      <c r="DZB85" s="70">
        <v>0</v>
      </c>
      <c r="DZC85" s="70">
        <v>0</v>
      </c>
      <c r="DZD85" s="70">
        <v>0</v>
      </c>
      <c r="DZE85" s="70">
        <v>0</v>
      </c>
      <c r="DZF85" s="70">
        <v>0</v>
      </c>
      <c r="DZG85" s="70">
        <v>0</v>
      </c>
      <c r="DZH85" s="70">
        <v>0</v>
      </c>
      <c r="DZI85" s="70">
        <v>0</v>
      </c>
      <c r="DZJ85" s="70">
        <v>0</v>
      </c>
      <c r="DZK85" s="70">
        <v>0</v>
      </c>
      <c r="DZL85" s="70">
        <v>0</v>
      </c>
      <c r="DZM85" s="70">
        <v>0</v>
      </c>
      <c r="DZN85" s="70">
        <v>0</v>
      </c>
      <c r="DZO85" s="70">
        <v>0</v>
      </c>
      <c r="DZP85" s="70">
        <v>0</v>
      </c>
      <c r="DZQ85" s="70">
        <v>0</v>
      </c>
      <c r="DZR85" s="70">
        <v>0</v>
      </c>
      <c r="DZS85" s="70">
        <v>0</v>
      </c>
      <c r="DZT85" s="70">
        <v>0</v>
      </c>
      <c r="DZU85" s="70">
        <v>0</v>
      </c>
      <c r="DZV85" s="70">
        <v>0</v>
      </c>
      <c r="DZW85" s="70">
        <v>0</v>
      </c>
      <c r="DZX85" s="70">
        <v>0</v>
      </c>
      <c r="DZY85" s="70">
        <v>0</v>
      </c>
      <c r="DZZ85" s="70">
        <v>0</v>
      </c>
      <c r="EAA85" s="70">
        <v>0</v>
      </c>
      <c r="EAB85" s="70">
        <v>0</v>
      </c>
      <c r="EAC85" s="70">
        <v>0</v>
      </c>
      <c r="EAD85" s="70">
        <v>0</v>
      </c>
      <c r="EAE85" s="70">
        <v>0</v>
      </c>
      <c r="EAF85" s="70">
        <v>0</v>
      </c>
      <c r="EAG85" s="70">
        <v>0</v>
      </c>
      <c r="EAH85" s="70">
        <v>0</v>
      </c>
      <c r="EAI85" s="70">
        <v>0</v>
      </c>
      <c r="EAJ85" s="70">
        <v>0</v>
      </c>
      <c r="EAK85" s="70">
        <v>0</v>
      </c>
      <c r="EAL85" s="70">
        <v>0</v>
      </c>
      <c r="EAM85" s="70">
        <v>0</v>
      </c>
      <c r="EAN85" s="70">
        <v>0</v>
      </c>
      <c r="EAO85" s="70">
        <v>0</v>
      </c>
      <c r="EAP85" s="70">
        <v>0</v>
      </c>
      <c r="EAQ85" s="70">
        <v>0</v>
      </c>
      <c r="EAR85" s="70">
        <v>0</v>
      </c>
      <c r="EAS85" s="70">
        <v>0</v>
      </c>
      <c r="EAT85" s="70">
        <v>0</v>
      </c>
      <c r="EAU85" s="70">
        <v>0</v>
      </c>
      <c r="EAV85" s="70">
        <v>0</v>
      </c>
      <c r="EAW85" s="70">
        <v>0</v>
      </c>
      <c r="EAX85" s="70">
        <v>0</v>
      </c>
      <c r="EAY85" s="70">
        <v>0</v>
      </c>
      <c r="EAZ85" s="70">
        <v>0</v>
      </c>
      <c r="EBA85" s="70">
        <v>0</v>
      </c>
      <c r="EBB85" s="70">
        <v>0</v>
      </c>
      <c r="EBC85" s="70">
        <v>0</v>
      </c>
      <c r="EBD85" s="70">
        <v>0</v>
      </c>
      <c r="EBE85" s="70">
        <v>0</v>
      </c>
      <c r="EBF85" s="70">
        <v>0</v>
      </c>
      <c r="EBG85" s="70">
        <v>0</v>
      </c>
      <c r="EBH85" s="70">
        <v>0</v>
      </c>
      <c r="EBI85" s="70">
        <v>0</v>
      </c>
      <c r="EBJ85" s="70">
        <v>0</v>
      </c>
      <c r="EBK85" s="70">
        <v>0</v>
      </c>
      <c r="EBL85" s="70">
        <v>0</v>
      </c>
      <c r="EBM85" s="70">
        <v>0</v>
      </c>
      <c r="EBN85" s="70">
        <v>0</v>
      </c>
      <c r="EBO85" s="70">
        <v>0</v>
      </c>
      <c r="EBP85" s="70">
        <v>0</v>
      </c>
      <c r="EBQ85" s="70">
        <v>0</v>
      </c>
      <c r="EBR85" s="70">
        <v>0</v>
      </c>
      <c r="EBS85" s="70">
        <v>0</v>
      </c>
      <c r="EBT85" s="70">
        <v>0</v>
      </c>
      <c r="EBU85" s="70">
        <v>0</v>
      </c>
      <c r="EBV85" s="70">
        <v>0</v>
      </c>
      <c r="EBW85" s="70">
        <v>0</v>
      </c>
      <c r="EBX85" s="70">
        <v>0</v>
      </c>
      <c r="EBY85" s="70">
        <v>0</v>
      </c>
      <c r="EBZ85" s="70">
        <v>0</v>
      </c>
      <c r="ECA85" s="70">
        <v>0</v>
      </c>
      <c r="ECB85" s="70">
        <v>0</v>
      </c>
      <c r="ECC85" s="70">
        <v>0</v>
      </c>
      <c r="ECD85" s="70">
        <v>0</v>
      </c>
      <c r="ECE85" s="70">
        <v>0</v>
      </c>
      <c r="ECF85" s="70">
        <v>0</v>
      </c>
      <c r="ECG85" s="70">
        <v>0</v>
      </c>
      <c r="ECH85" s="70">
        <v>0</v>
      </c>
      <c r="ECI85" s="70">
        <v>0</v>
      </c>
      <c r="ECJ85" s="70">
        <v>0</v>
      </c>
      <c r="ECK85" s="70">
        <v>0</v>
      </c>
      <c r="ECL85" s="70">
        <v>0</v>
      </c>
      <c r="ECM85" s="70">
        <v>0</v>
      </c>
      <c r="ECN85" s="70">
        <v>0</v>
      </c>
      <c r="ECO85" s="70">
        <v>0</v>
      </c>
      <c r="ECP85" s="70">
        <v>0</v>
      </c>
      <c r="ECQ85" s="70">
        <v>0</v>
      </c>
      <c r="ECR85" s="70">
        <v>0</v>
      </c>
      <c r="ECS85" s="70">
        <v>0</v>
      </c>
      <c r="ECT85" s="70">
        <v>0</v>
      </c>
      <c r="ECU85" s="70">
        <v>0</v>
      </c>
      <c r="ECV85" s="70">
        <v>0</v>
      </c>
      <c r="ECW85" s="70">
        <v>0</v>
      </c>
      <c r="ECX85" s="70">
        <v>0</v>
      </c>
      <c r="ECY85" s="70">
        <v>0</v>
      </c>
      <c r="ECZ85" s="70">
        <v>0</v>
      </c>
      <c r="EDA85" s="70">
        <v>0</v>
      </c>
      <c r="EDB85" s="70">
        <v>0</v>
      </c>
      <c r="EDC85" s="70">
        <v>0</v>
      </c>
      <c r="EDD85" s="70">
        <v>0</v>
      </c>
      <c r="EDE85" s="70">
        <v>0</v>
      </c>
      <c r="EDF85" s="70">
        <v>0</v>
      </c>
      <c r="EDG85" s="70">
        <v>0</v>
      </c>
      <c r="EDH85" s="70">
        <v>0</v>
      </c>
      <c r="EDI85" s="70">
        <v>0</v>
      </c>
      <c r="EDJ85" s="70">
        <v>0</v>
      </c>
      <c r="EDK85" s="70">
        <v>0</v>
      </c>
      <c r="EDL85" s="70">
        <v>0</v>
      </c>
      <c r="EDM85" s="70">
        <v>0</v>
      </c>
      <c r="EDN85" s="70">
        <v>0</v>
      </c>
      <c r="EDO85" s="70">
        <v>0</v>
      </c>
      <c r="EDP85" s="70">
        <v>0</v>
      </c>
      <c r="EDQ85" s="70">
        <v>0</v>
      </c>
      <c r="EDR85" s="70">
        <v>0</v>
      </c>
      <c r="EDS85" s="70">
        <v>0</v>
      </c>
      <c r="EDT85" s="70">
        <v>0</v>
      </c>
      <c r="EDU85" s="70">
        <v>0</v>
      </c>
      <c r="EDV85" s="70">
        <v>0</v>
      </c>
      <c r="EDW85" s="70">
        <v>0</v>
      </c>
      <c r="EDX85" s="70">
        <v>0</v>
      </c>
      <c r="EDY85" s="70">
        <v>0</v>
      </c>
      <c r="EDZ85" s="70">
        <v>0</v>
      </c>
      <c r="EEA85" s="70">
        <v>0</v>
      </c>
      <c r="EEB85" s="70">
        <v>0</v>
      </c>
      <c r="EEC85" s="70">
        <v>0</v>
      </c>
      <c r="EED85" s="70">
        <v>0</v>
      </c>
      <c r="EEE85" s="70">
        <v>0</v>
      </c>
      <c r="EEF85" s="70">
        <v>0</v>
      </c>
      <c r="EEG85" s="70">
        <v>0</v>
      </c>
      <c r="EEH85" s="70">
        <v>0</v>
      </c>
      <c r="EEI85" s="70">
        <v>0</v>
      </c>
      <c r="EEJ85" s="70">
        <v>0</v>
      </c>
      <c r="EEK85" s="70">
        <v>0</v>
      </c>
      <c r="EEL85" s="70">
        <v>0</v>
      </c>
      <c r="EEM85" s="70">
        <v>0</v>
      </c>
      <c r="EEN85" s="70">
        <v>0</v>
      </c>
      <c r="EEO85" s="70">
        <v>0</v>
      </c>
      <c r="EEP85" s="70">
        <v>0</v>
      </c>
      <c r="EEQ85" s="70">
        <v>0</v>
      </c>
      <c r="EER85" s="70">
        <v>0</v>
      </c>
      <c r="EES85" s="70">
        <v>0</v>
      </c>
      <c r="EET85" s="70">
        <v>0</v>
      </c>
      <c r="EEU85" s="70">
        <v>0</v>
      </c>
      <c r="EEV85" s="70">
        <v>0</v>
      </c>
      <c r="EEW85" s="70">
        <v>0</v>
      </c>
      <c r="EEX85" s="70">
        <v>0</v>
      </c>
      <c r="EEY85" s="70">
        <v>0</v>
      </c>
      <c r="EEZ85" s="70">
        <v>0</v>
      </c>
      <c r="EFA85" s="70">
        <v>0</v>
      </c>
      <c r="EFB85" s="70">
        <v>0</v>
      </c>
      <c r="EFC85" s="70">
        <v>0</v>
      </c>
      <c r="EFD85" s="70">
        <v>0</v>
      </c>
      <c r="EFE85" s="70">
        <v>0</v>
      </c>
      <c r="EFF85" s="70">
        <v>0</v>
      </c>
      <c r="EFG85" s="70">
        <v>0</v>
      </c>
      <c r="EFH85" s="70">
        <v>0</v>
      </c>
      <c r="EFI85" s="70">
        <v>0</v>
      </c>
      <c r="EFJ85" s="70">
        <v>0</v>
      </c>
      <c r="EFK85" s="70">
        <v>0</v>
      </c>
      <c r="EFL85" s="70">
        <v>0</v>
      </c>
      <c r="EFM85" s="70">
        <v>0</v>
      </c>
      <c r="EFN85" s="70">
        <v>0</v>
      </c>
      <c r="EFO85" s="70">
        <v>0</v>
      </c>
      <c r="EFP85" s="70">
        <v>0</v>
      </c>
      <c r="EFQ85" s="70">
        <v>0</v>
      </c>
      <c r="EFR85" s="70">
        <v>0</v>
      </c>
      <c r="EFS85" s="70">
        <v>0</v>
      </c>
      <c r="EFT85" s="70">
        <v>0</v>
      </c>
      <c r="EFU85" s="70">
        <v>0</v>
      </c>
      <c r="EFV85" s="70">
        <v>0</v>
      </c>
      <c r="EFW85" s="70">
        <v>0</v>
      </c>
      <c r="EFX85" s="70">
        <v>0</v>
      </c>
      <c r="EFY85" s="70">
        <v>0</v>
      </c>
      <c r="EFZ85" s="70">
        <v>0</v>
      </c>
      <c r="EGA85" s="70">
        <v>0</v>
      </c>
      <c r="EGB85" s="70">
        <v>0</v>
      </c>
      <c r="EGC85" s="70">
        <v>0</v>
      </c>
      <c r="EGD85" s="70">
        <v>0</v>
      </c>
      <c r="EGE85" s="70">
        <v>0</v>
      </c>
      <c r="EGF85" s="70">
        <v>0</v>
      </c>
      <c r="EGG85" s="70">
        <v>0</v>
      </c>
      <c r="EGH85" s="70">
        <v>0</v>
      </c>
      <c r="EGI85" s="70">
        <v>0</v>
      </c>
      <c r="EGJ85" s="70">
        <v>0</v>
      </c>
      <c r="EGK85" s="70">
        <v>0</v>
      </c>
      <c r="EGL85" s="70">
        <v>0</v>
      </c>
      <c r="EGM85" s="70">
        <v>0</v>
      </c>
      <c r="EGN85" s="70">
        <v>0</v>
      </c>
      <c r="EGO85" s="70">
        <v>0</v>
      </c>
      <c r="EGP85" s="70">
        <v>0</v>
      </c>
      <c r="EGQ85" s="70">
        <v>0</v>
      </c>
      <c r="EGR85" s="70">
        <v>0</v>
      </c>
      <c r="EGS85" s="70">
        <v>0</v>
      </c>
      <c r="EGT85" s="70">
        <v>0</v>
      </c>
      <c r="EGU85" s="70">
        <v>0</v>
      </c>
      <c r="EGV85" s="70">
        <v>0</v>
      </c>
      <c r="EGW85" s="70">
        <v>0</v>
      </c>
      <c r="EGX85" s="70">
        <v>0</v>
      </c>
      <c r="EGY85" s="70">
        <v>0</v>
      </c>
      <c r="EGZ85" s="70">
        <v>0</v>
      </c>
      <c r="EHA85" s="70">
        <v>0</v>
      </c>
      <c r="EHB85" s="70">
        <v>0</v>
      </c>
      <c r="EHC85" s="70">
        <v>0</v>
      </c>
      <c r="EHD85" s="70">
        <v>0</v>
      </c>
      <c r="EHE85" s="70">
        <v>0</v>
      </c>
      <c r="EHF85" s="70">
        <v>0</v>
      </c>
      <c r="EHG85" s="70">
        <v>0</v>
      </c>
      <c r="EHH85" s="70">
        <v>0</v>
      </c>
      <c r="EHI85" s="70">
        <v>0</v>
      </c>
      <c r="EHJ85" s="70">
        <v>0</v>
      </c>
      <c r="EHK85" s="70">
        <v>0</v>
      </c>
      <c r="EHL85" s="70">
        <v>0</v>
      </c>
      <c r="EHM85" s="70">
        <v>0</v>
      </c>
      <c r="EHN85" s="70">
        <v>0</v>
      </c>
      <c r="EHO85" s="70">
        <v>0</v>
      </c>
      <c r="EHP85" s="70">
        <v>0</v>
      </c>
      <c r="EHQ85" s="70">
        <v>0</v>
      </c>
      <c r="EHR85" s="70">
        <v>0</v>
      </c>
      <c r="EHS85" s="70">
        <v>0</v>
      </c>
      <c r="EHT85" s="70">
        <v>0</v>
      </c>
      <c r="EHU85" s="70">
        <v>0</v>
      </c>
      <c r="EHV85" s="70">
        <v>0</v>
      </c>
      <c r="EHW85" s="70">
        <v>0</v>
      </c>
      <c r="EHX85" s="70">
        <v>0</v>
      </c>
      <c r="EHY85" s="70">
        <v>0</v>
      </c>
      <c r="EHZ85" s="70">
        <v>0</v>
      </c>
      <c r="EIA85" s="70">
        <v>0</v>
      </c>
      <c r="EIB85" s="70">
        <v>0</v>
      </c>
      <c r="EIC85" s="70">
        <v>0</v>
      </c>
      <c r="EID85" s="70">
        <v>0</v>
      </c>
      <c r="EIE85" s="70">
        <v>0</v>
      </c>
      <c r="EIF85" s="70">
        <v>0</v>
      </c>
      <c r="EIG85" s="70">
        <v>0</v>
      </c>
      <c r="EIH85" s="70">
        <v>0</v>
      </c>
      <c r="EII85" s="70">
        <v>0</v>
      </c>
      <c r="EIJ85" s="70">
        <v>0</v>
      </c>
      <c r="EIK85" s="70">
        <v>0</v>
      </c>
      <c r="EIL85" s="70">
        <v>0</v>
      </c>
      <c r="EIM85" s="70">
        <v>0</v>
      </c>
      <c r="EIN85" s="70">
        <v>0</v>
      </c>
      <c r="EIO85" s="70">
        <v>0</v>
      </c>
      <c r="EIP85" s="70">
        <v>0</v>
      </c>
      <c r="EIQ85" s="70">
        <v>0</v>
      </c>
      <c r="EIR85" s="70">
        <v>0</v>
      </c>
      <c r="EIS85" s="70">
        <v>0</v>
      </c>
      <c r="EIT85" s="70">
        <v>0</v>
      </c>
      <c r="EIU85" s="70">
        <v>0</v>
      </c>
      <c r="EIV85" s="70">
        <v>0</v>
      </c>
      <c r="EIW85" s="70">
        <v>0</v>
      </c>
      <c r="EIX85" s="70">
        <v>0</v>
      </c>
      <c r="EIY85" s="70">
        <v>0</v>
      </c>
      <c r="EIZ85" s="70">
        <v>0</v>
      </c>
      <c r="EJA85" s="70">
        <v>0</v>
      </c>
      <c r="EJB85" s="70">
        <v>0</v>
      </c>
      <c r="EJC85" s="70">
        <v>0</v>
      </c>
      <c r="EJD85" s="70">
        <v>0</v>
      </c>
      <c r="EJE85" s="70">
        <v>0</v>
      </c>
      <c r="EJF85" s="70">
        <v>0</v>
      </c>
      <c r="EJG85" s="70">
        <v>0</v>
      </c>
      <c r="EJH85" s="70">
        <v>0</v>
      </c>
      <c r="EJI85" s="70">
        <v>0</v>
      </c>
      <c r="EJJ85" s="70">
        <v>0</v>
      </c>
      <c r="EJK85" s="70">
        <v>0</v>
      </c>
      <c r="EJL85" s="70">
        <v>0</v>
      </c>
      <c r="EJM85" s="70">
        <v>0</v>
      </c>
      <c r="EJN85" s="70">
        <v>0</v>
      </c>
      <c r="EJO85" s="70">
        <v>0</v>
      </c>
      <c r="EJP85" s="70">
        <v>0</v>
      </c>
      <c r="EJQ85" s="70">
        <v>0</v>
      </c>
      <c r="EJR85" s="70">
        <v>0</v>
      </c>
      <c r="EJS85" s="70">
        <v>0</v>
      </c>
      <c r="EJT85" s="70">
        <v>0</v>
      </c>
      <c r="EJU85" s="70">
        <v>0</v>
      </c>
      <c r="EJV85" s="70">
        <v>0</v>
      </c>
      <c r="EJW85" s="70">
        <v>0</v>
      </c>
      <c r="EJX85" s="70">
        <v>0</v>
      </c>
      <c r="EJY85" s="70">
        <v>0</v>
      </c>
      <c r="EJZ85" s="70">
        <v>0</v>
      </c>
      <c r="EKA85" s="70">
        <v>0</v>
      </c>
      <c r="EKB85" s="70">
        <v>0</v>
      </c>
      <c r="EKC85" s="70">
        <v>0</v>
      </c>
      <c r="EKD85" s="70">
        <v>0</v>
      </c>
      <c r="EKE85" s="70">
        <v>0</v>
      </c>
      <c r="EKF85" s="70">
        <v>0</v>
      </c>
      <c r="EKG85" s="70">
        <v>0</v>
      </c>
      <c r="EKH85" s="70">
        <v>0</v>
      </c>
      <c r="EKI85" s="70">
        <v>0</v>
      </c>
      <c r="EKJ85" s="70">
        <v>0</v>
      </c>
      <c r="EKK85" s="70">
        <v>0</v>
      </c>
      <c r="EKL85" s="70">
        <v>0</v>
      </c>
      <c r="EKM85" s="70">
        <v>0</v>
      </c>
      <c r="EKN85" s="70">
        <v>0</v>
      </c>
      <c r="EKO85" s="70">
        <v>0</v>
      </c>
      <c r="EKP85" s="70">
        <v>0</v>
      </c>
      <c r="EKQ85" s="70">
        <v>0</v>
      </c>
      <c r="EKR85" s="70">
        <v>0</v>
      </c>
      <c r="EKS85" s="70">
        <v>0</v>
      </c>
      <c r="EKT85" s="70">
        <v>0</v>
      </c>
      <c r="EKU85" s="70">
        <v>0</v>
      </c>
      <c r="EKV85" s="70">
        <v>0</v>
      </c>
      <c r="EKW85" s="70">
        <v>0</v>
      </c>
      <c r="EKX85" s="70">
        <v>0</v>
      </c>
      <c r="EKY85" s="70">
        <v>0</v>
      </c>
      <c r="EKZ85" s="70">
        <v>0</v>
      </c>
      <c r="ELA85" s="70">
        <v>0</v>
      </c>
      <c r="ELB85" s="70">
        <v>0</v>
      </c>
      <c r="ELC85" s="70">
        <v>0</v>
      </c>
      <c r="ELD85" s="70">
        <v>0</v>
      </c>
      <c r="ELE85" s="70">
        <v>0</v>
      </c>
      <c r="ELF85" s="70">
        <v>0</v>
      </c>
      <c r="ELG85" s="70">
        <v>0</v>
      </c>
      <c r="ELH85" s="70">
        <v>0</v>
      </c>
      <c r="ELI85" s="70">
        <v>0</v>
      </c>
      <c r="ELJ85" s="70">
        <v>0</v>
      </c>
      <c r="ELK85" s="70">
        <v>0</v>
      </c>
      <c r="ELL85" s="70">
        <v>0</v>
      </c>
      <c r="ELM85" s="70">
        <v>0</v>
      </c>
      <c r="ELN85" s="70">
        <v>0</v>
      </c>
      <c r="ELO85" s="70">
        <v>0</v>
      </c>
      <c r="ELP85" s="70">
        <v>0</v>
      </c>
      <c r="ELQ85" s="70">
        <v>0</v>
      </c>
      <c r="ELR85" s="70">
        <v>0</v>
      </c>
      <c r="ELS85" s="70">
        <v>0</v>
      </c>
      <c r="ELT85" s="70">
        <v>0</v>
      </c>
      <c r="ELU85" s="70">
        <v>0</v>
      </c>
      <c r="ELV85" s="70">
        <v>0</v>
      </c>
      <c r="ELW85" s="70">
        <v>0</v>
      </c>
      <c r="ELX85" s="70">
        <v>0</v>
      </c>
      <c r="ELY85" s="70">
        <v>0</v>
      </c>
      <c r="ELZ85" s="70">
        <v>0</v>
      </c>
      <c r="EMA85" s="70">
        <v>0</v>
      </c>
      <c r="EMB85" s="70">
        <v>0</v>
      </c>
      <c r="EMC85" s="70">
        <v>0</v>
      </c>
      <c r="EMD85" s="70">
        <v>0</v>
      </c>
      <c r="EME85" s="70">
        <v>0</v>
      </c>
      <c r="EMF85" s="70">
        <v>0</v>
      </c>
      <c r="EMG85" s="70">
        <v>0</v>
      </c>
      <c r="EMH85" s="70">
        <v>0</v>
      </c>
      <c r="EMI85" s="70">
        <v>0</v>
      </c>
      <c r="EMJ85" s="70">
        <v>0</v>
      </c>
      <c r="EMK85" s="70">
        <v>0</v>
      </c>
      <c r="EML85" s="70">
        <v>0</v>
      </c>
      <c r="EMM85" s="70">
        <v>0</v>
      </c>
      <c r="EMN85" s="70">
        <v>0</v>
      </c>
      <c r="EMO85" s="70">
        <v>0</v>
      </c>
      <c r="EMP85" s="70">
        <v>0</v>
      </c>
      <c r="EMQ85" s="70">
        <v>0</v>
      </c>
      <c r="EMR85" s="70">
        <v>0</v>
      </c>
      <c r="EMS85" s="70">
        <v>0</v>
      </c>
      <c r="EMT85" s="70">
        <v>0</v>
      </c>
      <c r="EMU85" s="70">
        <v>0</v>
      </c>
      <c r="EMV85" s="70">
        <v>0</v>
      </c>
      <c r="EMW85" s="70">
        <v>0</v>
      </c>
      <c r="EMX85" s="70">
        <v>0</v>
      </c>
      <c r="EMY85" s="70">
        <v>0</v>
      </c>
      <c r="EMZ85" s="70">
        <v>0</v>
      </c>
      <c r="ENA85" s="70">
        <v>0</v>
      </c>
      <c r="ENB85" s="70">
        <v>0</v>
      </c>
      <c r="ENC85" s="70">
        <v>0</v>
      </c>
      <c r="END85" s="70">
        <v>0</v>
      </c>
      <c r="ENE85" s="70">
        <v>0</v>
      </c>
      <c r="ENF85" s="70">
        <v>0</v>
      </c>
      <c r="ENG85" s="70">
        <v>0</v>
      </c>
      <c r="ENH85" s="70">
        <v>0</v>
      </c>
      <c r="ENI85" s="70">
        <v>0</v>
      </c>
      <c r="ENJ85" s="70">
        <v>0</v>
      </c>
      <c r="ENK85" s="70">
        <v>0</v>
      </c>
      <c r="ENL85" s="70">
        <v>0</v>
      </c>
      <c r="ENM85" s="70">
        <v>0</v>
      </c>
      <c r="ENN85" s="70">
        <v>0</v>
      </c>
      <c r="ENO85" s="70">
        <v>0</v>
      </c>
      <c r="ENP85" s="70">
        <v>0</v>
      </c>
      <c r="ENQ85" s="70">
        <v>0</v>
      </c>
      <c r="ENR85" s="70">
        <v>0</v>
      </c>
      <c r="ENS85" s="70">
        <v>0</v>
      </c>
      <c r="ENT85" s="70">
        <v>0</v>
      </c>
      <c r="ENU85" s="70">
        <v>0</v>
      </c>
      <c r="ENV85" s="70">
        <v>0</v>
      </c>
      <c r="ENW85" s="70">
        <v>0</v>
      </c>
      <c r="ENX85" s="70">
        <v>0</v>
      </c>
      <c r="ENY85" s="70">
        <v>0</v>
      </c>
      <c r="ENZ85" s="70">
        <v>0</v>
      </c>
      <c r="EOA85" s="70">
        <v>0</v>
      </c>
      <c r="EOB85" s="70">
        <v>0</v>
      </c>
      <c r="EOC85" s="70">
        <v>0</v>
      </c>
      <c r="EOD85" s="70">
        <v>0</v>
      </c>
      <c r="EOE85" s="70">
        <v>0</v>
      </c>
      <c r="EOF85" s="70">
        <v>0</v>
      </c>
      <c r="EOG85" s="70">
        <v>0</v>
      </c>
      <c r="EOH85" s="70">
        <v>0</v>
      </c>
      <c r="EOI85" s="70">
        <v>0</v>
      </c>
      <c r="EOJ85" s="70">
        <v>0</v>
      </c>
      <c r="EOK85" s="70">
        <v>0</v>
      </c>
      <c r="EOL85" s="70">
        <v>0</v>
      </c>
      <c r="EOM85" s="70">
        <v>0</v>
      </c>
      <c r="EON85" s="70">
        <v>0</v>
      </c>
      <c r="EOO85" s="70">
        <v>0</v>
      </c>
      <c r="EOP85" s="70">
        <v>0</v>
      </c>
      <c r="EOQ85" s="70">
        <v>0</v>
      </c>
      <c r="EOR85" s="70">
        <v>0</v>
      </c>
      <c r="EOS85" s="70">
        <v>0</v>
      </c>
      <c r="EOT85" s="70">
        <v>0</v>
      </c>
      <c r="EOU85" s="70">
        <v>0</v>
      </c>
      <c r="EOV85" s="70">
        <v>0</v>
      </c>
      <c r="EOW85" s="70">
        <v>0</v>
      </c>
      <c r="EOX85" s="70">
        <v>0</v>
      </c>
      <c r="EOY85" s="70">
        <v>0</v>
      </c>
      <c r="EOZ85" s="70">
        <v>0</v>
      </c>
      <c r="EPA85" s="70">
        <v>0</v>
      </c>
      <c r="EPB85" s="70">
        <v>0</v>
      </c>
      <c r="EPC85" s="70">
        <v>0</v>
      </c>
      <c r="EPD85" s="70">
        <v>0</v>
      </c>
      <c r="EPE85" s="70">
        <v>0</v>
      </c>
      <c r="EPF85" s="70">
        <v>0</v>
      </c>
      <c r="EPG85" s="70">
        <v>0</v>
      </c>
      <c r="EPH85" s="70">
        <v>0</v>
      </c>
      <c r="EPI85" s="70">
        <v>0</v>
      </c>
      <c r="EPJ85" s="70">
        <v>0</v>
      </c>
      <c r="EPK85" s="70">
        <v>0</v>
      </c>
      <c r="EPL85" s="70">
        <v>0</v>
      </c>
      <c r="EPM85" s="70">
        <v>0</v>
      </c>
      <c r="EPN85" s="70">
        <v>0</v>
      </c>
      <c r="EPO85" s="70">
        <v>0</v>
      </c>
      <c r="EPP85" s="70">
        <v>0</v>
      </c>
      <c r="EPQ85" s="70">
        <v>0</v>
      </c>
      <c r="EPR85" s="70">
        <v>0</v>
      </c>
      <c r="EPS85" s="70">
        <v>0</v>
      </c>
      <c r="EPT85" s="70">
        <v>0</v>
      </c>
      <c r="EPU85" s="70">
        <v>0</v>
      </c>
      <c r="EPV85" s="70">
        <v>0</v>
      </c>
      <c r="EPW85" s="70">
        <v>0</v>
      </c>
      <c r="EPX85" s="70">
        <v>0</v>
      </c>
      <c r="EPY85" s="70">
        <v>0</v>
      </c>
      <c r="EPZ85" s="70">
        <v>0</v>
      </c>
      <c r="EQA85" s="70">
        <v>0</v>
      </c>
      <c r="EQB85" s="70">
        <v>0</v>
      </c>
      <c r="EQC85" s="70">
        <v>0</v>
      </c>
      <c r="EQD85" s="70">
        <v>0</v>
      </c>
      <c r="EQE85" s="70">
        <v>0</v>
      </c>
      <c r="EQF85" s="70">
        <v>0</v>
      </c>
      <c r="EQG85" s="70">
        <v>0</v>
      </c>
      <c r="EQH85" s="70">
        <v>0</v>
      </c>
      <c r="EQI85" s="70">
        <v>0</v>
      </c>
      <c r="EQJ85" s="70">
        <v>0</v>
      </c>
      <c r="EQK85" s="70">
        <v>0</v>
      </c>
      <c r="EQL85" s="70">
        <v>0</v>
      </c>
      <c r="EQM85" s="70">
        <v>0</v>
      </c>
      <c r="EQN85" s="70">
        <v>0</v>
      </c>
      <c r="EQO85" s="70">
        <v>0</v>
      </c>
      <c r="EQP85" s="70">
        <v>0</v>
      </c>
      <c r="EQQ85" s="70">
        <v>0</v>
      </c>
      <c r="EQR85" s="70">
        <v>0</v>
      </c>
      <c r="EQS85" s="70">
        <v>0</v>
      </c>
      <c r="EQT85" s="70">
        <v>0</v>
      </c>
      <c r="EQU85" s="70">
        <v>0</v>
      </c>
      <c r="EQV85" s="70">
        <v>0</v>
      </c>
      <c r="EQW85" s="70">
        <v>0</v>
      </c>
      <c r="EQX85" s="70">
        <v>0</v>
      </c>
      <c r="EQY85" s="70">
        <v>0</v>
      </c>
      <c r="EQZ85" s="70">
        <v>0</v>
      </c>
      <c r="ERA85" s="70">
        <v>0</v>
      </c>
      <c r="ERB85" s="70">
        <v>0</v>
      </c>
      <c r="ERC85" s="70">
        <v>0</v>
      </c>
      <c r="ERD85" s="70">
        <v>0</v>
      </c>
      <c r="ERE85" s="70">
        <v>0</v>
      </c>
      <c r="ERF85" s="70">
        <v>0</v>
      </c>
      <c r="ERG85" s="70">
        <v>0</v>
      </c>
      <c r="ERH85" s="70">
        <v>0</v>
      </c>
      <c r="ERI85" s="70">
        <v>0</v>
      </c>
      <c r="ERJ85" s="70">
        <v>0</v>
      </c>
      <c r="ERK85" s="70">
        <v>0</v>
      </c>
      <c r="ERL85" s="70">
        <v>0</v>
      </c>
      <c r="ERM85" s="70">
        <v>0</v>
      </c>
      <c r="ERN85" s="70">
        <v>0</v>
      </c>
      <c r="ERO85" s="70">
        <v>0</v>
      </c>
      <c r="ERP85" s="70">
        <v>0</v>
      </c>
      <c r="ERQ85" s="70">
        <v>0</v>
      </c>
      <c r="ERR85" s="70">
        <v>0</v>
      </c>
      <c r="ERS85" s="70">
        <v>0</v>
      </c>
      <c r="ERT85" s="70">
        <v>0</v>
      </c>
      <c r="ERU85" s="70">
        <v>0</v>
      </c>
      <c r="ERV85" s="70">
        <v>0</v>
      </c>
      <c r="ERW85" s="70">
        <v>0</v>
      </c>
      <c r="ERX85" s="70">
        <v>0</v>
      </c>
      <c r="ERY85" s="70">
        <v>0</v>
      </c>
      <c r="ERZ85" s="70">
        <v>0</v>
      </c>
      <c r="ESA85" s="70">
        <v>0</v>
      </c>
      <c r="ESB85" s="70">
        <v>0</v>
      </c>
      <c r="ESC85" s="70">
        <v>0</v>
      </c>
      <c r="ESD85" s="70">
        <v>0</v>
      </c>
      <c r="ESE85" s="70">
        <v>0</v>
      </c>
      <c r="ESF85" s="70">
        <v>0</v>
      </c>
      <c r="ESG85" s="70">
        <v>0</v>
      </c>
      <c r="ESH85" s="70">
        <v>0</v>
      </c>
      <c r="ESI85" s="70">
        <v>0</v>
      </c>
      <c r="ESJ85" s="70">
        <v>0</v>
      </c>
      <c r="ESK85" s="70">
        <v>0</v>
      </c>
      <c r="ESL85" s="70">
        <v>0</v>
      </c>
      <c r="ESM85" s="70">
        <v>0</v>
      </c>
      <c r="ESN85" s="70">
        <v>0</v>
      </c>
      <c r="ESO85" s="70">
        <v>0</v>
      </c>
      <c r="ESP85" s="70">
        <v>0</v>
      </c>
      <c r="ESQ85" s="70">
        <v>0</v>
      </c>
      <c r="ESR85" s="70">
        <v>0</v>
      </c>
      <c r="ESS85" s="70">
        <v>0</v>
      </c>
      <c r="EST85" s="70">
        <v>0</v>
      </c>
      <c r="ESU85" s="70">
        <v>0</v>
      </c>
      <c r="ESV85" s="70">
        <v>0</v>
      </c>
      <c r="ESW85" s="70">
        <v>0</v>
      </c>
      <c r="ESX85" s="70">
        <v>0</v>
      </c>
      <c r="ESY85" s="70">
        <v>0</v>
      </c>
      <c r="ESZ85" s="70">
        <v>0</v>
      </c>
      <c r="ETA85" s="70">
        <v>0</v>
      </c>
      <c r="ETB85" s="70">
        <v>0</v>
      </c>
      <c r="ETC85" s="70">
        <v>0</v>
      </c>
      <c r="ETD85" s="70">
        <v>0</v>
      </c>
      <c r="ETE85" s="70">
        <v>0</v>
      </c>
      <c r="ETF85" s="70">
        <v>0</v>
      </c>
      <c r="ETG85" s="70">
        <v>0</v>
      </c>
      <c r="ETH85" s="70">
        <v>0</v>
      </c>
      <c r="ETI85" s="70">
        <v>0</v>
      </c>
      <c r="ETJ85" s="70">
        <v>0</v>
      </c>
      <c r="ETK85" s="70">
        <v>0</v>
      </c>
      <c r="ETL85" s="70">
        <v>0</v>
      </c>
      <c r="ETM85" s="70">
        <v>0</v>
      </c>
      <c r="ETN85" s="70">
        <v>0</v>
      </c>
      <c r="ETO85" s="70">
        <v>0</v>
      </c>
      <c r="ETP85" s="70">
        <v>0</v>
      </c>
      <c r="ETQ85" s="70">
        <v>0</v>
      </c>
      <c r="ETR85" s="70">
        <v>0</v>
      </c>
      <c r="ETS85" s="70">
        <v>0</v>
      </c>
      <c r="ETT85" s="70">
        <v>0</v>
      </c>
      <c r="ETU85" s="70">
        <v>0</v>
      </c>
      <c r="ETV85" s="70">
        <v>0</v>
      </c>
      <c r="ETW85" s="70">
        <v>0</v>
      </c>
      <c r="ETX85" s="70">
        <v>0</v>
      </c>
      <c r="ETY85" s="70">
        <v>0</v>
      </c>
      <c r="ETZ85" s="70">
        <v>0</v>
      </c>
      <c r="EUA85" s="70">
        <v>0</v>
      </c>
      <c r="EUB85" s="70">
        <v>0</v>
      </c>
      <c r="EUC85" s="70">
        <v>0</v>
      </c>
      <c r="EUD85" s="70">
        <v>0</v>
      </c>
      <c r="EUE85" s="70">
        <v>0</v>
      </c>
      <c r="EUF85" s="70">
        <v>0</v>
      </c>
      <c r="EUG85" s="70">
        <v>0</v>
      </c>
      <c r="EUH85" s="70">
        <v>0</v>
      </c>
      <c r="EUI85" s="70">
        <v>0</v>
      </c>
      <c r="EUJ85" s="70">
        <v>0</v>
      </c>
      <c r="EUK85" s="70">
        <v>0</v>
      </c>
      <c r="EUL85" s="70">
        <v>0</v>
      </c>
      <c r="EUM85" s="70">
        <v>0</v>
      </c>
      <c r="EUN85" s="70">
        <v>0</v>
      </c>
      <c r="EUO85" s="70">
        <v>0</v>
      </c>
      <c r="EUP85" s="70">
        <v>0</v>
      </c>
      <c r="EUQ85" s="70">
        <v>0</v>
      </c>
      <c r="EUR85" s="70">
        <v>0</v>
      </c>
      <c r="EUS85" s="70">
        <v>0</v>
      </c>
      <c r="EUT85" s="70">
        <v>0</v>
      </c>
      <c r="EUU85" s="70">
        <v>0</v>
      </c>
      <c r="EUV85" s="70">
        <v>0</v>
      </c>
      <c r="EUW85" s="70">
        <v>0</v>
      </c>
      <c r="EUX85" s="70">
        <v>0</v>
      </c>
      <c r="EUY85" s="70">
        <v>0</v>
      </c>
      <c r="EUZ85" s="70">
        <v>0</v>
      </c>
      <c r="EVA85" s="70">
        <v>0</v>
      </c>
      <c r="EVB85" s="70">
        <v>0</v>
      </c>
      <c r="EVC85" s="70">
        <v>0</v>
      </c>
      <c r="EVD85" s="70">
        <v>0</v>
      </c>
      <c r="EVE85" s="70">
        <v>0</v>
      </c>
      <c r="EVF85" s="70">
        <v>0</v>
      </c>
      <c r="EVG85" s="70">
        <v>0</v>
      </c>
      <c r="EVH85" s="70">
        <v>0</v>
      </c>
      <c r="EVI85" s="70">
        <v>0</v>
      </c>
      <c r="EVJ85" s="70">
        <v>0</v>
      </c>
      <c r="EVK85" s="70">
        <v>0</v>
      </c>
      <c r="EVL85" s="70">
        <v>0</v>
      </c>
      <c r="EVM85" s="70">
        <v>0</v>
      </c>
      <c r="EVN85" s="70">
        <v>0</v>
      </c>
      <c r="EVO85" s="70">
        <v>0</v>
      </c>
      <c r="EVP85" s="70">
        <v>0</v>
      </c>
      <c r="EVQ85" s="70">
        <v>0</v>
      </c>
      <c r="EVR85" s="70">
        <v>0</v>
      </c>
      <c r="EVS85" s="70">
        <v>0</v>
      </c>
      <c r="EVT85" s="70">
        <v>0</v>
      </c>
      <c r="EVU85" s="70">
        <v>0</v>
      </c>
      <c r="EVV85" s="70">
        <v>0</v>
      </c>
      <c r="EVW85" s="70">
        <v>0</v>
      </c>
      <c r="EVX85" s="70">
        <v>0</v>
      </c>
      <c r="EVY85" s="70">
        <v>0</v>
      </c>
      <c r="EVZ85" s="70">
        <v>0</v>
      </c>
      <c r="EWA85" s="70">
        <v>0</v>
      </c>
      <c r="EWB85" s="70">
        <v>0</v>
      </c>
      <c r="EWC85" s="70">
        <v>0</v>
      </c>
      <c r="EWD85" s="70">
        <v>0</v>
      </c>
      <c r="EWE85" s="70">
        <v>0</v>
      </c>
      <c r="EWF85" s="70">
        <v>0</v>
      </c>
      <c r="EWG85" s="70">
        <v>0</v>
      </c>
      <c r="EWH85" s="70">
        <v>0</v>
      </c>
      <c r="EWI85" s="70">
        <v>0</v>
      </c>
      <c r="EWJ85" s="70">
        <v>0</v>
      </c>
      <c r="EWK85" s="70">
        <v>0</v>
      </c>
      <c r="EWL85" s="70">
        <v>0</v>
      </c>
      <c r="EWM85" s="70">
        <v>0</v>
      </c>
      <c r="EWN85" s="70">
        <v>0</v>
      </c>
      <c r="EWO85" s="70">
        <v>0</v>
      </c>
      <c r="EWP85" s="70">
        <v>0</v>
      </c>
      <c r="EWQ85" s="70">
        <v>0</v>
      </c>
      <c r="EWR85" s="70">
        <v>0</v>
      </c>
      <c r="EWS85" s="70">
        <v>0</v>
      </c>
      <c r="EWT85" s="70">
        <v>0</v>
      </c>
      <c r="EWU85" s="70">
        <v>0</v>
      </c>
      <c r="EWV85" s="70">
        <v>0</v>
      </c>
      <c r="EWW85" s="70">
        <v>0</v>
      </c>
      <c r="EWX85" s="70">
        <v>0</v>
      </c>
      <c r="EWY85" s="70">
        <v>0</v>
      </c>
      <c r="EWZ85" s="70">
        <v>0</v>
      </c>
      <c r="EXA85" s="70">
        <v>0</v>
      </c>
      <c r="EXB85" s="70">
        <v>0</v>
      </c>
      <c r="EXC85" s="70">
        <v>0</v>
      </c>
      <c r="EXD85" s="70">
        <v>0</v>
      </c>
      <c r="EXE85" s="70">
        <v>0</v>
      </c>
      <c r="EXF85" s="70">
        <v>0</v>
      </c>
      <c r="EXG85" s="70">
        <v>0</v>
      </c>
      <c r="EXH85" s="70">
        <v>0</v>
      </c>
      <c r="EXI85" s="70">
        <v>0</v>
      </c>
      <c r="EXJ85" s="70">
        <v>0</v>
      </c>
      <c r="EXK85" s="70">
        <v>0</v>
      </c>
      <c r="EXL85" s="70">
        <v>0</v>
      </c>
      <c r="EXM85" s="70">
        <v>0</v>
      </c>
      <c r="EXN85" s="70">
        <v>0</v>
      </c>
      <c r="EXO85" s="70">
        <v>0</v>
      </c>
      <c r="EXP85" s="70">
        <v>0</v>
      </c>
      <c r="EXQ85" s="70">
        <v>0</v>
      </c>
      <c r="EXR85" s="70">
        <v>0</v>
      </c>
      <c r="EXS85" s="70">
        <v>0</v>
      </c>
      <c r="EXT85" s="70">
        <v>0</v>
      </c>
      <c r="EXU85" s="70">
        <v>0</v>
      </c>
      <c r="EXV85" s="70">
        <v>0</v>
      </c>
      <c r="EXW85" s="70">
        <v>0</v>
      </c>
      <c r="EXX85" s="70">
        <v>0</v>
      </c>
      <c r="EXY85" s="70">
        <v>0</v>
      </c>
      <c r="EXZ85" s="70">
        <v>0</v>
      </c>
      <c r="EYA85" s="70">
        <v>0</v>
      </c>
      <c r="EYB85" s="70">
        <v>0</v>
      </c>
      <c r="EYC85" s="70">
        <v>0</v>
      </c>
      <c r="EYD85" s="70">
        <v>0</v>
      </c>
      <c r="EYE85" s="70">
        <v>0</v>
      </c>
      <c r="EYF85" s="70">
        <v>0</v>
      </c>
      <c r="EYG85" s="70">
        <v>0</v>
      </c>
      <c r="EYH85" s="70">
        <v>0</v>
      </c>
      <c r="EYI85" s="70">
        <v>0</v>
      </c>
      <c r="EYJ85" s="70">
        <v>0</v>
      </c>
      <c r="EYK85" s="70">
        <v>0</v>
      </c>
      <c r="EYL85" s="70">
        <v>0</v>
      </c>
      <c r="EYM85" s="70">
        <v>0</v>
      </c>
      <c r="EYN85" s="70">
        <v>0</v>
      </c>
      <c r="EYO85" s="70">
        <v>0</v>
      </c>
      <c r="EYP85" s="70">
        <v>0</v>
      </c>
      <c r="EYQ85" s="70">
        <v>0</v>
      </c>
      <c r="EYR85" s="70">
        <v>0</v>
      </c>
      <c r="EYS85" s="70">
        <v>0</v>
      </c>
      <c r="EYT85" s="70">
        <v>0</v>
      </c>
      <c r="EYU85" s="70">
        <v>0</v>
      </c>
      <c r="EYV85" s="70">
        <v>0</v>
      </c>
      <c r="EYW85" s="70">
        <v>0</v>
      </c>
      <c r="EYX85" s="70">
        <v>0</v>
      </c>
      <c r="EYY85" s="70">
        <v>0</v>
      </c>
      <c r="EYZ85" s="70">
        <v>0</v>
      </c>
      <c r="EZA85" s="70">
        <v>0</v>
      </c>
      <c r="EZB85" s="70">
        <v>0</v>
      </c>
      <c r="EZC85" s="70">
        <v>0</v>
      </c>
      <c r="EZD85" s="70">
        <v>0</v>
      </c>
      <c r="EZE85" s="70">
        <v>0</v>
      </c>
      <c r="EZF85" s="70">
        <v>0</v>
      </c>
      <c r="EZG85" s="70">
        <v>0</v>
      </c>
      <c r="EZH85" s="70">
        <v>0</v>
      </c>
      <c r="EZI85" s="70">
        <v>0</v>
      </c>
      <c r="EZJ85" s="70">
        <v>0</v>
      </c>
      <c r="EZK85" s="70">
        <v>0</v>
      </c>
      <c r="EZL85" s="70">
        <v>0</v>
      </c>
      <c r="EZM85" s="70">
        <v>0</v>
      </c>
      <c r="EZN85" s="70">
        <v>0</v>
      </c>
      <c r="EZO85" s="70">
        <v>0</v>
      </c>
      <c r="EZP85" s="70">
        <v>0</v>
      </c>
      <c r="EZQ85" s="70">
        <v>0</v>
      </c>
      <c r="EZR85" s="70">
        <v>0</v>
      </c>
      <c r="EZS85" s="70">
        <v>0</v>
      </c>
      <c r="EZT85" s="70">
        <v>0</v>
      </c>
      <c r="EZU85" s="70">
        <v>0</v>
      </c>
      <c r="EZV85" s="70">
        <v>0</v>
      </c>
      <c r="EZW85" s="70">
        <v>0</v>
      </c>
      <c r="EZX85" s="70">
        <v>0</v>
      </c>
      <c r="EZY85" s="70">
        <v>0</v>
      </c>
      <c r="EZZ85" s="70">
        <v>0</v>
      </c>
      <c r="FAA85" s="70">
        <v>0</v>
      </c>
      <c r="FAB85" s="70">
        <v>0</v>
      </c>
      <c r="FAC85" s="70">
        <v>0</v>
      </c>
      <c r="FAD85" s="70">
        <v>0</v>
      </c>
      <c r="FAE85" s="70">
        <v>0</v>
      </c>
      <c r="FAF85" s="70">
        <v>0</v>
      </c>
      <c r="FAG85" s="70">
        <v>0</v>
      </c>
      <c r="FAH85" s="70">
        <v>0</v>
      </c>
      <c r="FAI85" s="70">
        <v>0</v>
      </c>
      <c r="FAJ85" s="70">
        <v>0</v>
      </c>
      <c r="FAK85" s="70">
        <v>0</v>
      </c>
      <c r="FAL85" s="70">
        <v>0</v>
      </c>
      <c r="FAM85" s="70">
        <v>0</v>
      </c>
      <c r="FAN85" s="70">
        <v>0</v>
      </c>
      <c r="FAO85" s="70">
        <v>0</v>
      </c>
      <c r="FAP85" s="70">
        <v>0</v>
      </c>
      <c r="FAQ85" s="70">
        <v>0</v>
      </c>
      <c r="FAR85" s="70">
        <v>0</v>
      </c>
      <c r="FAS85" s="70">
        <v>0</v>
      </c>
      <c r="FAT85" s="70">
        <v>0</v>
      </c>
      <c r="FAU85" s="70">
        <v>0</v>
      </c>
      <c r="FAV85" s="70">
        <v>0</v>
      </c>
      <c r="FAW85" s="70">
        <v>0</v>
      </c>
      <c r="FAX85" s="70">
        <v>0</v>
      </c>
      <c r="FAY85" s="70">
        <v>0</v>
      </c>
      <c r="FAZ85" s="70">
        <v>0</v>
      </c>
      <c r="FBA85" s="70">
        <v>0</v>
      </c>
      <c r="FBB85" s="70">
        <v>0</v>
      </c>
      <c r="FBC85" s="70">
        <v>0</v>
      </c>
      <c r="FBD85" s="70">
        <v>0</v>
      </c>
      <c r="FBE85" s="70">
        <v>0</v>
      </c>
      <c r="FBF85" s="70">
        <v>0</v>
      </c>
      <c r="FBG85" s="70">
        <v>0</v>
      </c>
      <c r="FBH85" s="70">
        <v>0</v>
      </c>
      <c r="FBI85" s="70">
        <v>0</v>
      </c>
      <c r="FBJ85" s="70">
        <v>0</v>
      </c>
      <c r="FBK85" s="70">
        <v>0</v>
      </c>
      <c r="FBL85" s="70">
        <v>0</v>
      </c>
      <c r="FBM85" s="70">
        <v>0</v>
      </c>
      <c r="FBN85" s="70">
        <v>0</v>
      </c>
      <c r="FBO85" s="70">
        <v>0</v>
      </c>
      <c r="FBP85" s="70">
        <v>0</v>
      </c>
      <c r="FBQ85" s="70">
        <v>0</v>
      </c>
      <c r="FBR85" s="70">
        <v>0</v>
      </c>
      <c r="FBS85" s="70">
        <v>0</v>
      </c>
      <c r="FBT85" s="70">
        <v>0</v>
      </c>
      <c r="FBU85" s="70">
        <v>0</v>
      </c>
      <c r="FBV85" s="70">
        <v>0</v>
      </c>
      <c r="FBW85" s="70">
        <v>0</v>
      </c>
      <c r="FBX85" s="70">
        <v>0</v>
      </c>
      <c r="FBY85" s="70">
        <v>0</v>
      </c>
      <c r="FBZ85" s="70">
        <v>0</v>
      </c>
      <c r="FCA85" s="70">
        <v>0</v>
      </c>
      <c r="FCB85" s="70">
        <v>0</v>
      </c>
      <c r="FCC85" s="70">
        <v>0</v>
      </c>
      <c r="FCD85" s="70">
        <v>0</v>
      </c>
      <c r="FCE85" s="70">
        <v>0</v>
      </c>
      <c r="FCF85" s="70">
        <v>0</v>
      </c>
      <c r="FCG85" s="70">
        <v>0</v>
      </c>
      <c r="FCH85" s="70">
        <v>0</v>
      </c>
      <c r="FCI85" s="70">
        <v>0</v>
      </c>
      <c r="FCJ85" s="70">
        <v>0</v>
      </c>
      <c r="FCK85" s="70">
        <v>0</v>
      </c>
      <c r="FCL85" s="70">
        <v>0</v>
      </c>
      <c r="FCM85" s="70">
        <v>0</v>
      </c>
      <c r="FCN85" s="70">
        <v>0</v>
      </c>
      <c r="FCO85" s="70">
        <v>0</v>
      </c>
      <c r="FCP85" s="70">
        <v>0</v>
      </c>
      <c r="FCQ85" s="70">
        <v>0</v>
      </c>
      <c r="FCR85" s="70">
        <v>0</v>
      </c>
      <c r="FCS85" s="70">
        <v>0</v>
      </c>
      <c r="FCT85" s="70">
        <v>0</v>
      </c>
      <c r="FCU85" s="70">
        <v>0</v>
      </c>
      <c r="FCV85" s="70">
        <v>0</v>
      </c>
      <c r="FCW85" s="70">
        <v>0</v>
      </c>
      <c r="FCX85" s="70">
        <v>0</v>
      </c>
      <c r="FCY85" s="70">
        <v>0</v>
      </c>
      <c r="FCZ85" s="70">
        <v>0</v>
      </c>
      <c r="FDA85" s="70">
        <v>0</v>
      </c>
      <c r="FDB85" s="70">
        <v>0</v>
      </c>
      <c r="FDC85" s="70">
        <v>0</v>
      </c>
      <c r="FDD85" s="70">
        <v>0</v>
      </c>
      <c r="FDE85" s="70">
        <v>0</v>
      </c>
      <c r="FDF85" s="70">
        <v>0</v>
      </c>
      <c r="FDG85" s="70">
        <v>0</v>
      </c>
      <c r="FDH85" s="70">
        <v>0</v>
      </c>
      <c r="FDI85" s="70">
        <v>0</v>
      </c>
      <c r="FDJ85" s="70">
        <v>0</v>
      </c>
      <c r="FDK85" s="70">
        <v>0</v>
      </c>
      <c r="FDL85" s="70">
        <v>0</v>
      </c>
      <c r="FDM85" s="70">
        <v>0</v>
      </c>
      <c r="FDN85" s="70">
        <v>0</v>
      </c>
      <c r="FDO85" s="70">
        <v>0</v>
      </c>
      <c r="FDP85" s="70">
        <v>0</v>
      </c>
      <c r="FDQ85" s="70">
        <v>0</v>
      </c>
      <c r="FDR85" s="70">
        <v>0</v>
      </c>
      <c r="FDS85" s="70">
        <v>0</v>
      </c>
      <c r="FDT85" s="70">
        <v>0</v>
      </c>
      <c r="FDU85" s="70">
        <v>0</v>
      </c>
      <c r="FDV85" s="70">
        <v>0</v>
      </c>
      <c r="FDW85" s="70">
        <v>0</v>
      </c>
      <c r="FDX85" s="70">
        <v>0</v>
      </c>
      <c r="FDY85" s="70">
        <v>0</v>
      </c>
      <c r="FDZ85" s="70">
        <v>0</v>
      </c>
      <c r="FEA85" s="70">
        <v>0</v>
      </c>
      <c r="FEB85" s="70">
        <v>0</v>
      </c>
      <c r="FEC85" s="70">
        <v>0</v>
      </c>
      <c r="FED85" s="70">
        <v>0</v>
      </c>
      <c r="FEE85" s="70">
        <v>0</v>
      </c>
      <c r="FEF85" s="70">
        <v>0</v>
      </c>
      <c r="FEG85" s="70">
        <v>0</v>
      </c>
      <c r="FEH85" s="70">
        <v>0</v>
      </c>
      <c r="FEI85" s="70">
        <v>0</v>
      </c>
      <c r="FEJ85" s="70">
        <v>0</v>
      </c>
      <c r="FEK85" s="70">
        <v>0</v>
      </c>
      <c r="FEL85" s="70">
        <v>0</v>
      </c>
      <c r="FEM85" s="70">
        <v>0</v>
      </c>
      <c r="FEN85" s="70">
        <v>0</v>
      </c>
      <c r="FEO85" s="70">
        <v>0</v>
      </c>
      <c r="FEP85" s="70">
        <v>0</v>
      </c>
      <c r="FEQ85" s="70">
        <v>0</v>
      </c>
      <c r="FER85" s="70">
        <v>0</v>
      </c>
      <c r="FES85" s="70">
        <v>0</v>
      </c>
      <c r="FET85" s="70">
        <v>0</v>
      </c>
      <c r="FEU85" s="70">
        <v>0</v>
      </c>
      <c r="FEV85" s="70">
        <v>0</v>
      </c>
      <c r="FEW85" s="70">
        <v>0</v>
      </c>
      <c r="FEX85" s="70">
        <v>0</v>
      </c>
      <c r="FEY85" s="70">
        <v>0</v>
      </c>
      <c r="FEZ85" s="70">
        <v>0</v>
      </c>
      <c r="FFA85" s="70">
        <v>0</v>
      </c>
      <c r="FFB85" s="70">
        <v>0</v>
      </c>
      <c r="FFC85" s="70">
        <v>0</v>
      </c>
      <c r="FFD85" s="70">
        <v>0</v>
      </c>
      <c r="FFE85" s="70">
        <v>0</v>
      </c>
      <c r="FFF85" s="70">
        <v>0</v>
      </c>
      <c r="FFG85" s="70">
        <v>0</v>
      </c>
      <c r="FFH85" s="70">
        <v>0</v>
      </c>
      <c r="FFI85" s="70">
        <v>0</v>
      </c>
      <c r="FFJ85" s="70">
        <v>0</v>
      </c>
      <c r="FFK85" s="70">
        <v>0</v>
      </c>
      <c r="FFL85" s="70">
        <v>0</v>
      </c>
      <c r="FFM85" s="70">
        <v>0</v>
      </c>
      <c r="FFN85" s="70">
        <v>0</v>
      </c>
      <c r="FFO85" s="70">
        <v>0</v>
      </c>
      <c r="FFP85" s="70">
        <v>0</v>
      </c>
      <c r="FFQ85" s="70">
        <v>0</v>
      </c>
      <c r="FFR85" s="70">
        <v>0</v>
      </c>
      <c r="FFS85" s="70">
        <v>0</v>
      </c>
      <c r="FFT85" s="70">
        <v>0</v>
      </c>
      <c r="FFU85" s="70">
        <v>0</v>
      </c>
      <c r="FFV85" s="70">
        <v>0</v>
      </c>
      <c r="FFW85" s="70">
        <v>0</v>
      </c>
      <c r="FFX85" s="70">
        <v>0</v>
      </c>
      <c r="FFY85" s="70">
        <v>0</v>
      </c>
      <c r="FFZ85" s="70">
        <v>0</v>
      </c>
      <c r="FGA85" s="70">
        <v>0</v>
      </c>
      <c r="FGB85" s="70">
        <v>0</v>
      </c>
      <c r="FGC85" s="70">
        <v>0</v>
      </c>
      <c r="FGD85" s="70">
        <v>0</v>
      </c>
      <c r="FGE85" s="70">
        <v>0</v>
      </c>
      <c r="FGF85" s="70">
        <v>0</v>
      </c>
      <c r="FGG85" s="70">
        <v>0</v>
      </c>
      <c r="FGH85" s="70">
        <v>0</v>
      </c>
      <c r="FGI85" s="70">
        <v>0</v>
      </c>
      <c r="FGJ85" s="70">
        <v>0</v>
      </c>
      <c r="FGK85" s="70">
        <v>0</v>
      </c>
      <c r="FGL85" s="70">
        <v>0</v>
      </c>
      <c r="FGM85" s="70">
        <v>0</v>
      </c>
      <c r="FGN85" s="70">
        <v>0</v>
      </c>
      <c r="FGO85" s="70">
        <v>0</v>
      </c>
      <c r="FGP85" s="70">
        <v>0</v>
      </c>
      <c r="FGQ85" s="70">
        <v>0</v>
      </c>
      <c r="FGR85" s="70">
        <v>0</v>
      </c>
      <c r="FGS85" s="70">
        <v>0</v>
      </c>
      <c r="FGT85" s="70">
        <v>0</v>
      </c>
      <c r="FGU85" s="70">
        <v>0</v>
      </c>
      <c r="FGV85" s="70">
        <v>0</v>
      </c>
      <c r="FGW85" s="70">
        <v>0</v>
      </c>
      <c r="FGX85" s="70">
        <v>0</v>
      </c>
      <c r="FGY85" s="70">
        <v>0</v>
      </c>
      <c r="FGZ85" s="70">
        <v>0</v>
      </c>
      <c r="FHA85" s="70">
        <v>0</v>
      </c>
      <c r="FHB85" s="70">
        <v>0</v>
      </c>
      <c r="FHC85" s="70">
        <v>0</v>
      </c>
      <c r="FHD85" s="70">
        <v>0</v>
      </c>
      <c r="FHE85" s="70">
        <v>0</v>
      </c>
      <c r="FHF85" s="70">
        <v>0</v>
      </c>
      <c r="FHG85" s="70">
        <v>0</v>
      </c>
      <c r="FHH85" s="70">
        <v>0</v>
      </c>
      <c r="FHI85" s="70">
        <v>0</v>
      </c>
      <c r="FHJ85" s="70">
        <v>0</v>
      </c>
      <c r="FHK85" s="70">
        <v>0</v>
      </c>
      <c r="FHL85" s="70">
        <v>0</v>
      </c>
      <c r="FHM85" s="70">
        <v>0</v>
      </c>
      <c r="FHN85" s="70">
        <v>0</v>
      </c>
      <c r="FHO85" s="70">
        <v>0</v>
      </c>
      <c r="FHP85" s="70">
        <v>0</v>
      </c>
      <c r="FHQ85" s="70">
        <v>0</v>
      </c>
      <c r="FHR85" s="70">
        <v>0</v>
      </c>
      <c r="FHS85" s="70">
        <v>0</v>
      </c>
      <c r="FHT85" s="70">
        <v>0</v>
      </c>
      <c r="FHU85" s="70">
        <v>0</v>
      </c>
      <c r="FHV85" s="70">
        <v>0</v>
      </c>
      <c r="FHW85" s="70">
        <v>0</v>
      </c>
      <c r="FHX85" s="70">
        <v>0</v>
      </c>
      <c r="FHY85" s="70">
        <v>0</v>
      </c>
      <c r="FHZ85" s="70">
        <v>0</v>
      </c>
      <c r="FIA85" s="70">
        <v>0</v>
      </c>
      <c r="FIB85" s="70">
        <v>0</v>
      </c>
      <c r="FIC85" s="70">
        <v>0</v>
      </c>
      <c r="FID85" s="70">
        <v>0</v>
      </c>
      <c r="FIE85" s="70">
        <v>0</v>
      </c>
      <c r="FIF85" s="70">
        <v>0</v>
      </c>
      <c r="FIG85" s="70">
        <v>0</v>
      </c>
      <c r="FIH85" s="70">
        <v>0</v>
      </c>
      <c r="FII85" s="70">
        <v>0</v>
      </c>
      <c r="FIJ85" s="70">
        <v>0</v>
      </c>
      <c r="FIK85" s="70">
        <v>0</v>
      </c>
      <c r="FIL85" s="70">
        <v>0</v>
      </c>
      <c r="FIM85" s="70">
        <v>0</v>
      </c>
      <c r="FIN85" s="70">
        <v>0</v>
      </c>
      <c r="FIO85" s="70">
        <v>0</v>
      </c>
      <c r="FIP85" s="70">
        <v>0</v>
      </c>
      <c r="FIQ85" s="70">
        <v>0</v>
      </c>
      <c r="FIR85" s="70">
        <v>0</v>
      </c>
      <c r="FIS85" s="70">
        <v>0</v>
      </c>
      <c r="FIT85" s="70">
        <v>0</v>
      </c>
      <c r="FIU85" s="70">
        <v>0</v>
      </c>
      <c r="FIV85" s="70">
        <v>0</v>
      </c>
      <c r="FIW85" s="70">
        <v>0</v>
      </c>
      <c r="FIX85" s="70">
        <v>0</v>
      </c>
      <c r="FIY85" s="70">
        <v>0</v>
      </c>
      <c r="FIZ85" s="70">
        <v>0</v>
      </c>
      <c r="FJA85" s="70">
        <v>0</v>
      </c>
      <c r="FJB85" s="70">
        <v>0</v>
      </c>
      <c r="FJC85" s="70">
        <v>0</v>
      </c>
      <c r="FJD85" s="70">
        <v>0</v>
      </c>
      <c r="FJE85" s="70">
        <v>0</v>
      </c>
      <c r="FJF85" s="70">
        <v>0</v>
      </c>
      <c r="FJG85" s="70">
        <v>0</v>
      </c>
      <c r="FJH85" s="70">
        <v>0</v>
      </c>
      <c r="FJI85" s="70">
        <v>0</v>
      </c>
      <c r="FJJ85" s="70">
        <v>0</v>
      </c>
      <c r="FJK85" s="70">
        <v>0</v>
      </c>
      <c r="FJL85" s="70">
        <v>0</v>
      </c>
      <c r="FJM85" s="70">
        <v>0</v>
      </c>
      <c r="FJN85" s="70">
        <v>0</v>
      </c>
      <c r="FJO85" s="70">
        <v>0</v>
      </c>
      <c r="FJP85" s="70">
        <v>0</v>
      </c>
      <c r="FJQ85" s="70">
        <v>0</v>
      </c>
      <c r="FJR85" s="70">
        <v>0</v>
      </c>
      <c r="FJS85" s="70">
        <v>0</v>
      </c>
      <c r="FJT85" s="70">
        <v>0</v>
      </c>
      <c r="FJU85" s="70">
        <v>0</v>
      </c>
      <c r="FJV85" s="70">
        <v>0</v>
      </c>
      <c r="FJW85" s="70">
        <v>0</v>
      </c>
      <c r="FJX85" s="70">
        <v>0</v>
      </c>
      <c r="FJY85" s="70">
        <v>0</v>
      </c>
      <c r="FJZ85" s="70">
        <v>0</v>
      </c>
      <c r="FKA85" s="70">
        <v>0</v>
      </c>
      <c r="FKB85" s="70">
        <v>0</v>
      </c>
      <c r="FKC85" s="70">
        <v>0</v>
      </c>
      <c r="FKD85" s="70">
        <v>0</v>
      </c>
      <c r="FKE85" s="70">
        <v>0</v>
      </c>
      <c r="FKF85" s="70">
        <v>0</v>
      </c>
      <c r="FKG85" s="70">
        <v>0</v>
      </c>
      <c r="FKH85" s="70">
        <v>0</v>
      </c>
      <c r="FKI85" s="70">
        <v>0</v>
      </c>
      <c r="FKJ85" s="70">
        <v>0</v>
      </c>
      <c r="FKK85" s="70">
        <v>0</v>
      </c>
      <c r="FKL85" s="70">
        <v>0</v>
      </c>
      <c r="FKM85" s="70">
        <v>0</v>
      </c>
      <c r="FKN85" s="70">
        <v>0</v>
      </c>
      <c r="FKO85" s="70">
        <v>0</v>
      </c>
      <c r="FKP85" s="70">
        <v>0</v>
      </c>
      <c r="FKQ85" s="70">
        <v>0</v>
      </c>
      <c r="FKR85" s="70">
        <v>0</v>
      </c>
      <c r="FKS85" s="70">
        <v>0</v>
      </c>
      <c r="FKT85" s="70">
        <v>0</v>
      </c>
      <c r="FKU85" s="70">
        <v>0</v>
      </c>
      <c r="FKV85" s="70">
        <v>0</v>
      </c>
      <c r="FKW85" s="70">
        <v>0</v>
      </c>
      <c r="FKX85" s="70">
        <v>0</v>
      </c>
      <c r="FKY85" s="70">
        <v>0</v>
      </c>
      <c r="FKZ85" s="70">
        <v>0</v>
      </c>
      <c r="FLA85" s="70">
        <v>0</v>
      </c>
      <c r="FLB85" s="70">
        <v>0</v>
      </c>
      <c r="FLC85" s="70">
        <v>0</v>
      </c>
      <c r="FLD85" s="70">
        <v>0</v>
      </c>
      <c r="FLE85" s="70">
        <v>0</v>
      </c>
      <c r="FLF85" s="70">
        <v>0</v>
      </c>
      <c r="FLG85" s="70">
        <v>0</v>
      </c>
      <c r="FLH85" s="70">
        <v>0</v>
      </c>
      <c r="FLI85" s="70">
        <v>0</v>
      </c>
      <c r="FLJ85" s="70">
        <v>0</v>
      </c>
      <c r="FLK85" s="70">
        <v>0</v>
      </c>
      <c r="FLL85" s="70">
        <v>0</v>
      </c>
      <c r="FLM85" s="70">
        <v>0</v>
      </c>
      <c r="FLN85" s="70">
        <v>0</v>
      </c>
      <c r="FLO85" s="70">
        <v>0</v>
      </c>
      <c r="FLP85" s="70">
        <v>0</v>
      </c>
      <c r="FLQ85" s="70">
        <v>0</v>
      </c>
      <c r="FLR85" s="70">
        <v>0</v>
      </c>
      <c r="FLS85" s="70">
        <v>0</v>
      </c>
      <c r="FLT85" s="70">
        <v>0</v>
      </c>
      <c r="FLU85" s="70">
        <v>0</v>
      </c>
      <c r="FLV85" s="70">
        <v>0</v>
      </c>
      <c r="FLW85" s="70">
        <v>0</v>
      </c>
      <c r="FLX85" s="70">
        <v>0</v>
      </c>
      <c r="FLY85" s="70">
        <v>0</v>
      </c>
      <c r="FLZ85" s="70">
        <v>0</v>
      </c>
      <c r="FMA85" s="70">
        <v>0</v>
      </c>
      <c r="FMB85" s="70">
        <v>0</v>
      </c>
      <c r="FMC85" s="70">
        <v>0</v>
      </c>
      <c r="FMD85" s="70">
        <v>0</v>
      </c>
      <c r="FME85" s="70">
        <v>0</v>
      </c>
      <c r="FMF85" s="70">
        <v>0</v>
      </c>
      <c r="FMG85" s="70">
        <v>0</v>
      </c>
      <c r="FMH85" s="70">
        <v>0</v>
      </c>
      <c r="FMI85" s="70">
        <v>0</v>
      </c>
      <c r="FMJ85" s="70">
        <v>0</v>
      </c>
      <c r="FMK85" s="70">
        <v>0</v>
      </c>
      <c r="FML85" s="70">
        <v>0</v>
      </c>
      <c r="FMM85" s="70">
        <v>0</v>
      </c>
      <c r="FMN85" s="70">
        <v>0</v>
      </c>
      <c r="FMO85" s="70">
        <v>0</v>
      </c>
      <c r="FMP85" s="70">
        <v>0</v>
      </c>
      <c r="FMQ85" s="70">
        <v>0</v>
      </c>
      <c r="FMR85" s="70">
        <v>0</v>
      </c>
      <c r="FMS85" s="70">
        <v>0</v>
      </c>
      <c r="FMT85" s="70">
        <v>0</v>
      </c>
      <c r="FMU85" s="70">
        <v>0</v>
      </c>
      <c r="FMV85" s="70">
        <v>0</v>
      </c>
      <c r="FMW85" s="70">
        <v>0</v>
      </c>
      <c r="FMX85" s="70">
        <v>0</v>
      </c>
      <c r="FMY85" s="70">
        <v>0</v>
      </c>
      <c r="FMZ85" s="70">
        <v>0</v>
      </c>
      <c r="FNA85" s="70">
        <v>0</v>
      </c>
      <c r="FNB85" s="70">
        <v>0</v>
      </c>
      <c r="FNC85" s="70">
        <v>0</v>
      </c>
      <c r="FND85" s="70">
        <v>0</v>
      </c>
      <c r="FNE85" s="70">
        <v>0</v>
      </c>
      <c r="FNF85" s="70">
        <v>0</v>
      </c>
      <c r="FNG85" s="70">
        <v>0</v>
      </c>
      <c r="FNH85" s="70">
        <v>0</v>
      </c>
      <c r="FNI85" s="70">
        <v>0</v>
      </c>
      <c r="FNJ85" s="70">
        <v>0</v>
      </c>
      <c r="FNK85" s="70">
        <v>0</v>
      </c>
      <c r="FNL85" s="70">
        <v>0</v>
      </c>
      <c r="FNM85" s="70">
        <v>0</v>
      </c>
      <c r="FNN85" s="70">
        <v>0</v>
      </c>
      <c r="FNO85" s="70">
        <v>0</v>
      </c>
      <c r="FNP85" s="70">
        <v>0</v>
      </c>
      <c r="FNQ85" s="70">
        <v>0</v>
      </c>
      <c r="FNR85" s="70">
        <v>0</v>
      </c>
      <c r="FNS85" s="70">
        <v>0</v>
      </c>
      <c r="FNT85" s="70">
        <v>0</v>
      </c>
      <c r="FNU85" s="70">
        <v>0</v>
      </c>
      <c r="FNV85" s="70">
        <v>0</v>
      </c>
      <c r="FNW85" s="70">
        <v>0</v>
      </c>
      <c r="FNX85" s="70">
        <v>0</v>
      </c>
      <c r="FNY85" s="70">
        <v>0</v>
      </c>
      <c r="FNZ85" s="70">
        <v>0</v>
      </c>
      <c r="FOA85" s="70">
        <v>0</v>
      </c>
      <c r="FOB85" s="70">
        <v>0</v>
      </c>
      <c r="FOC85" s="70">
        <v>0</v>
      </c>
      <c r="FOD85" s="70">
        <v>0</v>
      </c>
      <c r="FOE85" s="70">
        <v>0</v>
      </c>
      <c r="FOF85" s="70">
        <v>0</v>
      </c>
      <c r="FOG85" s="70">
        <v>0</v>
      </c>
      <c r="FOH85" s="70">
        <v>0</v>
      </c>
      <c r="FOI85" s="70">
        <v>0</v>
      </c>
      <c r="FOJ85" s="70">
        <v>0</v>
      </c>
      <c r="FOK85" s="70">
        <v>0</v>
      </c>
      <c r="FOL85" s="70">
        <v>0</v>
      </c>
      <c r="FOM85" s="70">
        <v>0</v>
      </c>
      <c r="FON85" s="70">
        <v>0</v>
      </c>
      <c r="FOO85" s="70">
        <v>0</v>
      </c>
      <c r="FOP85" s="70">
        <v>0</v>
      </c>
      <c r="FOQ85" s="70">
        <v>0</v>
      </c>
      <c r="FOR85" s="70">
        <v>0</v>
      </c>
      <c r="FOS85" s="70">
        <v>0</v>
      </c>
      <c r="FOT85" s="70">
        <v>0</v>
      </c>
      <c r="FOU85" s="70">
        <v>0</v>
      </c>
      <c r="FOV85" s="70">
        <v>0</v>
      </c>
      <c r="FOW85" s="70">
        <v>0</v>
      </c>
      <c r="FOX85" s="70">
        <v>0</v>
      </c>
      <c r="FOY85" s="70">
        <v>0</v>
      </c>
      <c r="FOZ85" s="70">
        <v>0</v>
      </c>
      <c r="FPA85" s="70">
        <v>0</v>
      </c>
      <c r="FPB85" s="70">
        <v>0</v>
      </c>
      <c r="FPC85" s="70">
        <v>0</v>
      </c>
      <c r="FPD85" s="70">
        <v>0</v>
      </c>
      <c r="FPE85" s="70">
        <v>0</v>
      </c>
      <c r="FPF85" s="70">
        <v>0</v>
      </c>
      <c r="FPG85" s="70">
        <v>0</v>
      </c>
      <c r="FPH85" s="70">
        <v>0</v>
      </c>
      <c r="FPI85" s="70">
        <v>0</v>
      </c>
      <c r="FPJ85" s="70">
        <v>0</v>
      </c>
      <c r="FPK85" s="70">
        <v>0</v>
      </c>
      <c r="FPL85" s="70">
        <v>0</v>
      </c>
      <c r="FPM85" s="70">
        <v>0</v>
      </c>
      <c r="FPN85" s="70">
        <v>0</v>
      </c>
      <c r="FPO85" s="70">
        <v>0</v>
      </c>
      <c r="FPP85" s="70">
        <v>0</v>
      </c>
      <c r="FPQ85" s="70">
        <v>0</v>
      </c>
      <c r="FPR85" s="70">
        <v>0</v>
      </c>
      <c r="FPS85" s="70">
        <v>0</v>
      </c>
      <c r="FPT85" s="70">
        <v>0</v>
      </c>
      <c r="FPU85" s="70">
        <v>0</v>
      </c>
      <c r="FPV85" s="70">
        <v>0</v>
      </c>
      <c r="FPW85" s="70">
        <v>0</v>
      </c>
      <c r="FPX85" s="70">
        <v>0</v>
      </c>
      <c r="FPY85" s="70">
        <v>0</v>
      </c>
      <c r="FPZ85" s="70">
        <v>0</v>
      </c>
      <c r="FQA85" s="70">
        <v>0</v>
      </c>
      <c r="FQB85" s="70">
        <v>0</v>
      </c>
      <c r="FQC85" s="70">
        <v>0</v>
      </c>
      <c r="FQD85" s="70">
        <v>0</v>
      </c>
      <c r="FQE85" s="70">
        <v>0</v>
      </c>
      <c r="FQF85" s="70">
        <v>0</v>
      </c>
      <c r="FQG85" s="70">
        <v>0</v>
      </c>
      <c r="FQH85" s="70">
        <v>0</v>
      </c>
      <c r="FQI85" s="70">
        <v>0</v>
      </c>
      <c r="FQJ85" s="70">
        <v>0</v>
      </c>
      <c r="FQK85" s="70">
        <v>0</v>
      </c>
      <c r="FQL85" s="70">
        <v>0</v>
      </c>
      <c r="FQM85" s="70">
        <v>0</v>
      </c>
      <c r="FQN85" s="70">
        <v>0</v>
      </c>
      <c r="FQO85" s="70">
        <v>0</v>
      </c>
      <c r="FQP85" s="70">
        <v>0</v>
      </c>
      <c r="FQQ85" s="70">
        <v>0</v>
      </c>
      <c r="FQR85" s="70">
        <v>0</v>
      </c>
      <c r="FQS85" s="70">
        <v>0</v>
      </c>
      <c r="FQT85" s="70">
        <v>0</v>
      </c>
      <c r="FQU85" s="70">
        <v>0</v>
      </c>
      <c r="FQV85" s="70">
        <v>0</v>
      </c>
      <c r="FQW85" s="70">
        <v>0</v>
      </c>
      <c r="FQX85" s="70">
        <v>0</v>
      </c>
      <c r="FQY85" s="70">
        <v>0</v>
      </c>
      <c r="FQZ85" s="70">
        <v>0</v>
      </c>
      <c r="FRA85" s="70">
        <v>0</v>
      </c>
      <c r="FRB85" s="70">
        <v>0</v>
      </c>
      <c r="FRC85" s="70">
        <v>0</v>
      </c>
      <c r="FRD85" s="70">
        <v>0</v>
      </c>
      <c r="FRE85" s="70">
        <v>0</v>
      </c>
      <c r="FRF85" s="70">
        <v>0</v>
      </c>
      <c r="FRG85" s="70">
        <v>0</v>
      </c>
      <c r="FRH85" s="70">
        <v>0</v>
      </c>
      <c r="FRI85" s="70">
        <v>0</v>
      </c>
      <c r="FRJ85" s="70">
        <v>0</v>
      </c>
      <c r="FRK85" s="70">
        <v>0</v>
      </c>
      <c r="FRL85" s="70">
        <v>0</v>
      </c>
      <c r="FRM85" s="70">
        <v>0</v>
      </c>
      <c r="FRN85" s="70">
        <v>0</v>
      </c>
      <c r="FRO85" s="70">
        <v>0</v>
      </c>
      <c r="FRP85" s="70">
        <v>0</v>
      </c>
      <c r="FRQ85" s="70">
        <v>0</v>
      </c>
      <c r="FRR85" s="70">
        <v>0</v>
      </c>
      <c r="FRS85" s="70">
        <v>0</v>
      </c>
      <c r="FRT85" s="70">
        <v>0</v>
      </c>
      <c r="FRU85" s="70">
        <v>0</v>
      </c>
      <c r="FRV85" s="70">
        <v>0</v>
      </c>
      <c r="FRW85" s="70">
        <v>0</v>
      </c>
      <c r="FRX85" s="70">
        <v>0</v>
      </c>
      <c r="FRY85" s="70">
        <v>0</v>
      </c>
      <c r="FRZ85" s="70">
        <v>0</v>
      </c>
      <c r="FSA85" s="70">
        <v>0</v>
      </c>
      <c r="FSB85" s="70">
        <v>0</v>
      </c>
      <c r="FSC85" s="70">
        <v>0</v>
      </c>
      <c r="FSD85" s="70">
        <v>0</v>
      </c>
      <c r="FSE85" s="70">
        <v>0</v>
      </c>
      <c r="FSF85" s="70">
        <v>0</v>
      </c>
      <c r="FSG85" s="70">
        <v>0</v>
      </c>
      <c r="FSH85" s="70">
        <v>0</v>
      </c>
      <c r="FSI85" s="70">
        <v>0</v>
      </c>
      <c r="FSJ85" s="70">
        <v>0</v>
      </c>
      <c r="FSK85" s="70">
        <v>0</v>
      </c>
      <c r="FSL85" s="70">
        <v>0</v>
      </c>
      <c r="FSM85" s="70">
        <v>0</v>
      </c>
      <c r="FSN85" s="70">
        <v>0</v>
      </c>
      <c r="FSO85" s="70">
        <v>0</v>
      </c>
      <c r="FSP85" s="70">
        <v>0</v>
      </c>
      <c r="FSQ85" s="70">
        <v>0</v>
      </c>
      <c r="FSR85" s="70">
        <v>0</v>
      </c>
      <c r="FSS85" s="70">
        <v>0</v>
      </c>
      <c r="FST85" s="70">
        <v>0</v>
      </c>
      <c r="FSU85" s="70">
        <v>0</v>
      </c>
      <c r="FSV85" s="70">
        <v>0</v>
      </c>
      <c r="FSW85" s="70">
        <v>0</v>
      </c>
      <c r="FSX85" s="70">
        <v>0</v>
      </c>
      <c r="FSY85" s="70">
        <v>0</v>
      </c>
      <c r="FSZ85" s="70">
        <v>0</v>
      </c>
      <c r="FTA85" s="70">
        <v>0</v>
      </c>
      <c r="FTB85" s="70">
        <v>0</v>
      </c>
      <c r="FTC85" s="70">
        <v>0</v>
      </c>
      <c r="FTD85" s="70">
        <v>0</v>
      </c>
      <c r="FTE85" s="70">
        <v>0</v>
      </c>
      <c r="FTF85" s="70">
        <v>0</v>
      </c>
      <c r="FTG85" s="70">
        <v>0</v>
      </c>
      <c r="FTH85" s="70">
        <v>0</v>
      </c>
      <c r="FTI85" s="70">
        <v>0</v>
      </c>
      <c r="FTJ85" s="70">
        <v>0</v>
      </c>
      <c r="FTK85" s="70">
        <v>0</v>
      </c>
      <c r="FTL85" s="70">
        <v>0</v>
      </c>
      <c r="FTM85" s="70">
        <v>0</v>
      </c>
      <c r="FTN85" s="70">
        <v>0</v>
      </c>
      <c r="FTO85" s="70">
        <v>0</v>
      </c>
      <c r="FTP85" s="70">
        <v>0</v>
      </c>
      <c r="FTQ85" s="70">
        <v>0</v>
      </c>
      <c r="FTR85" s="70">
        <v>0</v>
      </c>
      <c r="FTS85" s="70">
        <v>0</v>
      </c>
      <c r="FTT85" s="70">
        <v>0</v>
      </c>
      <c r="FTU85" s="70">
        <v>0</v>
      </c>
      <c r="FTV85" s="70">
        <v>0</v>
      </c>
      <c r="FTW85" s="70">
        <v>0</v>
      </c>
      <c r="FTX85" s="70">
        <v>0</v>
      </c>
      <c r="FTY85" s="70">
        <v>0</v>
      </c>
      <c r="FTZ85" s="70">
        <v>0</v>
      </c>
      <c r="FUA85" s="70">
        <v>0</v>
      </c>
      <c r="FUB85" s="70">
        <v>0</v>
      </c>
      <c r="FUC85" s="70">
        <v>0</v>
      </c>
      <c r="FUD85" s="70">
        <v>0</v>
      </c>
      <c r="FUE85" s="70">
        <v>0</v>
      </c>
      <c r="FUF85" s="70">
        <v>0</v>
      </c>
      <c r="FUG85" s="70">
        <v>0</v>
      </c>
      <c r="FUH85" s="70">
        <v>0</v>
      </c>
      <c r="FUI85" s="70">
        <v>0</v>
      </c>
      <c r="FUJ85" s="70">
        <v>0</v>
      </c>
      <c r="FUK85" s="70">
        <v>0</v>
      </c>
      <c r="FUL85" s="70">
        <v>0</v>
      </c>
      <c r="FUM85" s="70">
        <v>0</v>
      </c>
      <c r="FUN85" s="70">
        <v>0</v>
      </c>
      <c r="FUO85" s="70">
        <v>0</v>
      </c>
      <c r="FUP85" s="70">
        <v>0</v>
      </c>
      <c r="FUQ85" s="70">
        <v>0</v>
      </c>
      <c r="FUR85" s="70">
        <v>0</v>
      </c>
      <c r="FUS85" s="70">
        <v>0</v>
      </c>
      <c r="FUT85" s="70">
        <v>0</v>
      </c>
      <c r="FUU85" s="70">
        <v>0</v>
      </c>
      <c r="FUV85" s="70">
        <v>0</v>
      </c>
      <c r="FUW85" s="70">
        <v>0</v>
      </c>
      <c r="FUX85" s="70">
        <v>0</v>
      </c>
      <c r="FUY85" s="70">
        <v>0</v>
      </c>
      <c r="FUZ85" s="70">
        <v>0</v>
      </c>
      <c r="FVA85" s="70">
        <v>0</v>
      </c>
      <c r="FVB85" s="70">
        <v>0</v>
      </c>
      <c r="FVC85" s="70">
        <v>0</v>
      </c>
      <c r="FVD85" s="70">
        <v>0</v>
      </c>
      <c r="FVE85" s="70">
        <v>0</v>
      </c>
      <c r="FVF85" s="70">
        <v>0</v>
      </c>
      <c r="FVG85" s="70">
        <v>0</v>
      </c>
      <c r="FVH85" s="70">
        <v>0</v>
      </c>
      <c r="FVI85" s="70">
        <v>0</v>
      </c>
      <c r="FVJ85" s="70">
        <v>0</v>
      </c>
      <c r="FVK85" s="70">
        <v>0</v>
      </c>
      <c r="FVL85" s="70">
        <v>0</v>
      </c>
      <c r="FVM85" s="70">
        <v>0</v>
      </c>
      <c r="FVN85" s="70">
        <v>0</v>
      </c>
      <c r="FVO85" s="70">
        <v>0</v>
      </c>
      <c r="FVP85" s="70">
        <v>0</v>
      </c>
      <c r="FVQ85" s="70">
        <v>0</v>
      </c>
      <c r="FVR85" s="70">
        <v>0</v>
      </c>
      <c r="FVS85" s="70">
        <v>0</v>
      </c>
      <c r="FVT85" s="70">
        <v>0</v>
      </c>
      <c r="FVU85" s="70">
        <v>0</v>
      </c>
      <c r="FVV85" s="70">
        <v>0</v>
      </c>
      <c r="FVW85" s="70">
        <v>0</v>
      </c>
      <c r="FVX85" s="70">
        <v>0</v>
      </c>
      <c r="FVY85" s="70">
        <v>0</v>
      </c>
      <c r="FVZ85" s="70">
        <v>0</v>
      </c>
      <c r="FWA85" s="70">
        <v>0</v>
      </c>
      <c r="FWB85" s="70">
        <v>0</v>
      </c>
      <c r="FWC85" s="70">
        <v>0</v>
      </c>
      <c r="FWD85" s="70">
        <v>0</v>
      </c>
      <c r="FWE85" s="70">
        <v>0</v>
      </c>
      <c r="FWF85" s="70">
        <v>0</v>
      </c>
      <c r="FWG85" s="70">
        <v>0</v>
      </c>
      <c r="FWH85" s="70">
        <v>0</v>
      </c>
      <c r="FWI85" s="70">
        <v>0</v>
      </c>
      <c r="FWJ85" s="70">
        <v>0</v>
      </c>
      <c r="FWK85" s="70">
        <v>0</v>
      </c>
      <c r="FWL85" s="70">
        <v>0</v>
      </c>
      <c r="FWM85" s="70">
        <v>0</v>
      </c>
      <c r="FWN85" s="70">
        <v>0</v>
      </c>
      <c r="FWO85" s="70">
        <v>0</v>
      </c>
      <c r="FWP85" s="70">
        <v>0</v>
      </c>
      <c r="FWQ85" s="70">
        <v>0</v>
      </c>
      <c r="FWR85" s="70">
        <v>0</v>
      </c>
      <c r="FWS85" s="70">
        <v>0</v>
      </c>
      <c r="FWT85" s="70">
        <v>0</v>
      </c>
      <c r="FWU85" s="70">
        <v>0</v>
      </c>
      <c r="FWV85" s="70">
        <v>0</v>
      </c>
      <c r="FWW85" s="70">
        <v>0</v>
      </c>
      <c r="FWX85" s="70">
        <v>0</v>
      </c>
      <c r="FWY85" s="70">
        <v>0</v>
      </c>
      <c r="FWZ85" s="70">
        <v>0</v>
      </c>
      <c r="FXA85" s="70">
        <v>0</v>
      </c>
      <c r="FXB85" s="70">
        <v>0</v>
      </c>
      <c r="FXC85" s="70">
        <v>0</v>
      </c>
      <c r="FXD85" s="70">
        <v>0</v>
      </c>
      <c r="FXE85" s="70">
        <v>0</v>
      </c>
      <c r="FXF85" s="70">
        <v>0</v>
      </c>
      <c r="FXG85" s="70">
        <v>0</v>
      </c>
      <c r="FXH85" s="70">
        <v>0</v>
      </c>
      <c r="FXI85" s="70">
        <v>0</v>
      </c>
      <c r="FXJ85" s="70">
        <v>0</v>
      </c>
      <c r="FXK85" s="70">
        <v>0</v>
      </c>
      <c r="FXL85" s="70">
        <v>0</v>
      </c>
      <c r="FXM85" s="70">
        <v>0</v>
      </c>
      <c r="FXN85" s="70">
        <v>0</v>
      </c>
      <c r="FXO85" s="70">
        <v>0</v>
      </c>
      <c r="FXP85" s="70">
        <v>0</v>
      </c>
      <c r="FXQ85" s="70">
        <v>0</v>
      </c>
      <c r="FXR85" s="70">
        <v>0</v>
      </c>
      <c r="FXS85" s="70">
        <v>0</v>
      </c>
      <c r="FXT85" s="70">
        <v>0</v>
      </c>
      <c r="FXU85" s="70">
        <v>0</v>
      </c>
      <c r="FXV85" s="70">
        <v>0</v>
      </c>
      <c r="FXW85" s="70">
        <v>0</v>
      </c>
      <c r="FXX85" s="70">
        <v>0</v>
      </c>
      <c r="FXY85" s="70">
        <v>0</v>
      </c>
      <c r="FXZ85" s="70">
        <v>0</v>
      </c>
      <c r="FYA85" s="70">
        <v>0</v>
      </c>
      <c r="FYB85" s="70">
        <v>0</v>
      </c>
      <c r="FYC85" s="70">
        <v>0</v>
      </c>
      <c r="FYD85" s="70">
        <v>0</v>
      </c>
      <c r="FYE85" s="70">
        <v>0</v>
      </c>
      <c r="FYF85" s="70">
        <v>0</v>
      </c>
      <c r="FYG85" s="70">
        <v>0</v>
      </c>
      <c r="FYH85" s="70">
        <v>0</v>
      </c>
      <c r="FYI85" s="70">
        <v>0</v>
      </c>
      <c r="FYJ85" s="70">
        <v>0</v>
      </c>
      <c r="FYK85" s="70">
        <v>0</v>
      </c>
      <c r="FYL85" s="70">
        <v>0</v>
      </c>
      <c r="FYM85" s="70">
        <v>0</v>
      </c>
      <c r="FYN85" s="70">
        <v>0</v>
      </c>
      <c r="FYO85" s="70">
        <v>0</v>
      </c>
      <c r="FYP85" s="70">
        <v>0</v>
      </c>
      <c r="FYQ85" s="70">
        <v>0</v>
      </c>
      <c r="FYR85" s="70">
        <v>0</v>
      </c>
      <c r="FYS85" s="70">
        <v>0</v>
      </c>
      <c r="FYT85" s="70">
        <v>0</v>
      </c>
      <c r="FYU85" s="70">
        <v>0</v>
      </c>
      <c r="FYV85" s="70">
        <v>0</v>
      </c>
      <c r="FYW85" s="70">
        <v>0</v>
      </c>
      <c r="FYX85" s="70">
        <v>0</v>
      </c>
      <c r="FYY85" s="70">
        <v>0</v>
      </c>
      <c r="FYZ85" s="70">
        <v>0</v>
      </c>
      <c r="FZA85" s="70">
        <v>0</v>
      </c>
      <c r="FZB85" s="70">
        <v>0</v>
      </c>
      <c r="FZC85" s="70">
        <v>0</v>
      </c>
      <c r="FZD85" s="70">
        <v>0</v>
      </c>
      <c r="FZE85" s="70">
        <v>0</v>
      </c>
      <c r="FZF85" s="70">
        <v>0</v>
      </c>
      <c r="FZG85" s="70">
        <v>0</v>
      </c>
      <c r="FZH85" s="70">
        <v>0</v>
      </c>
      <c r="FZI85" s="70">
        <v>0</v>
      </c>
      <c r="FZJ85" s="70">
        <v>0</v>
      </c>
      <c r="FZK85" s="70">
        <v>0</v>
      </c>
      <c r="FZL85" s="70">
        <v>0</v>
      </c>
      <c r="FZM85" s="70">
        <v>0</v>
      </c>
      <c r="FZN85" s="70">
        <v>0</v>
      </c>
      <c r="FZO85" s="70">
        <v>0</v>
      </c>
      <c r="FZP85" s="70">
        <v>0</v>
      </c>
      <c r="FZQ85" s="70">
        <v>0</v>
      </c>
      <c r="FZR85" s="70">
        <v>0</v>
      </c>
      <c r="FZS85" s="70">
        <v>0</v>
      </c>
      <c r="FZT85" s="70">
        <v>0</v>
      </c>
      <c r="FZU85" s="70">
        <v>0</v>
      </c>
      <c r="FZV85" s="70">
        <v>0</v>
      </c>
      <c r="FZW85" s="70">
        <v>0</v>
      </c>
      <c r="FZX85" s="70">
        <v>0</v>
      </c>
      <c r="FZY85" s="70">
        <v>0</v>
      </c>
      <c r="FZZ85" s="70">
        <v>0</v>
      </c>
      <c r="GAA85" s="70">
        <v>0</v>
      </c>
      <c r="GAB85" s="70">
        <v>0</v>
      </c>
      <c r="GAC85" s="70">
        <v>0</v>
      </c>
      <c r="GAD85" s="70">
        <v>0</v>
      </c>
      <c r="GAE85" s="70">
        <v>0</v>
      </c>
      <c r="GAF85" s="70">
        <v>0</v>
      </c>
      <c r="GAG85" s="70">
        <v>0</v>
      </c>
      <c r="GAH85" s="70">
        <v>0</v>
      </c>
      <c r="GAI85" s="70">
        <v>0</v>
      </c>
      <c r="GAJ85" s="70">
        <v>0</v>
      </c>
      <c r="GAK85" s="70">
        <v>0</v>
      </c>
      <c r="GAL85" s="70">
        <v>0</v>
      </c>
      <c r="GAM85" s="70">
        <v>0</v>
      </c>
      <c r="GAN85" s="70">
        <v>0</v>
      </c>
      <c r="GAO85" s="70">
        <v>0</v>
      </c>
      <c r="GAP85" s="70">
        <v>0</v>
      </c>
      <c r="GAQ85" s="70">
        <v>0</v>
      </c>
      <c r="GAR85" s="70">
        <v>0</v>
      </c>
      <c r="GAS85" s="70">
        <v>0</v>
      </c>
      <c r="GAT85" s="70">
        <v>0</v>
      </c>
      <c r="GAU85" s="70">
        <v>0</v>
      </c>
      <c r="GAV85" s="70">
        <v>0</v>
      </c>
      <c r="GAW85" s="70">
        <v>0</v>
      </c>
      <c r="GAX85" s="70">
        <v>0</v>
      </c>
      <c r="GAY85" s="70">
        <v>0</v>
      </c>
      <c r="GAZ85" s="70">
        <v>0</v>
      </c>
      <c r="GBA85" s="70">
        <v>0</v>
      </c>
      <c r="GBB85" s="70">
        <v>0</v>
      </c>
      <c r="GBC85" s="70">
        <v>0</v>
      </c>
      <c r="GBD85" s="70">
        <v>0</v>
      </c>
      <c r="GBE85" s="70">
        <v>0</v>
      </c>
      <c r="GBF85" s="70">
        <v>0</v>
      </c>
      <c r="GBG85" s="70">
        <v>0</v>
      </c>
      <c r="GBH85" s="70">
        <v>0</v>
      </c>
      <c r="GBI85" s="70">
        <v>0</v>
      </c>
      <c r="GBJ85" s="70">
        <v>0</v>
      </c>
      <c r="GBK85" s="70">
        <v>0</v>
      </c>
      <c r="GBL85" s="70">
        <v>0</v>
      </c>
      <c r="GBM85" s="70">
        <v>0</v>
      </c>
      <c r="GBN85" s="70">
        <v>0</v>
      </c>
      <c r="GBO85" s="70">
        <v>0</v>
      </c>
      <c r="GBP85" s="70">
        <v>0</v>
      </c>
      <c r="GBQ85" s="70">
        <v>0</v>
      </c>
      <c r="GBR85" s="70">
        <v>0</v>
      </c>
      <c r="GBS85" s="70">
        <v>0</v>
      </c>
      <c r="GBT85" s="70">
        <v>0</v>
      </c>
      <c r="GBU85" s="70">
        <v>0</v>
      </c>
      <c r="GBV85" s="70">
        <v>0</v>
      </c>
      <c r="GBW85" s="70">
        <v>0</v>
      </c>
      <c r="GBX85" s="70">
        <v>0</v>
      </c>
      <c r="GBY85" s="70">
        <v>0</v>
      </c>
      <c r="GBZ85" s="70">
        <v>0</v>
      </c>
      <c r="GCA85" s="70">
        <v>0</v>
      </c>
      <c r="GCB85" s="70">
        <v>0</v>
      </c>
      <c r="GCC85" s="70">
        <v>0</v>
      </c>
      <c r="GCD85" s="70">
        <v>0</v>
      </c>
      <c r="GCE85" s="70">
        <v>0</v>
      </c>
      <c r="GCF85" s="70">
        <v>0</v>
      </c>
      <c r="GCG85" s="70">
        <v>0</v>
      </c>
      <c r="GCH85" s="70">
        <v>0</v>
      </c>
      <c r="GCI85" s="70">
        <v>0</v>
      </c>
      <c r="GCJ85" s="70">
        <v>0</v>
      </c>
      <c r="GCK85" s="70">
        <v>0</v>
      </c>
      <c r="GCL85" s="70">
        <v>0</v>
      </c>
      <c r="GCM85" s="70">
        <v>0</v>
      </c>
      <c r="GCN85" s="70">
        <v>0</v>
      </c>
      <c r="GCO85" s="70">
        <v>0</v>
      </c>
      <c r="GCP85" s="70">
        <v>0</v>
      </c>
      <c r="GCQ85" s="70">
        <v>0</v>
      </c>
      <c r="GCR85" s="70">
        <v>0</v>
      </c>
      <c r="GCS85" s="70">
        <v>0</v>
      </c>
      <c r="GCT85" s="70">
        <v>0</v>
      </c>
      <c r="GCU85" s="70">
        <v>0</v>
      </c>
      <c r="GCV85" s="70">
        <v>0</v>
      </c>
      <c r="GCW85" s="70">
        <v>0</v>
      </c>
      <c r="GCX85" s="70">
        <v>0</v>
      </c>
      <c r="GCY85" s="70">
        <v>0</v>
      </c>
      <c r="GCZ85" s="70">
        <v>0</v>
      </c>
      <c r="GDA85" s="70">
        <v>0</v>
      </c>
      <c r="GDB85" s="70">
        <v>0</v>
      </c>
      <c r="GDC85" s="70">
        <v>0</v>
      </c>
      <c r="GDD85" s="70">
        <v>0</v>
      </c>
      <c r="GDE85" s="70">
        <v>0</v>
      </c>
      <c r="GDF85" s="70">
        <v>0</v>
      </c>
      <c r="GDG85" s="70">
        <v>0</v>
      </c>
      <c r="GDH85" s="70">
        <v>0</v>
      </c>
      <c r="GDI85" s="70">
        <v>0</v>
      </c>
      <c r="GDJ85" s="70">
        <v>0</v>
      </c>
      <c r="GDK85" s="70">
        <v>0</v>
      </c>
      <c r="GDL85" s="70">
        <v>0</v>
      </c>
      <c r="GDM85" s="70">
        <v>0</v>
      </c>
      <c r="GDN85" s="70">
        <v>0</v>
      </c>
      <c r="GDO85" s="70">
        <v>0</v>
      </c>
      <c r="GDP85" s="70">
        <v>0</v>
      </c>
      <c r="GDQ85" s="70">
        <v>0</v>
      </c>
      <c r="GDR85" s="70">
        <v>0</v>
      </c>
      <c r="GDS85" s="70">
        <v>0</v>
      </c>
      <c r="GDT85" s="70">
        <v>0</v>
      </c>
      <c r="GDU85" s="70">
        <v>0</v>
      </c>
      <c r="GDV85" s="70">
        <v>0</v>
      </c>
      <c r="GDW85" s="70">
        <v>0</v>
      </c>
      <c r="GDX85" s="70">
        <v>0</v>
      </c>
      <c r="GDY85" s="70">
        <v>0</v>
      </c>
      <c r="GDZ85" s="70">
        <v>0</v>
      </c>
      <c r="GEA85" s="70">
        <v>0</v>
      </c>
      <c r="GEB85" s="70">
        <v>0</v>
      </c>
      <c r="GEC85" s="70">
        <v>0</v>
      </c>
      <c r="GED85" s="70">
        <v>0</v>
      </c>
      <c r="GEE85" s="70">
        <v>0</v>
      </c>
      <c r="GEF85" s="70">
        <v>0</v>
      </c>
      <c r="GEG85" s="70">
        <v>0</v>
      </c>
      <c r="GEH85" s="70">
        <v>0</v>
      </c>
      <c r="GEI85" s="70">
        <v>0</v>
      </c>
      <c r="GEJ85" s="70">
        <v>0</v>
      </c>
      <c r="GEK85" s="70">
        <v>0</v>
      </c>
      <c r="GEL85" s="70">
        <v>0</v>
      </c>
      <c r="GEM85" s="70">
        <v>0</v>
      </c>
      <c r="GEN85" s="70">
        <v>0</v>
      </c>
      <c r="GEO85" s="70">
        <v>0</v>
      </c>
      <c r="GEP85" s="70">
        <v>0</v>
      </c>
      <c r="GEQ85" s="70">
        <v>0</v>
      </c>
      <c r="GER85" s="70">
        <v>0</v>
      </c>
      <c r="GES85" s="70">
        <v>0</v>
      </c>
      <c r="GET85" s="70">
        <v>0</v>
      </c>
      <c r="GEU85" s="70">
        <v>0</v>
      </c>
      <c r="GEV85" s="70">
        <v>0</v>
      </c>
      <c r="GEW85" s="70">
        <v>0</v>
      </c>
      <c r="GEX85" s="70">
        <v>0</v>
      </c>
      <c r="GEY85" s="70">
        <v>0</v>
      </c>
      <c r="GEZ85" s="70">
        <v>0</v>
      </c>
      <c r="GFA85" s="70">
        <v>0</v>
      </c>
      <c r="GFB85" s="70">
        <v>0</v>
      </c>
      <c r="GFC85" s="70">
        <v>0</v>
      </c>
      <c r="GFD85" s="70">
        <v>0</v>
      </c>
      <c r="GFE85" s="70">
        <v>0</v>
      </c>
      <c r="GFF85" s="70">
        <v>0</v>
      </c>
      <c r="GFG85" s="70">
        <v>0</v>
      </c>
      <c r="GFH85" s="70">
        <v>0</v>
      </c>
      <c r="GFI85" s="70">
        <v>0</v>
      </c>
      <c r="GFJ85" s="70">
        <v>0</v>
      </c>
      <c r="GFK85" s="70">
        <v>0</v>
      </c>
      <c r="GFL85" s="70">
        <v>0</v>
      </c>
      <c r="GFM85" s="70">
        <v>0</v>
      </c>
      <c r="GFN85" s="70">
        <v>0</v>
      </c>
      <c r="GFO85" s="70">
        <v>0</v>
      </c>
      <c r="GFP85" s="70">
        <v>0</v>
      </c>
      <c r="GFQ85" s="70">
        <v>0</v>
      </c>
      <c r="GFR85" s="70">
        <v>0</v>
      </c>
      <c r="GFS85" s="70">
        <v>0</v>
      </c>
      <c r="GFT85" s="70">
        <v>0</v>
      </c>
      <c r="GFU85" s="70">
        <v>0</v>
      </c>
      <c r="GFV85" s="70">
        <v>0</v>
      </c>
      <c r="GFW85" s="70">
        <v>0</v>
      </c>
      <c r="GFX85" s="70">
        <v>0</v>
      </c>
      <c r="GFY85" s="70">
        <v>0</v>
      </c>
      <c r="GFZ85" s="70">
        <v>0</v>
      </c>
      <c r="GGA85" s="70">
        <v>0</v>
      </c>
      <c r="GGB85" s="70">
        <v>0</v>
      </c>
      <c r="GGC85" s="70">
        <v>0</v>
      </c>
      <c r="GGD85" s="70">
        <v>0</v>
      </c>
      <c r="GGE85" s="70">
        <v>0</v>
      </c>
      <c r="GGF85" s="70">
        <v>0</v>
      </c>
      <c r="GGG85" s="70">
        <v>0</v>
      </c>
      <c r="GGH85" s="70">
        <v>0</v>
      </c>
      <c r="GGI85" s="70">
        <v>0</v>
      </c>
      <c r="GGJ85" s="70">
        <v>0</v>
      </c>
      <c r="GGK85" s="70">
        <v>0</v>
      </c>
      <c r="GGL85" s="70">
        <v>0</v>
      </c>
      <c r="GGM85" s="70">
        <v>0</v>
      </c>
      <c r="GGN85" s="70">
        <v>0</v>
      </c>
      <c r="GGO85" s="70">
        <v>0</v>
      </c>
      <c r="GGP85" s="70">
        <v>0</v>
      </c>
      <c r="GGQ85" s="70">
        <v>0</v>
      </c>
      <c r="GGR85" s="70">
        <v>0</v>
      </c>
      <c r="GGS85" s="70">
        <v>0</v>
      </c>
      <c r="GGT85" s="70">
        <v>0</v>
      </c>
      <c r="GGU85" s="70">
        <v>0</v>
      </c>
      <c r="GGV85" s="70">
        <v>0</v>
      </c>
      <c r="GGW85" s="70">
        <v>0</v>
      </c>
      <c r="GGX85" s="70">
        <v>0</v>
      </c>
      <c r="GGY85" s="70">
        <v>0</v>
      </c>
      <c r="GGZ85" s="70">
        <v>0</v>
      </c>
      <c r="GHA85" s="70">
        <v>0</v>
      </c>
      <c r="GHB85" s="70">
        <v>0</v>
      </c>
      <c r="GHC85" s="70">
        <v>0</v>
      </c>
      <c r="GHD85" s="70">
        <v>0</v>
      </c>
      <c r="GHE85" s="70">
        <v>0</v>
      </c>
      <c r="GHF85" s="70">
        <v>0</v>
      </c>
      <c r="GHG85" s="70">
        <v>0</v>
      </c>
      <c r="GHH85" s="70">
        <v>0</v>
      </c>
      <c r="GHI85" s="70">
        <v>0</v>
      </c>
      <c r="GHJ85" s="70">
        <v>0</v>
      </c>
      <c r="GHK85" s="70">
        <v>0</v>
      </c>
      <c r="GHL85" s="70">
        <v>0</v>
      </c>
      <c r="GHM85" s="70">
        <v>0</v>
      </c>
      <c r="GHN85" s="70">
        <v>0</v>
      </c>
      <c r="GHO85" s="70">
        <v>0</v>
      </c>
      <c r="GHP85" s="70">
        <v>0</v>
      </c>
      <c r="GHQ85" s="70">
        <v>0</v>
      </c>
      <c r="GHR85" s="70">
        <v>0</v>
      </c>
      <c r="GHS85" s="70">
        <v>0</v>
      </c>
      <c r="GHT85" s="70">
        <v>0</v>
      </c>
      <c r="GHU85" s="70">
        <v>0</v>
      </c>
      <c r="GHV85" s="70">
        <v>0</v>
      </c>
      <c r="GHW85" s="70">
        <v>0</v>
      </c>
      <c r="GHX85" s="70">
        <v>0</v>
      </c>
      <c r="GHY85" s="70">
        <v>0</v>
      </c>
      <c r="GHZ85" s="70">
        <v>0</v>
      </c>
      <c r="GIA85" s="70">
        <v>0</v>
      </c>
      <c r="GIB85" s="70">
        <v>0</v>
      </c>
      <c r="GIC85" s="70">
        <v>0</v>
      </c>
      <c r="GID85" s="70">
        <v>0</v>
      </c>
      <c r="GIE85" s="70">
        <v>0</v>
      </c>
      <c r="GIF85" s="70">
        <v>0</v>
      </c>
      <c r="GIG85" s="70">
        <v>0</v>
      </c>
      <c r="GIH85" s="70">
        <v>0</v>
      </c>
      <c r="GII85" s="70">
        <v>0</v>
      </c>
      <c r="GIJ85" s="70">
        <v>0</v>
      </c>
      <c r="GIK85" s="70">
        <v>0</v>
      </c>
      <c r="GIL85" s="70">
        <v>0</v>
      </c>
      <c r="GIM85" s="70">
        <v>0</v>
      </c>
      <c r="GIN85" s="70">
        <v>0</v>
      </c>
      <c r="GIO85" s="70">
        <v>0</v>
      </c>
      <c r="GIP85" s="70">
        <v>0</v>
      </c>
      <c r="GIQ85" s="70">
        <v>0</v>
      </c>
      <c r="GIR85" s="70">
        <v>0</v>
      </c>
      <c r="GIS85" s="70">
        <v>0</v>
      </c>
      <c r="GIT85" s="70">
        <v>0</v>
      </c>
      <c r="GIU85" s="70">
        <v>0</v>
      </c>
      <c r="GIV85" s="70">
        <v>0</v>
      </c>
      <c r="GIW85" s="70">
        <v>0</v>
      </c>
      <c r="GIX85" s="70">
        <v>0</v>
      </c>
      <c r="GIY85" s="70">
        <v>0</v>
      </c>
      <c r="GIZ85" s="70">
        <v>0</v>
      </c>
      <c r="GJA85" s="70">
        <v>0</v>
      </c>
      <c r="GJB85" s="70">
        <v>0</v>
      </c>
      <c r="GJC85" s="70">
        <v>0</v>
      </c>
      <c r="GJD85" s="70">
        <v>0</v>
      </c>
      <c r="GJE85" s="70">
        <v>0</v>
      </c>
      <c r="GJF85" s="70">
        <v>0</v>
      </c>
      <c r="GJG85" s="70">
        <v>0</v>
      </c>
      <c r="GJH85" s="70">
        <v>0</v>
      </c>
      <c r="GJI85" s="70">
        <v>0</v>
      </c>
      <c r="GJJ85" s="70">
        <v>0</v>
      </c>
      <c r="GJK85" s="70">
        <v>0</v>
      </c>
      <c r="GJL85" s="70">
        <v>0</v>
      </c>
      <c r="GJM85" s="70">
        <v>0</v>
      </c>
      <c r="GJN85" s="70">
        <v>0</v>
      </c>
      <c r="GJO85" s="70">
        <v>0</v>
      </c>
      <c r="GJP85" s="70">
        <v>0</v>
      </c>
      <c r="GJQ85" s="70">
        <v>0</v>
      </c>
      <c r="GJR85" s="70">
        <v>0</v>
      </c>
      <c r="GJS85" s="70">
        <v>0</v>
      </c>
      <c r="GJT85" s="70">
        <v>0</v>
      </c>
      <c r="GJU85" s="70">
        <v>0</v>
      </c>
      <c r="GJV85" s="70">
        <v>0</v>
      </c>
      <c r="GJW85" s="70">
        <v>0</v>
      </c>
      <c r="GJX85" s="70">
        <v>0</v>
      </c>
      <c r="GJY85" s="70">
        <v>0</v>
      </c>
      <c r="GJZ85" s="70">
        <v>0</v>
      </c>
      <c r="GKA85" s="70">
        <v>0</v>
      </c>
      <c r="GKB85" s="70">
        <v>0</v>
      </c>
      <c r="GKC85" s="70">
        <v>0</v>
      </c>
      <c r="GKD85" s="70">
        <v>0</v>
      </c>
      <c r="GKE85" s="70">
        <v>0</v>
      </c>
      <c r="GKF85" s="70">
        <v>0</v>
      </c>
      <c r="GKG85" s="70">
        <v>0</v>
      </c>
      <c r="GKH85" s="70">
        <v>0</v>
      </c>
      <c r="GKI85" s="70">
        <v>0</v>
      </c>
      <c r="GKJ85" s="70">
        <v>0</v>
      </c>
      <c r="GKK85" s="70">
        <v>0</v>
      </c>
      <c r="GKL85" s="70">
        <v>0</v>
      </c>
      <c r="GKM85" s="70">
        <v>0</v>
      </c>
      <c r="GKN85" s="70">
        <v>0</v>
      </c>
      <c r="GKO85" s="70">
        <v>0</v>
      </c>
      <c r="GKP85" s="70">
        <v>0</v>
      </c>
      <c r="GKQ85" s="70">
        <v>0</v>
      </c>
      <c r="GKR85" s="70">
        <v>0</v>
      </c>
      <c r="GKS85" s="70">
        <v>0</v>
      </c>
      <c r="GKT85" s="70">
        <v>0</v>
      </c>
      <c r="GKU85" s="70">
        <v>0</v>
      </c>
      <c r="GKV85" s="70">
        <v>0</v>
      </c>
      <c r="GKW85" s="70">
        <v>0</v>
      </c>
      <c r="GKX85" s="70">
        <v>0</v>
      </c>
      <c r="GKY85" s="70">
        <v>0</v>
      </c>
      <c r="GKZ85" s="70">
        <v>0</v>
      </c>
      <c r="GLA85" s="70">
        <v>0</v>
      </c>
      <c r="GLB85" s="70">
        <v>0</v>
      </c>
      <c r="GLC85" s="70">
        <v>0</v>
      </c>
      <c r="GLD85" s="70">
        <v>0</v>
      </c>
      <c r="GLE85" s="70">
        <v>0</v>
      </c>
      <c r="GLF85" s="70">
        <v>0</v>
      </c>
      <c r="GLG85" s="70">
        <v>0</v>
      </c>
      <c r="GLH85" s="70">
        <v>0</v>
      </c>
      <c r="GLI85" s="70">
        <v>0</v>
      </c>
      <c r="GLJ85" s="70">
        <v>0</v>
      </c>
      <c r="GLK85" s="70">
        <v>0</v>
      </c>
      <c r="GLL85" s="70">
        <v>0</v>
      </c>
      <c r="GLM85" s="70">
        <v>0</v>
      </c>
      <c r="GLN85" s="70">
        <v>0</v>
      </c>
      <c r="GLO85" s="70">
        <v>0</v>
      </c>
      <c r="GLP85" s="70">
        <v>0</v>
      </c>
      <c r="GLQ85" s="70">
        <v>0</v>
      </c>
      <c r="GLR85" s="70">
        <v>0</v>
      </c>
      <c r="GLS85" s="70">
        <v>0</v>
      </c>
      <c r="GLT85" s="70">
        <v>0</v>
      </c>
      <c r="GLU85" s="70">
        <v>0</v>
      </c>
      <c r="GLV85" s="70">
        <v>0</v>
      </c>
      <c r="GLW85" s="70">
        <v>0</v>
      </c>
      <c r="GLX85" s="70">
        <v>0</v>
      </c>
      <c r="GLY85" s="70">
        <v>0</v>
      </c>
      <c r="GLZ85" s="70">
        <v>0</v>
      </c>
      <c r="GMA85" s="70">
        <v>0</v>
      </c>
      <c r="GMB85" s="70">
        <v>0</v>
      </c>
      <c r="GMC85" s="70">
        <v>0</v>
      </c>
      <c r="GMD85" s="70">
        <v>0</v>
      </c>
      <c r="GME85" s="70">
        <v>0</v>
      </c>
      <c r="GMF85" s="70">
        <v>0</v>
      </c>
      <c r="GMG85" s="70">
        <v>0</v>
      </c>
      <c r="GMH85" s="70">
        <v>0</v>
      </c>
      <c r="GMI85" s="70">
        <v>0</v>
      </c>
      <c r="GMJ85" s="70">
        <v>0</v>
      </c>
      <c r="GMK85" s="70">
        <v>0</v>
      </c>
      <c r="GML85" s="70">
        <v>0</v>
      </c>
      <c r="GMM85" s="70">
        <v>0</v>
      </c>
      <c r="GMN85" s="70">
        <v>0</v>
      </c>
      <c r="GMO85" s="70">
        <v>0</v>
      </c>
      <c r="GMP85" s="70">
        <v>0</v>
      </c>
      <c r="GMQ85" s="70">
        <v>0</v>
      </c>
      <c r="GMR85" s="70">
        <v>0</v>
      </c>
      <c r="GMS85" s="70">
        <v>0</v>
      </c>
      <c r="GMT85" s="70">
        <v>0</v>
      </c>
      <c r="GMU85" s="70">
        <v>0</v>
      </c>
      <c r="GMV85" s="70">
        <v>0</v>
      </c>
      <c r="GMW85" s="70">
        <v>0</v>
      </c>
      <c r="GMX85" s="70">
        <v>0</v>
      </c>
      <c r="GMY85" s="70">
        <v>0</v>
      </c>
      <c r="GMZ85" s="70">
        <v>0</v>
      </c>
      <c r="GNA85" s="70">
        <v>0</v>
      </c>
      <c r="GNB85" s="70">
        <v>0</v>
      </c>
      <c r="GNC85" s="70">
        <v>0</v>
      </c>
      <c r="GND85" s="70">
        <v>0</v>
      </c>
      <c r="GNE85" s="70">
        <v>0</v>
      </c>
      <c r="GNF85" s="70">
        <v>0</v>
      </c>
      <c r="GNG85" s="70">
        <v>0</v>
      </c>
      <c r="GNH85" s="70">
        <v>0</v>
      </c>
      <c r="GNI85" s="70">
        <v>0</v>
      </c>
      <c r="GNJ85" s="70">
        <v>0</v>
      </c>
      <c r="GNK85" s="70">
        <v>0</v>
      </c>
      <c r="GNL85" s="70">
        <v>0</v>
      </c>
      <c r="GNM85" s="70">
        <v>0</v>
      </c>
      <c r="GNN85" s="70">
        <v>0</v>
      </c>
      <c r="GNO85" s="70">
        <v>0</v>
      </c>
      <c r="GNP85" s="70">
        <v>0</v>
      </c>
      <c r="GNQ85" s="70">
        <v>0</v>
      </c>
      <c r="GNR85" s="70">
        <v>0</v>
      </c>
      <c r="GNS85" s="70">
        <v>0</v>
      </c>
      <c r="GNT85" s="70">
        <v>0</v>
      </c>
      <c r="GNU85" s="70">
        <v>0</v>
      </c>
      <c r="GNV85" s="70">
        <v>0</v>
      </c>
      <c r="GNW85" s="70">
        <v>0</v>
      </c>
      <c r="GNX85" s="70">
        <v>0</v>
      </c>
      <c r="GNY85" s="70">
        <v>0</v>
      </c>
      <c r="GNZ85" s="70">
        <v>0</v>
      </c>
      <c r="GOA85" s="70">
        <v>0</v>
      </c>
      <c r="GOB85" s="70">
        <v>0</v>
      </c>
      <c r="GOC85" s="70">
        <v>0</v>
      </c>
      <c r="GOD85" s="70">
        <v>0</v>
      </c>
      <c r="GOE85" s="70">
        <v>0</v>
      </c>
      <c r="GOF85" s="70">
        <v>0</v>
      </c>
      <c r="GOG85" s="70">
        <v>0</v>
      </c>
      <c r="GOH85" s="70">
        <v>0</v>
      </c>
      <c r="GOI85" s="70">
        <v>0</v>
      </c>
      <c r="GOJ85" s="70">
        <v>0</v>
      </c>
      <c r="GOK85" s="70">
        <v>0</v>
      </c>
      <c r="GOL85" s="70">
        <v>0</v>
      </c>
      <c r="GOM85" s="70">
        <v>0</v>
      </c>
      <c r="GON85" s="70">
        <v>0</v>
      </c>
      <c r="GOO85" s="70">
        <v>0</v>
      </c>
      <c r="GOP85" s="70">
        <v>0</v>
      </c>
      <c r="GOQ85" s="70">
        <v>0</v>
      </c>
      <c r="GOR85" s="70">
        <v>0</v>
      </c>
      <c r="GOS85" s="70">
        <v>0</v>
      </c>
      <c r="GOT85" s="70">
        <v>0</v>
      </c>
      <c r="GOU85" s="70">
        <v>0</v>
      </c>
      <c r="GOV85" s="70">
        <v>0</v>
      </c>
      <c r="GOW85" s="70">
        <v>0</v>
      </c>
      <c r="GOX85" s="70">
        <v>0</v>
      </c>
      <c r="GOY85" s="70">
        <v>0</v>
      </c>
      <c r="GOZ85" s="70">
        <v>0</v>
      </c>
      <c r="GPA85" s="70">
        <v>0</v>
      </c>
      <c r="GPB85" s="70">
        <v>0</v>
      </c>
      <c r="GPC85" s="70">
        <v>0</v>
      </c>
      <c r="GPD85" s="70">
        <v>0</v>
      </c>
      <c r="GPE85" s="70">
        <v>0</v>
      </c>
      <c r="GPF85" s="70">
        <v>0</v>
      </c>
      <c r="GPG85" s="70">
        <v>0</v>
      </c>
      <c r="GPH85" s="70">
        <v>0</v>
      </c>
      <c r="GPI85" s="70">
        <v>0</v>
      </c>
      <c r="GPJ85" s="70">
        <v>0</v>
      </c>
      <c r="GPK85" s="70">
        <v>0</v>
      </c>
      <c r="GPL85" s="70">
        <v>0</v>
      </c>
      <c r="GPM85" s="70">
        <v>0</v>
      </c>
      <c r="GPN85" s="70">
        <v>0</v>
      </c>
      <c r="GPO85" s="70">
        <v>0</v>
      </c>
      <c r="GPP85" s="70">
        <v>0</v>
      </c>
      <c r="GPQ85" s="70">
        <v>0</v>
      </c>
      <c r="GPR85" s="70">
        <v>0</v>
      </c>
      <c r="GPS85" s="70">
        <v>0</v>
      </c>
      <c r="GPT85" s="70">
        <v>0</v>
      </c>
      <c r="GPU85" s="70">
        <v>0</v>
      </c>
      <c r="GPV85" s="70">
        <v>0</v>
      </c>
      <c r="GPW85" s="70">
        <v>0</v>
      </c>
      <c r="GPX85" s="70">
        <v>0</v>
      </c>
      <c r="GPY85" s="70">
        <v>0</v>
      </c>
      <c r="GPZ85" s="70">
        <v>0</v>
      </c>
      <c r="GQA85" s="70">
        <v>0</v>
      </c>
      <c r="GQB85" s="70">
        <v>0</v>
      </c>
      <c r="GQC85" s="70">
        <v>0</v>
      </c>
      <c r="GQD85" s="70">
        <v>0</v>
      </c>
      <c r="GQE85" s="70">
        <v>0</v>
      </c>
      <c r="GQF85" s="70">
        <v>0</v>
      </c>
      <c r="GQG85" s="70">
        <v>0</v>
      </c>
      <c r="GQH85" s="70">
        <v>0</v>
      </c>
      <c r="GQI85" s="70">
        <v>0</v>
      </c>
      <c r="GQJ85" s="70">
        <v>0</v>
      </c>
      <c r="GQK85" s="70">
        <v>0</v>
      </c>
      <c r="GQL85" s="70">
        <v>0</v>
      </c>
      <c r="GQM85" s="70">
        <v>0</v>
      </c>
      <c r="GQN85" s="70">
        <v>0</v>
      </c>
      <c r="GQO85" s="70">
        <v>0</v>
      </c>
      <c r="GQP85" s="70">
        <v>0</v>
      </c>
      <c r="GQQ85" s="70">
        <v>0</v>
      </c>
      <c r="GQR85" s="70">
        <v>0</v>
      </c>
      <c r="GQS85" s="70">
        <v>0</v>
      </c>
      <c r="GQT85" s="70">
        <v>0</v>
      </c>
      <c r="GQU85" s="70">
        <v>0</v>
      </c>
      <c r="GQV85" s="70">
        <v>0</v>
      </c>
      <c r="GQW85" s="70">
        <v>0</v>
      </c>
      <c r="GQX85" s="70">
        <v>0</v>
      </c>
      <c r="GQY85" s="70">
        <v>0</v>
      </c>
      <c r="GQZ85" s="70">
        <v>0</v>
      </c>
      <c r="GRA85" s="70">
        <v>0</v>
      </c>
      <c r="GRB85" s="70">
        <v>0</v>
      </c>
      <c r="GRC85" s="70">
        <v>0</v>
      </c>
      <c r="GRD85" s="70">
        <v>0</v>
      </c>
      <c r="GRE85" s="70">
        <v>0</v>
      </c>
      <c r="GRF85" s="70">
        <v>0</v>
      </c>
      <c r="GRG85" s="70">
        <v>0</v>
      </c>
      <c r="GRH85" s="70">
        <v>0</v>
      </c>
      <c r="GRI85" s="70">
        <v>0</v>
      </c>
      <c r="GRJ85" s="70">
        <v>0</v>
      </c>
      <c r="GRK85" s="70">
        <v>0</v>
      </c>
      <c r="GRL85" s="70">
        <v>0</v>
      </c>
      <c r="GRM85" s="70">
        <v>0</v>
      </c>
      <c r="GRN85" s="70">
        <v>0</v>
      </c>
      <c r="GRO85" s="70">
        <v>0</v>
      </c>
      <c r="GRP85" s="70">
        <v>0</v>
      </c>
      <c r="GRQ85" s="70">
        <v>0</v>
      </c>
      <c r="GRR85" s="70">
        <v>0</v>
      </c>
      <c r="GRS85" s="70">
        <v>0</v>
      </c>
      <c r="GRT85" s="70">
        <v>0</v>
      </c>
      <c r="GRU85" s="70">
        <v>0</v>
      </c>
      <c r="GRV85" s="70">
        <v>0</v>
      </c>
      <c r="GRW85" s="70">
        <v>0</v>
      </c>
      <c r="GRX85" s="70">
        <v>0</v>
      </c>
      <c r="GRY85" s="70">
        <v>0</v>
      </c>
      <c r="GRZ85" s="70">
        <v>0</v>
      </c>
      <c r="GSA85" s="70">
        <v>0</v>
      </c>
      <c r="GSB85" s="70">
        <v>0</v>
      </c>
      <c r="GSC85" s="70">
        <v>0</v>
      </c>
      <c r="GSD85" s="70">
        <v>0</v>
      </c>
      <c r="GSE85" s="70">
        <v>0</v>
      </c>
      <c r="GSF85" s="70">
        <v>0</v>
      </c>
      <c r="GSG85" s="70">
        <v>0</v>
      </c>
      <c r="GSH85" s="70">
        <v>0</v>
      </c>
      <c r="GSI85" s="70">
        <v>0</v>
      </c>
      <c r="GSJ85" s="70">
        <v>0</v>
      </c>
      <c r="GSK85" s="70">
        <v>0</v>
      </c>
      <c r="GSL85" s="70">
        <v>0</v>
      </c>
      <c r="GSM85" s="70">
        <v>0</v>
      </c>
      <c r="GSN85" s="70">
        <v>0</v>
      </c>
      <c r="GSO85" s="70">
        <v>0</v>
      </c>
      <c r="GSP85" s="70">
        <v>0</v>
      </c>
      <c r="GSQ85" s="70">
        <v>0</v>
      </c>
      <c r="GSR85" s="70">
        <v>0</v>
      </c>
      <c r="GSS85" s="70">
        <v>0</v>
      </c>
      <c r="GST85" s="70">
        <v>0</v>
      </c>
      <c r="GSU85" s="70">
        <v>0</v>
      </c>
      <c r="GSV85" s="70">
        <v>0</v>
      </c>
      <c r="GSW85" s="70">
        <v>0</v>
      </c>
      <c r="GSX85" s="70">
        <v>0</v>
      </c>
      <c r="GSY85" s="70">
        <v>0</v>
      </c>
      <c r="GSZ85" s="70">
        <v>0</v>
      </c>
      <c r="GTA85" s="70">
        <v>0</v>
      </c>
      <c r="GTB85" s="70">
        <v>0</v>
      </c>
      <c r="GTC85" s="70">
        <v>0</v>
      </c>
      <c r="GTD85" s="70">
        <v>0</v>
      </c>
      <c r="GTE85" s="70">
        <v>0</v>
      </c>
      <c r="GTF85" s="70">
        <v>0</v>
      </c>
      <c r="GTG85" s="70">
        <v>0</v>
      </c>
      <c r="GTH85" s="70">
        <v>0</v>
      </c>
      <c r="GTI85" s="70">
        <v>0</v>
      </c>
      <c r="GTJ85" s="70">
        <v>0</v>
      </c>
      <c r="GTK85" s="70">
        <v>0</v>
      </c>
      <c r="GTL85" s="70">
        <v>0</v>
      </c>
      <c r="GTM85" s="70">
        <v>0</v>
      </c>
      <c r="GTN85" s="70">
        <v>0</v>
      </c>
      <c r="GTO85" s="70">
        <v>0</v>
      </c>
      <c r="GTP85" s="70">
        <v>0</v>
      </c>
      <c r="GTQ85" s="70">
        <v>0</v>
      </c>
      <c r="GTR85" s="70">
        <v>0</v>
      </c>
      <c r="GTS85" s="70">
        <v>0</v>
      </c>
      <c r="GTT85" s="70">
        <v>0</v>
      </c>
      <c r="GTU85" s="70">
        <v>0</v>
      </c>
      <c r="GTV85" s="70">
        <v>0</v>
      </c>
      <c r="GTW85" s="70">
        <v>0</v>
      </c>
      <c r="GTX85" s="70">
        <v>0</v>
      </c>
      <c r="GTY85" s="70">
        <v>0</v>
      </c>
      <c r="GTZ85" s="70">
        <v>0</v>
      </c>
      <c r="GUA85" s="70">
        <v>0</v>
      </c>
      <c r="GUB85" s="70">
        <v>0</v>
      </c>
      <c r="GUC85" s="70">
        <v>0</v>
      </c>
      <c r="GUD85" s="70">
        <v>0</v>
      </c>
      <c r="GUE85" s="70">
        <v>0</v>
      </c>
      <c r="GUF85" s="70">
        <v>0</v>
      </c>
      <c r="GUG85" s="70">
        <v>0</v>
      </c>
      <c r="GUH85" s="70">
        <v>0</v>
      </c>
      <c r="GUI85" s="70">
        <v>0</v>
      </c>
      <c r="GUJ85" s="70">
        <v>0</v>
      </c>
      <c r="GUK85" s="70">
        <v>0</v>
      </c>
      <c r="GUL85" s="70">
        <v>0</v>
      </c>
      <c r="GUM85" s="70">
        <v>0</v>
      </c>
      <c r="GUN85" s="70">
        <v>0</v>
      </c>
      <c r="GUO85" s="70">
        <v>0</v>
      </c>
      <c r="GUP85" s="70">
        <v>0</v>
      </c>
      <c r="GUQ85" s="70">
        <v>0</v>
      </c>
      <c r="GUR85" s="70">
        <v>0</v>
      </c>
      <c r="GUS85" s="70">
        <v>0</v>
      </c>
      <c r="GUT85" s="70">
        <v>0</v>
      </c>
      <c r="GUU85" s="70">
        <v>0</v>
      </c>
      <c r="GUV85" s="70">
        <v>0</v>
      </c>
      <c r="GUW85" s="70">
        <v>0</v>
      </c>
      <c r="GUX85" s="70">
        <v>0</v>
      </c>
      <c r="GUY85" s="70">
        <v>0</v>
      </c>
      <c r="GUZ85" s="70">
        <v>0</v>
      </c>
      <c r="GVA85" s="70">
        <v>0</v>
      </c>
      <c r="GVB85" s="70">
        <v>0</v>
      </c>
      <c r="GVC85" s="70">
        <v>0</v>
      </c>
      <c r="GVD85" s="70">
        <v>0</v>
      </c>
      <c r="GVE85" s="70">
        <v>0</v>
      </c>
      <c r="GVF85" s="70">
        <v>0</v>
      </c>
      <c r="GVG85" s="70">
        <v>0</v>
      </c>
      <c r="GVH85" s="70">
        <v>0</v>
      </c>
      <c r="GVI85" s="70">
        <v>0</v>
      </c>
      <c r="GVJ85" s="70">
        <v>0</v>
      </c>
      <c r="GVK85" s="70">
        <v>0</v>
      </c>
      <c r="GVL85" s="70">
        <v>0</v>
      </c>
      <c r="GVM85" s="70">
        <v>0</v>
      </c>
      <c r="GVN85" s="70">
        <v>0</v>
      </c>
      <c r="GVO85" s="70">
        <v>0</v>
      </c>
      <c r="GVP85" s="70">
        <v>0</v>
      </c>
      <c r="GVQ85" s="70">
        <v>0</v>
      </c>
      <c r="GVR85" s="70">
        <v>0</v>
      </c>
      <c r="GVS85" s="70">
        <v>0</v>
      </c>
      <c r="GVT85" s="70">
        <v>0</v>
      </c>
      <c r="GVU85" s="70">
        <v>0</v>
      </c>
      <c r="GVV85" s="70">
        <v>0</v>
      </c>
      <c r="GVW85" s="70">
        <v>0</v>
      </c>
      <c r="GVX85" s="70">
        <v>0</v>
      </c>
      <c r="GVY85" s="70">
        <v>0</v>
      </c>
      <c r="GVZ85" s="70">
        <v>0</v>
      </c>
      <c r="GWA85" s="70">
        <v>0</v>
      </c>
      <c r="GWB85" s="70">
        <v>0</v>
      </c>
      <c r="GWC85" s="70">
        <v>0</v>
      </c>
      <c r="GWD85" s="70">
        <v>0</v>
      </c>
      <c r="GWE85" s="70">
        <v>0</v>
      </c>
      <c r="GWF85" s="70">
        <v>0</v>
      </c>
      <c r="GWG85" s="70">
        <v>0</v>
      </c>
      <c r="GWH85" s="70">
        <v>0</v>
      </c>
      <c r="GWI85" s="70">
        <v>0</v>
      </c>
      <c r="GWJ85" s="70">
        <v>0</v>
      </c>
      <c r="GWK85" s="70">
        <v>0</v>
      </c>
      <c r="GWL85" s="70">
        <v>0</v>
      </c>
      <c r="GWM85" s="70">
        <v>0</v>
      </c>
      <c r="GWN85" s="70">
        <v>0</v>
      </c>
      <c r="GWO85" s="70">
        <v>0</v>
      </c>
      <c r="GWP85" s="70">
        <v>0</v>
      </c>
      <c r="GWQ85" s="70">
        <v>0</v>
      </c>
      <c r="GWR85" s="70">
        <v>0</v>
      </c>
      <c r="GWS85" s="70">
        <v>0</v>
      </c>
      <c r="GWT85" s="70">
        <v>0</v>
      </c>
      <c r="GWU85" s="70">
        <v>0</v>
      </c>
      <c r="GWV85" s="70">
        <v>0</v>
      </c>
      <c r="GWW85" s="70">
        <v>0</v>
      </c>
      <c r="GWX85" s="70">
        <v>0</v>
      </c>
      <c r="GWY85" s="70">
        <v>0</v>
      </c>
      <c r="GWZ85" s="70">
        <v>0</v>
      </c>
      <c r="GXA85" s="70">
        <v>0</v>
      </c>
      <c r="GXB85" s="70">
        <v>0</v>
      </c>
      <c r="GXC85" s="70">
        <v>0</v>
      </c>
      <c r="GXD85" s="70">
        <v>0</v>
      </c>
      <c r="GXE85" s="70">
        <v>0</v>
      </c>
      <c r="GXF85" s="70">
        <v>0</v>
      </c>
      <c r="GXG85" s="70">
        <v>0</v>
      </c>
      <c r="GXH85" s="70">
        <v>0</v>
      </c>
      <c r="GXI85" s="70">
        <v>0</v>
      </c>
      <c r="GXJ85" s="70">
        <v>0</v>
      </c>
      <c r="GXK85" s="70">
        <v>0</v>
      </c>
      <c r="GXL85" s="70">
        <v>0</v>
      </c>
      <c r="GXM85" s="70">
        <v>0</v>
      </c>
      <c r="GXN85" s="70">
        <v>0</v>
      </c>
      <c r="GXO85" s="70">
        <v>0</v>
      </c>
      <c r="GXP85" s="70">
        <v>0</v>
      </c>
      <c r="GXQ85" s="70">
        <v>0</v>
      </c>
      <c r="GXR85" s="70">
        <v>0</v>
      </c>
      <c r="GXS85" s="70">
        <v>0</v>
      </c>
      <c r="GXT85" s="70">
        <v>0</v>
      </c>
      <c r="GXU85" s="70">
        <v>0</v>
      </c>
      <c r="GXV85" s="70">
        <v>0</v>
      </c>
      <c r="GXW85" s="70">
        <v>0</v>
      </c>
      <c r="GXX85" s="70">
        <v>0</v>
      </c>
      <c r="GXY85" s="70">
        <v>0</v>
      </c>
      <c r="GXZ85" s="70">
        <v>0</v>
      </c>
      <c r="GYA85" s="70">
        <v>0</v>
      </c>
      <c r="GYB85" s="70">
        <v>0</v>
      </c>
      <c r="GYC85" s="70">
        <v>0</v>
      </c>
      <c r="GYD85" s="70">
        <v>0</v>
      </c>
      <c r="GYE85" s="70">
        <v>0</v>
      </c>
      <c r="GYF85" s="70">
        <v>0</v>
      </c>
      <c r="GYG85" s="70">
        <v>0</v>
      </c>
      <c r="GYH85" s="70">
        <v>0</v>
      </c>
      <c r="GYI85" s="70">
        <v>0</v>
      </c>
      <c r="GYJ85" s="70">
        <v>0</v>
      </c>
      <c r="GYK85" s="70">
        <v>0</v>
      </c>
      <c r="GYL85" s="70">
        <v>0</v>
      </c>
      <c r="GYM85" s="70">
        <v>0</v>
      </c>
      <c r="GYN85" s="70">
        <v>0</v>
      </c>
      <c r="GYO85" s="70">
        <v>0</v>
      </c>
      <c r="GYP85" s="70">
        <v>0</v>
      </c>
      <c r="GYQ85" s="70">
        <v>0</v>
      </c>
      <c r="GYR85" s="70">
        <v>0</v>
      </c>
      <c r="GYS85" s="70">
        <v>0</v>
      </c>
      <c r="GYT85" s="70">
        <v>0</v>
      </c>
      <c r="GYU85" s="70">
        <v>0</v>
      </c>
      <c r="GYV85" s="70">
        <v>0</v>
      </c>
      <c r="GYW85" s="70">
        <v>0</v>
      </c>
      <c r="GYX85" s="70">
        <v>0</v>
      </c>
      <c r="GYY85" s="70">
        <v>0</v>
      </c>
      <c r="GYZ85" s="70">
        <v>0</v>
      </c>
      <c r="GZA85" s="70">
        <v>0</v>
      </c>
      <c r="GZB85" s="70">
        <v>0</v>
      </c>
      <c r="GZC85" s="70">
        <v>0</v>
      </c>
      <c r="GZD85" s="70">
        <v>0</v>
      </c>
      <c r="GZE85" s="70">
        <v>0</v>
      </c>
      <c r="GZF85" s="70">
        <v>0</v>
      </c>
      <c r="GZG85" s="70">
        <v>0</v>
      </c>
      <c r="GZH85" s="70">
        <v>0</v>
      </c>
      <c r="GZI85" s="70">
        <v>0</v>
      </c>
      <c r="GZJ85" s="70">
        <v>0</v>
      </c>
      <c r="GZK85" s="70">
        <v>0</v>
      </c>
      <c r="GZL85" s="70">
        <v>0</v>
      </c>
      <c r="GZM85" s="70">
        <v>0</v>
      </c>
      <c r="GZN85" s="70">
        <v>0</v>
      </c>
      <c r="GZO85" s="70">
        <v>0</v>
      </c>
      <c r="GZP85" s="70">
        <v>0</v>
      </c>
      <c r="GZQ85" s="70">
        <v>0</v>
      </c>
      <c r="GZR85" s="70">
        <v>0</v>
      </c>
      <c r="GZS85" s="70">
        <v>0</v>
      </c>
      <c r="GZT85" s="70">
        <v>0</v>
      </c>
      <c r="GZU85" s="70">
        <v>0</v>
      </c>
      <c r="GZV85" s="70">
        <v>0</v>
      </c>
      <c r="GZW85" s="70">
        <v>0</v>
      </c>
      <c r="GZX85" s="70">
        <v>0</v>
      </c>
      <c r="GZY85" s="70">
        <v>0</v>
      </c>
      <c r="GZZ85" s="70">
        <v>0</v>
      </c>
      <c r="HAA85" s="70">
        <v>0</v>
      </c>
      <c r="HAB85" s="70">
        <v>0</v>
      </c>
      <c r="HAC85" s="70">
        <v>0</v>
      </c>
      <c r="HAD85" s="70">
        <v>0</v>
      </c>
      <c r="HAE85" s="70">
        <v>0</v>
      </c>
      <c r="HAF85" s="70">
        <v>0</v>
      </c>
      <c r="HAG85" s="70">
        <v>0</v>
      </c>
      <c r="HAH85" s="70">
        <v>0</v>
      </c>
      <c r="HAI85" s="70">
        <v>0</v>
      </c>
      <c r="HAJ85" s="70">
        <v>0</v>
      </c>
      <c r="HAK85" s="70">
        <v>0</v>
      </c>
      <c r="HAL85" s="70">
        <v>0</v>
      </c>
      <c r="HAM85" s="70">
        <v>0</v>
      </c>
      <c r="HAN85" s="70">
        <v>0</v>
      </c>
      <c r="HAO85" s="70">
        <v>0</v>
      </c>
      <c r="HAP85" s="70">
        <v>0</v>
      </c>
      <c r="HAQ85" s="70">
        <v>0</v>
      </c>
      <c r="HAR85" s="70">
        <v>0</v>
      </c>
      <c r="HAS85" s="70">
        <v>0</v>
      </c>
      <c r="HAT85" s="70">
        <v>0</v>
      </c>
      <c r="HAU85" s="70">
        <v>0</v>
      </c>
      <c r="HAV85" s="70">
        <v>0</v>
      </c>
      <c r="HAW85" s="70">
        <v>0</v>
      </c>
      <c r="HAX85" s="70">
        <v>0</v>
      </c>
      <c r="HAY85" s="70">
        <v>0</v>
      </c>
      <c r="HAZ85" s="70">
        <v>0</v>
      </c>
      <c r="HBA85" s="70">
        <v>0</v>
      </c>
      <c r="HBB85" s="70">
        <v>0</v>
      </c>
      <c r="HBC85" s="70">
        <v>0</v>
      </c>
      <c r="HBD85" s="70">
        <v>0</v>
      </c>
      <c r="HBE85" s="70">
        <v>0</v>
      </c>
      <c r="HBF85" s="70">
        <v>0</v>
      </c>
      <c r="HBG85" s="70">
        <v>0</v>
      </c>
      <c r="HBH85" s="70">
        <v>0</v>
      </c>
      <c r="HBI85" s="70">
        <v>0</v>
      </c>
      <c r="HBJ85" s="70">
        <v>0</v>
      </c>
      <c r="HBK85" s="70">
        <v>0</v>
      </c>
      <c r="HBL85" s="70">
        <v>0</v>
      </c>
      <c r="HBM85" s="70">
        <v>0</v>
      </c>
      <c r="HBN85" s="70">
        <v>0</v>
      </c>
      <c r="HBO85" s="70">
        <v>0</v>
      </c>
      <c r="HBP85" s="70">
        <v>0</v>
      </c>
      <c r="HBQ85" s="70">
        <v>0</v>
      </c>
      <c r="HBR85" s="70">
        <v>0</v>
      </c>
      <c r="HBS85" s="70">
        <v>0</v>
      </c>
      <c r="HBT85" s="70">
        <v>0</v>
      </c>
      <c r="HBU85" s="70">
        <v>0</v>
      </c>
      <c r="HBV85" s="70">
        <v>0</v>
      </c>
      <c r="HBW85" s="70">
        <v>0</v>
      </c>
      <c r="HBX85" s="70">
        <v>0</v>
      </c>
      <c r="HBY85" s="70">
        <v>0</v>
      </c>
      <c r="HBZ85" s="70">
        <v>0</v>
      </c>
      <c r="HCA85" s="70">
        <v>0</v>
      </c>
      <c r="HCB85" s="70">
        <v>0</v>
      </c>
      <c r="HCC85" s="70">
        <v>0</v>
      </c>
      <c r="HCD85" s="70">
        <v>0</v>
      </c>
      <c r="HCE85" s="70">
        <v>0</v>
      </c>
      <c r="HCF85" s="70">
        <v>0</v>
      </c>
      <c r="HCG85" s="70">
        <v>0</v>
      </c>
      <c r="HCH85" s="70">
        <v>0</v>
      </c>
      <c r="HCI85" s="70">
        <v>0</v>
      </c>
      <c r="HCJ85" s="70">
        <v>0</v>
      </c>
      <c r="HCK85" s="70">
        <v>0</v>
      </c>
      <c r="HCL85" s="70">
        <v>0</v>
      </c>
      <c r="HCM85" s="70">
        <v>0</v>
      </c>
      <c r="HCN85" s="70">
        <v>0</v>
      </c>
      <c r="HCO85" s="70">
        <v>0</v>
      </c>
      <c r="HCP85" s="70">
        <v>0</v>
      </c>
      <c r="HCQ85" s="70">
        <v>0</v>
      </c>
      <c r="HCR85" s="70">
        <v>0</v>
      </c>
      <c r="HCS85" s="70">
        <v>0</v>
      </c>
      <c r="HCT85" s="70">
        <v>0</v>
      </c>
      <c r="HCU85" s="70">
        <v>0</v>
      </c>
      <c r="HCV85" s="70">
        <v>0</v>
      </c>
      <c r="HCW85" s="70">
        <v>0</v>
      </c>
      <c r="HCX85" s="70">
        <v>0</v>
      </c>
      <c r="HCY85" s="70">
        <v>0</v>
      </c>
      <c r="HCZ85" s="70">
        <v>0</v>
      </c>
      <c r="HDA85" s="70">
        <v>0</v>
      </c>
      <c r="HDB85" s="70">
        <v>0</v>
      </c>
      <c r="HDC85" s="70">
        <v>0</v>
      </c>
      <c r="HDD85" s="70">
        <v>0</v>
      </c>
      <c r="HDE85" s="70">
        <v>0</v>
      </c>
      <c r="HDF85" s="70">
        <v>0</v>
      </c>
      <c r="HDG85" s="70">
        <v>0</v>
      </c>
      <c r="HDH85" s="70">
        <v>0</v>
      </c>
      <c r="HDI85" s="70">
        <v>0</v>
      </c>
      <c r="HDJ85" s="70">
        <v>0</v>
      </c>
      <c r="HDK85" s="70">
        <v>0</v>
      </c>
      <c r="HDL85" s="70">
        <v>0</v>
      </c>
      <c r="HDM85" s="70">
        <v>0</v>
      </c>
      <c r="HDN85" s="70">
        <v>0</v>
      </c>
      <c r="HDO85" s="70">
        <v>0</v>
      </c>
      <c r="HDP85" s="70">
        <v>0</v>
      </c>
      <c r="HDQ85" s="70">
        <v>0</v>
      </c>
      <c r="HDR85" s="70">
        <v>0</v>
      </c>
      <c r="HDS85" s="70">
        <v>0</v>
      </c>
      <c r="HDT85" s="70">
        <v>0</v>
      </c>
      <c r="HDU85" s="70">
        <v>0</v>
      </c>
      <c r="HDV85" s="70">
        <v>0</v>
      </c>
      <c r="HDW85" s="70">
        <v>0</v>
      </c>
      <c r="HDX85" s="70">
        <v>0</v>
      </c>
      <c r="HDY85" s="70">
        <v>0</v>
      </c>
      <c r="HDZ85" s="70">
        <v>0</v>
      </c>
      <c r="HEA85" s="70">
        <v>0</v>
      </c>
      <c r="HEB85" s="70">
        <v>0</v>
      </c>
      <c r="HEC85" s="70">
        <v>0</v>
      </c>
      <c r="HED85" s="70">
        <v>0</v>
      </c>
      <c r="HEE85" s="70">
        <v>0</v>
      </c>
      <c r="HEF85" s="70">
        <v>0</v>
      </c>
      <c r="HEG85" s="70">
        <v>0</v>
      </c>
      <c r="HEH85" s="70">
        <v>0</v>
      </c>
      <c r="HEI85" s="70">
        <v>0</v>
      </c>
      <c r="HEJ85" s="70">
        <v>0</v>
      </c>
      <c r="HEK85" s="70">
        <v>0</v>
      </c>
      <c r="HEL85" s="70">
        <v>0</v>
      </c>
      <c r="HEM85" s="70">
        <v>0</v>
      </c>
      <c r="HEN85" s="70">
        <v>0</v>
      </c>
      <c r="HEO85" s="70">
        <v>0</v>
      </c>
      <c r="HEP85" s="70">
        <v>0</v>
      </c>
      <c r="HEQ85" s="70">
        <v>0</v>
      </c>
      <c r="HER85" s="70">
        <v>0</v>
      </c>
      <c r="HES85" s="70">
        <v>0</v>
      </c>
      <c r="HET85" s="70">
        <v>0</v>
      </c>
      <c r="HEU85" s="70">
        <v>0</v>
      </c>
      <c r="HEV85" s="70">
        <v>0</v>
      </c>
      <c r="HEW85" s="70">
        <v>0</v>
      </c>
      <c r="HEX85" s="70">
        <v>0</v>
      </c>
      <c r="HEY85" s="70">
        <v>0</v>
      </c>
      <c r="HEZ85" s="70">
        <v>0</v>
      </c>
      <c r="HFA85" s="70">
        <v>0</v>
      </c>
      <c r="HFB85" s="70">
        <v>0</v>
      </c>
      <c r="HFC85" s="70">
        <v>0</v>
      </c>
      <c r="HFD85" s="70">
        <v>0</v>
      </c>
      <c r="HFE85" s="70">
        <v>0</v>
      </c>
      <c r="HFF85" s="70">
        <v>0</v>
      </c>
      <c r="HFG85" s="70">
        <v>0</v>
      </c>
      <c r="HFH85" s="70">
        <v>0</v>
      </c>
      <c r="HFI85" s="70">
        <v>0</v>
      </c>
      <c r="HFJ85" s="70">
        <v>0</v>
      </c>
      <c r="HFK85" s="70">
        <v>0</v>
      </c>
      <c r="HFL85" s="70">
        <v>0</v>
      </c>
      <c r="HFM85" s="70">
        <v>0</v>
      </c>
      <c r="HFN85" s="70">
        <v>0</v>
      </c>
      <c r="HFO85" s="70">
        <v>0</v>
      </c>
      <c r="HFP85" s="70">
        <v>0</v>
      </c>
      <c r="HFQ85" s="70">
        <v>0</v>
      </c>
      <c r="HFR85" s="70">
        <v>0</v>
      </c>
      <c r="HFS85" s="70">
        <v>0</v>
      </c>
      <c r="HFT85" s="70">
        <v>0</v>
      </c>
      <c r="HFU85" s="70">
        <v>0</v>
      </c>
      <c r="HFV85" s="70">
        <v>0</v>
      </c>
      <c r="HFW85" s="70">
        <v>0</v>
      </c>
      <c r="HFX85" s="70">
        <v>0</v>
      </c>
      <c r="HFY85" s="70">
        <v>0</v>
      </c>
      <c r="HFZ85" s="70">
        <v>0</v>
      </c>
      <c r="HGA85" s="70">
        <v>0</v>
      </c>
      <c r="HGB85" s="70">
        <v>0</v>
      </c>
      <c r="HGC85" s="70">
        <v>0</v>
      </c>
      <c r="HGD85" s="70">
        <v>0</v>
      </c>
      <c r="HGE85" s="70">
        <v>0</v>
      </c>
      <c r="HGF85" s="70">
        <v>0</v>
      </c>
      <c r="HGG85" s="70">
        <v>0</v>
      </c>
      <c r="HGH85" s="70">
        <v>0</v>
      </c>
      <c r="HGI85" s="70">
        <v>0</v>
      </c>
      <c r="HGJ85" s="70">
        <v>0</v>
      </c>
      <c r="HGK85" s="70">
        <v>0</v>
      </c>
      <c r="HGL85" s="70">
        <v>0</v>
      </c>
      <c r="HGM85" s="70">
        <v>0</v>
      </c>
      <c r="HGN85" s="70">
        <v>0</v>
      </c>
      <c r="HGO85" s="70">
        <v>0</v>
      </c>
      <c r="HGP85" s="70">
        <v>0</v>
      </c>
      <c r="HGQ85" s="70">
        <v>0</v>
      </c>
      <c r="HGR85" s="70">
        <v>0</v>
      </c>
      <c r="HGS85" s="70">
        <v>0</v>
      </c>
      <c r="HGT85" s="70">
        <v>0</v>
      </c>
      <c r="HGU85" s="70">
        <v>0</v>
      </c>
      <c r="HGV85" s="70">
        <v>0</v>
      </c>
      <c r="HGW85" s="70">
        <v>0</v>
      </c>
      <c r="HGX85" s="70">
        <v>0</v>
      </c>
      <c r="HGY85" s="70">
        <v>0</v>
      </c>
      <c r="HGZ85" s="70">
        <v>0</v>
      </c>
      <c r="HHA85" s="70">
        <v>0</v>
      </c>
      <c r="HHB85" s="70">
        <v>0</v>
      </c>
      <c r="HHC85" s="70">
        <v>0</v>
      </c>
      <c r="HHD85" s="70">
        <v>0</v>
      </c>
      <c r="HHE85" s="70">
        <v>0</v>
      </c>
      <c r="HHF85" s="70">
        <v>0</v>
      </c>
      <c r="HHG85" s="70">
        <v>0</v>
      </c>
      <c r="HHH85" s="70">
        <v>0</v>
      </c>
      <c r="HHI85" s="70">
        <v>0</v>
      </c>
      <c r="HHJ85" s="70">
        <v>0</v>
      </c>
      <c r="HHK85" s="70">
        <v>0</v>
      </c>
      <c r="HHL85" s="70">
        <v>0</v>
      </c>
      <c r="HHM85" s="70">
        <v>0</v>
      </c>
      <c r="HHN85" s="70">
        <v>0</v>
      </c>
      <c r="HHO85" s="70">
        <v>0</v>
      </c>
      <c r="HHP85" s="70">
        <v>0</v>
      </c>
      <c r="HHQ85" s="70">
        <v>0</v>
      </c>
      <c r="HHR85" s="70">
        <v>0</v>
      </c>
      <c r="HHS85" s="70">
        <v>0</v>
      </c>
      <c r="HHT85" s="70">
        <v>0</v>
      </c>
      <c r="HHU85" s="70">
        <v>0</v>
      </c>
      <c r="HHV85" s="70">
        <v>0</v>
      </c>
      <c r="HHW85" s="70">
        <v>0</v>
      </c>
      <c r="HHX85" s="70">
        <v>0</v>
      </c>
      <c r="HHY85" s="70">
        <v>0</v>
      </c>
      <c r="HHZ85" s="70">
        <v>0</v>
      </c>
      <c r="HIA85" s="70">
        <v>0</v>
      </c>
      <c r="HIB85" s="70">
        <v>0</v>
      </c>
      <c r="HIC85" s="70">
        <v>0</v>
      </c>
      <c r="HID85" s="70">
        <v>0</v>
      </c>
      <c r="HIE85" s="70">
        <v>0</v>
      </c>
      <c r="HIF85" s="70">
        <v>0</v>
      </c>
      <c r="HIG85" s="70">
        <v>0</v>
      </c>
      <c r="HIH85" s="70">
        <v>0</v>
      </c>
      <c r="HII85" s="70">
        <v>0</v>
      </c>
      <c r="HIJ85" s="70">
        <v>0</v>
      </c>
      <c r="HIK85" s="70">
        <v>0</v>
      </c>
      <c r="HIL85" s="70">
        <v>0</v>
      </c>
      <c r="HIM85" s="70">
        <v>0</v>
      </c>
      <c r="HIN85" s="70">
        <v>0</v>
      </c>
      <c r="HIO85" s="70">
        <v>0</v>
      </c>
      <c r="HIP85" s="70">
        <v>0</v>
      </c>
      <c r="HIQ85" s="70">
        <v>0</v>
      </c>
      <c r="HIR85" s="70">
        <v>0</v>
      </c>
      <c r="HIS85" s="70">
        <v>0</v>
      </c>
      <c r="HIT85" s="70">
        <v>0</v>
      </c>
      <c r="HIU85" s="70">
        <v>0</v>
      </c>
      <c r="HIV85" s="70">
        <v>0</v>
      </c>
      <c r="HIW85" s="70">
        <v>0</v>
      </c>
      <c r="HIX85" s="70">
        <v>0</v>
      </c>
      <c r="HIY85" s="70">
        <v>0</v>
      </c>
      <c r="HIZ85" s="70">
        <v>0</v>
      </c>
      <c r="HJA85" s="70">
        <v>0</v>
      </c>
      <c r="HJB85" s="70">
        <v>0</v>
      </c>
      <c r="HJC85" s="70">
        <v>0</v>
      </c>
      <c r="HJD85" s="70">
        <v>0</v>
      </c>
      <c r="HJE85" s="70">
        <v>0</v>
      </c>
      <c r="HJF85" s="70">
        <v>0</v>
      </c>
      <c r="HJG85" s="70">
        <v>0</v>
      </c>
      <c r="HJH85" s="70">
        <v>0</v>
      </c>
      <c r="HJI85" s="70">
        <v>0</v>
      </c>
      <c r="HJJ85" s="70">
        <v>0</v>
      </c>
      <c r="HJK85" s="70">
        <v>0</v>
      </c>
      <c r="HJL85" s="70">
        <v>0</v>
      </c>
      <c r="HJM85" s="70">
        <v>0</v>
      </c>
      <c r="HJN85" s="70">
        <v>0</v>
      </c>
      <c r="HJO85" s="70">
        <v>0</v>
      </c>
      <c r="HJP85" s="70">
        <v>0</v>
      </c>
      <c r="HJQ85" s="70">
        <v>0</v>
      </c>
      <c r="HJR85" s="70">
        <v>0</v>
      </c>
      <c r="HJS85" s="70">
        <v>0</v>
      </c>
      <c r="HJT85" s="70">
        <v>0</v>
      </c>
      <c r="HJU85" s="70">
        <v>0</v>
      </c>
      <c r="HJV85" s="70">
        <v>0</v>
      </c>
      <c r="HJW85" s="70">
        <v>0</v>
      </c>
      <c r="HJX85" s="70">
        <v>0</v>
      </c>
      <c r="HJY85" s="70">
        <v>0</v>
      </c>
      <c r="HJZ85" s="70">
        <v>0</v>
      </c>
      <c r="HKA85" s="70">
        <v>0</v>
      </c>
      <c r="HKB85" s="70">
        <v>0</v>
      </c>
      <c r="HKC85" s="70">
        <v>0</v>
      </c>
      <c r="HKD85" s="70">
        <v>0</v>
      </c>
      <c r="HKE85" s="70">
        <v>0</v>
      </c>
      <c r="HKF85" s="70">
        <v>0</v>
      </c>
      <c r="HKG85" s="70">
        <v>0</v>
      </c>
      <c r="HKH85" s="70">
        <v>0</v>
      </c>
      <c r="HKI85" s="70">
        <v>0</v>
      </c>
      <c r="HKJ85" s="70">
        <v>0</v>
      </c>
      <c r="HKK85" s="70">
        <v>0</v>
      </c>
      <c r="HKL85" s="70">
        <v>0</v>
      </c>
      <c r="HKM85" s="70">
        <v>0</v>
      </c>
      <c r="HKN85" s="70">
        <v>0</v>
      </c>
      <c r="HKO85" s="70">
        <v>0</v>
      </c>
      <c r="HKP85" s="70">
        <v>0</v>
      </c>
      <c r="HKQ85" s="70">
        <v>0</v>
      </c>
      <c r="HKR85" s="70">
        <v>0</v>
      </c>
      <c r="HKS85" s="70">
        <v>0</v>
      </c>
      <c r="HKT85" s="70">
        <v>0</v>
      </c>
      <c r="HKU85" s="70">
        <v>0</v>
      </c>
      <c r="HKV85" s="70">
        <v>0</v>
      </c>
      <c r="HKW85" s="70">
        <v>0</v>
      </c>
      <c r="HKX85" s="70">
        <v>0</v>
      </c>
      <c r="HKY85" s="70">
        <v>0</v>
      </c>
      <c r="HKZ85" s="70">
        <v>0</v>
      </c>
      <c r="HLA85" s="70">
        <v>0</v>
      </c>
      <c r="HLB85" s="70">
        <v>0</v>
      </c>
      <c r="HLC85" s="70">
        <v>0</v>
      </c>
      <c r="HLD85" s="70">
        <v>0</v>
      </c>
      <c r="HLE85" s="70">
        <v>0</v>
      </c>
      <c r="HLF85" s="70">
        <v>0</v>
      </c>
      <c r="HLG85" s="70">
        <v>0</v>
      </c>
      <c r="HLH85" s="70">
        <v>0</v>
      </c>
      <c r="HLI85" s="70">
        <v>0</v>
      </c>
      <c r="HLJ85" s="70">
        <v>0</v>
      </c>
      <c r="HLK85" s="70">
        <v>0</v>
      </c>
      <c r="HLL85" s="70">
        <v>0</v>
      </c>
      <c r="HLM85" s="70">
        <v>0</v>
      </c>
      <c r="HLN85" s="70">
        <v>0</v>
      </c>
      <c r="HLO85" s="70">
        <v>0</v>
      </c>
      <c r="HLP85" s="70">
        <v>0</v>
      </c>
      <c r="HLQ85" s="70">
        <v>0</v>
      </c>
      <c r="HLR85" s="70">
        <v>0</v>
      </c>
      <c r="HLS85" s="70">
        <v>0</v>
      </c>
      <c r="HLT85" s="70">
        <v>0</v>
      </c>
      <c r="HLU85" s="70">
        <v>0</v>
      </c>
      <c r="HLV85" s="70">
        <v>0</v>
      </c>
      <c r="HLW85" s="70">
        <v>0</v>
      </c>
      <c r="HLX85" s="70">
        <v>0</v>
      </c>
      <c r="HLY85" s="70">
        <v>0</v>
      </c>
      <c r="HLZ85" s="70">
        <v>0</v>
      </c>
      <c r="HMA85" s="70">
        <v>0</v>
      </c>
      <c r="HMB85" s="70">
        <v>0</v>
      </c>
      <c r="HMC85" s="70">
        <v>0</v>
      </c>
      <c r="HMD85" s="70">
        <v>0</v>
      </c>
      <c r="HME85" s="70">
        <v>0</v>
      </c>
      <c r="HMF85" s="70">
        <v>0</v>
      </c>
      <c r="HMG85" s="70">
        <v>0</v>
      </c>
      <c r="HMH85" s="70">
        <v>0</v>
      </c>
      <c r="HMI85" s="70">
        <v>0</v>
      </c>
      <c r="HMJ85" s="70">
        <v>0</v>
      </c>
      <c r="HMK85" s="70">
        <v>0</v>
      </c>
      <c r="HML85" s="70">
        <v>0</v>
      </c>
      <c r="HMM85" s="70">
        <v>0</v>
      </c>
      <c r="HMN85" s="70">
        <v>0</v>
      </c>
      <c r="HMO85" s="70">
        <v>0</v>
      </c>
      <c r="HMP85" s="70">
        <v>0</v>
      </c>
      <c r="HMQ85" s="70">
        <v>0</v>
      </c>
      <c r="HMR85" s="70">
        <v>0</v>
      </c>
      <c r="HMS85" s="70">
        <v>0</v>
      </c>
      <c r="HMT85" s="70">
        <v>0</v>
      </c>
      <c r="HMU85" s="70">
        <v>0</v>
      </c>
      <c r="HMV85" s="70">
        <v>0</v>
      </c>
      <c r="HMW85" s="70">
        <v>0</v>
      </c>
      <c r="HMX85" s="70">
        <v>0</v>
      </c>
      <c r="HMY85" s="70">
        <v>0</v>
      </c>
      <c r="HMZ85" s="70">
        <v>0</v>
      </c>
      <c r="HNA85" s="70">
        <v>0</v>
      </c>
      <c r="HNB85" s="70">
        <v>0</v>
      </c>
      <c r="HNC85" s="70">
        <v>0</v>
      </c>
      <c r="HND85" s="70">
        <v>0</v>
      </c>
      <c r="HNE85" s="70">
        <v>0</v>
      </c>
      <c r="HNF85" s="70">
        <v>0</v>
      </c>
      <c r="HNG85" s="70">
        <v>0</v>
      </c>
      <c r="HNH85" s="70">
        <v>0</v>
      </c>
      <c r="HNI85" s="70">
        <v>0</v>
      </c>
      <c r="HNJ85" s="70">
        <v>0</v>
      </c>
      <c r="HNK85" s="70">
        <v>0</v>
      </c>
      <c r="HNL85" s="70">
        <v>0</v>
      </c>
      <c r="HNM85" s="70">
        <v>0</v>
      </c>
      <c r="HNN85" s="70">
        <v>0</v>
      </c>
      <c r="HNO85" s="70">
        <v>0</v>
      </c>
      <c r="HNP85" s="70">
        <v>0</v>
      </c>
      <c r="HNQ85" s="70">
        <v>0</v>
      </c>
      <c r="HNR85" s="70">
        <v>0</v>
      </c>
      <c r="HNS85" s="70">
        <v>0</v>
      </c>
      <c r="HNT85" s="70">
        <v>0</v>
      </c>
      <c r="HNU85" s="70">
        <v>0</v>
      </c>
      <c r="HNV85" s="70">
        <v>0</v>
      </c>
      <c r="HNW85" s="70">
        <v>0</v>
      </c>
      <c r="HNX85" s="70">
        <v>0</v>
      </c>
      <c r="HNY85" s="70">
        <v>0</v>
      </c>
      <c r="HNZ85" s="70">
        <v>0</v>
      </c>
      <c r="HOA85" s="70">
        <v>0</v>
      </c>
      <c r="HOB85" s="70">
        <v>0</v>
      </c>
      <c r="HOC85" s="70">
        <v>0</v>
      </c>
      <c r="HOD85" s="70">
        <v>0</v>
      </c>
      <c r="HOE85" s="70">
        <v>0</v>
      </c>
      <c r="HOF85" s="70">
        <v>0</v>
      </c>
      <c r="HOG85" s="70">
        <v>0</v>
      </c>
      <c r="HOH85" s="70">
        <v>0</v>
      </c>
      <c r="HOI85" s="70">
        <v>0</v>
      </c>
      <c r="HOJ85" s="70">
        <v>0</v>
      </c>
      <c r="HOK85" s="70">
        <v>0</v>
      </c>
      <c r="HOL85" s="70">
        <v>0</v>
      </c>
      <c r="HOM85" s="70">
        <v>0</v>
      </c>
      <c r="HON85" s="70">
        <v>0</v>
      </c>
      <c r="HOO85" s="70">
        <v>0</v>
      </c>
      <c r="HOP85" s="70">
        <v>0</v>
      </c>
      <c r="HOQ85" s="70">
        <v>0</v>
      </c>
      <c r="HOR85" s="70">
        <v>0</v>
      </c>
      <c r="HOS85" s="70">
        <v>0</v>
      </c>
      <c r="HOT85" s="70">
        <v>0</v>
      </c>
      <c r="HOU85" s="70">
        <v>0</v>
      </c>
      <c r="HOV85" s="70">
        <v>0</v>
      </c>
      <c r="HOW85" s="70">
        <v>0</v>
      </c>
      <c r="HOX85" s="70">
        <v>0</v>
      </c>
      <c r="HOY85" s="70">
        <v>0</v>
      </c>
      <c r="HOZ85" s="70">
        <v>0</v>
      </c>
      <c r="HPA85" s="70">
        <v>0</v>
      </c>
      <c r="HPB85" s="70">
        <v>0</v>
      </c>
      <c r="HPC85" s="70">
        <v>0</v>
      </c>
      <c r="HPD85" s="70">
        <v>0</v>
      </c>
      <c r="HPE85" s="70">
        <v>0</v>
      </c>
      <c r="HPF85" s="70">
        <v>0</v>
      </c>
      <c r="HPG85" s="70">
        <v>0</v>
      </c>
      <c r="HPH85" s="70">
        <v>0</v>
      </c>
      <c r="HPI85" s="70">
        <v>0</v>
      </c>
      <c r="HPJ85" s="70">
        <v>0</v>
      </c>
      <c r="HPK85" s="70">
        <v>0</v>
      </c>
      <c r="HPL85" s="70">
        <v>0</v>
      </c>
      <c r="HPM85" s="70">
        <v>0</v>
      </c>
      <c r="HPN85" s="70">
        <v>0</v>
      </c>
      <c r="HPO85" s="70">
        <v>0</v>
      </c>
      <c r="HPP85" s="70">
        <v>0</v>
      </c>
      <c r="HPQ85" s="70">
        <v>0</v>
      </c>
      <c r="HPR85" s="70">
        <v>0</v>
      </c>
      <c r="HPS85" s="70">
        <v>0</v>
      </c>
      <c r="HPT85" s="70">
        <v>0</v>
      </c>
      <c r="HPU85" s="70">
        <v>0</v>
      </c>
      <c r="HPV85" s="70">
        <v>0</v>
      </c>
      <c r="HPW85" s="70">
        <v>0</v>
      </c>
      <c r="HPX85" s="70">
        <v>0</v>
      </c>
      <c r="HPY85" s="70">
        <v>0</v>
      </c>
      <c r="HPZ85" s="70">
        <v>0</v>
      </c>
      <c r="HQA85" s="70">
        <v>0</v>
      </c>
      <c r="HQB85" s="70">
        <v>0</v>
      </c>
      <c r="HQC85" s="70">
        <v>0</v>
      </c>
      <c r="HQD85" s="70">
        <v>0</v>
      </c>
      <c r="HQE85" s="70">
        <v>0</v>
      </c>
      <c r="HQF85" s="70">
        <v>0</v>
      </c>
      <c r="HQG85" s="70">
        <v>0</v>
      </c>
      <c r="HQH85" s="70">
        <v>0</v>
      </c>
      <c r="HQI85" s="70">
        <v>0</v>
      </c>
      <c r="HQJ85" s="70">
        <v>0</v>
      </c>
      <c r="HQK85" s="70">
        <v>0</v>
      </c>
      <c r="HQL85" s="70">
        <v>0</v>
      </c>
      <c r="HQM85" s="70">
        <v>0</v>
      </c>
      <c r="HQN85" s="70">
        <v>0</v>
      </c>
      <c r="HQO85" s="70">
        <v>0</v>
      </c>
      <c r="HQP85" s="70">
        <v>0</v>
      </c>
      <c r="HQQ85" s="70">
        <v>0</v>
      </c>
      <c r="HQR85" s="70">
        <v>0</v>
      </c>
      <c r="HQS85" s="70">
        <v>0</v>
      </c>
      <c r="HQT85" s="70">
        <v>0</v>
      </c>
      <c r="HQU85" s="70">
        <v>0</v>
      </c>
      <c r="HQV85" s="70">
        <v>0</v>
      </c>
      <c r="HQW85" s="70">
        <v>0</v>
      </c>
      <c r="HQX85" s="70">
        <v>0</v>
      </c>
      <c r="HQY85" s="70">
        <v>0</v>
      </c>
      <c r="HQZ85" s="70">
        <v>0</v>
      </c>
      <c r="HRA85" s="70">
        <v>0</v>
      </c>
      <c r="HRB85" s="70">
        <v>0</v>
      </c>
      <c r="HRC85" s="70">
        <v>0</v>
      </c>
      <c r="HRD85" s="70">
        <v>0</v>
      </c>
      <c r="HRE85" s="70">
        <v>0</v>
      </c>
      <c r="HRF85" s="70">
        <v>0</v>
      </c>
      <c r="HRG85" s="70">
        <v>0</v>
      </c>
      <c r="HRH85" s="70">
        <v>0</v>
      </c>
      <c r="HRI85" s="70">
        <v>0</v>
      </c>
      <c r="HRJ85" s="70">
        <v>0</v>
      </c>
      <c r="HRK85" s="70">
        <v>0</v>
      </c>
      <c r="HRL85" s="70">
        <v>0</v>
      </c>
      <c r="HRM85" s="70">
        <v>0</v>
      </c>
      <c r="HRN85" s="70">
        <v>0</v>
      </c>
      <c r="HRO85" s="70">
        <v>0</v>
      </c>
      <c r="HRP85" s="70">
        <v>0</v>
      </c>
      <c r="HRQ85" s="70">
        <v>0</v>
      </c>
      <c r="HRR85" s="70">
        <v>0</v>
      </c>
      <c r="HRS85" s="70">
        <v>0</v>
      </c>
      <c r="HRT85" s="70">
        <v>0</v>
      </c>
      <c r="HRU85" s="70">
        <v>0</v>
      </c>
      <c r="HRV85" s="70">
        <v>0</v>
      </c>
      <c r="HRW85" s="70">
        <v>0</v>
      </c>
      <c r="HRX85" s="70">
        <v>0</v>
      </c>
      <c r="HRY85" s="70">
        <v>0</v>
      </c>
      <c r="HRZ85" s="70">
        <v>0</v>
      </c>
      <c r="HSA85" s="70">
        <v>0</v>
      </c>
      <c r="HSB85" s="70">
        <v>0</v>
      </c>
      <c r="HSC85" s="70">
        <v>0</v>
      </c>
      <c r="HSD85" s="70">
        <v>0</v>
      </c>
      <c r="HSE85" s="70">
        <v>0</v>
      </c>
      <c r="HSF85" s="70">
        <v>0</v>
      </c>
      <c r="HSG85" s="70">
        <v>0</v>
      </c>
      <c r="HSH85" s="70">
        <v>0</v>
      </c>
      <c r="HSI85" s="70">
        <v>0</v>
      </c>
      <c r="HSJ85" s="70">
        <v>0</v>
      </c>
      <c r="HSK85" s="70">
        <v>0</v>
      </c>
      <c r="HSL85" s="70">
        <v>0</v>
      </c>
      <c r="HSM85" s="70">
        <v>0</v>
      </c>
      <c r="HSN85" s="70">
        <v>0</v>
      </c>
      <c r="HSO85" s="70">
        <v>0</v>
      </c>
      <c r="HSP85" s="70">
        <v>0</v>
      </c>
      <c r="HSQ85" s="70">
        <v>0</v>
      </c>
      <c r="HSR85" s="70">
        <v>0</v>
      </c>
      <c r="HSS85" s="70">
        <v>0</v>
      </c>
      <c r="HST85" s="70">
        <v>0</v>
      </c>
      <c r="HSU85" s="70">
        <v>0</v>
      </c>
      <c r="HSV85" s="70">
        <v>0</v>
      </c>
      <c r="HSW85" s="70">
        <v>0</v>
      </c>
      <c r="HSX85" s="70">
        <v>0</v>
      </c>
      <c r="HSY85" s="70">
        <v>0</v>
      </c>
      <c r="HSZ85" s="70">
        <v>0</v>
      </c>
      <c r="HTA85" s="70">
        <v>0</v>
      </c>
      <c r="HTB85" s="70">
        <v>0</v>
      </c>
      <c r="HTC85" s="70">
        <v>0</v>
      </c>
      <c r="HTD85" s="70">
        <v>0</v>
      </c>
      <c r="HTE85" s="70">
        <v>0</v>
      </c>
      <c r="HTF85" s="70">
        <v>0</v>
      </c>
      <c r="HTG85" s="70">
        <v>0</v>
      </c>
      <c r="HTH85" s="70">
        <v>0</v>
      </c>
      <c r="HTI85" s="70">
        <v>0</v>
      </c>
      <c r="HTJ85" s="70">
        <v>0</v>
      </c>
      <c r="HTK85" s="70">
        <v>0</v>
      </c>
      <c r="HTL85" s="70">
        <v>0</v>
      </c>
      <c r="HTM85" s="70">
        <v>0</v>
      </c>
      <c r="HTN85" s="70">
        <v>0</v>
      </c>
      <c r="HTO85" s="70">
        <v>0</v>
      </c>
      <c r="HTP85" s="70">
        <v>0</v>
      </c>
      <c r="HTQ85" s="70">
        <v>0</v>
      </c>
      <c r="HTR85" s="70">
        <v>0</v>
      </c>
      <c r="HTS85" s="70">
        <v>0</v>
      </c>
      <c r="HTT85" s="70">
        <v>0</v>
      </c>
      <c r="HTU85" s="70">
        <v>0</v>
      </c>
      <c r="HTV85" s="70">
        <v>0</v>
      </c>
      <c r="HTW85" s="70">
        <v>0</v>
      </c>
      <c r="HTX85" s="70">
        <v>0</v>
      </c>
      <c r="HTY85" s="70">
        <v>0</v>
      </c>
      <c r="HTZ85" s="70">
        <v>0</v>
      </c>
      <c r="HUA85" s="70">
        <v>0</v>
      </c>
      <c r="HUB85" s="70">
        <v>0</v>
      </c>
      <c r="HUC85" s="70">
        <v>0</v>
      </c>
      <c r="HUD85" s="70">
        <v>0</v>
      </c>
      <c r="HUE85" s="70">
        <v>0</v>
      </c>
      <c r="HUF85" s="70">
        <v>0</v>
      </c>
      <c r="HUG85" s="70">
        <v>0</v>
      </c>
      <c r="HUH85" s="70">
        <v>0</v>
      </c>
      <c r="HUI85" s="70">
        <v>0</v>
      </c>
      <c r="HUJ85" s="70">
        <v>0</v>
      </c>
      <c r="HUK85" s="70">
        <v>0</v>
      </c>
      <c r="HUL85" s="70">
        <v>0</v>
      </c>
      <c r="HUM85" s="70">
        <v>0</v>
      </c>
      <c r="HUN85" s="70">
        <v>0</v>
      </c>
      <c r="HUO85" s="70">
        <v>0</v>
      </c>
      <c r="HUP85" s="70">
        <v>0</v>
      </c>
      <c r="HUQ85" s="70">
        <v>0</v>
      </c>
      <c r="HUR85" s="70">
        <v>0</v>
      </c>
      <c r="HUS85" s="70">
        <v>0</v>
      </c>
      <c r="HUT85" s="70">
        <v>0</v>
      </c>
      <c r="HUU85" s="70">
        <v>0</v>
      </c>
      <c r="HUV85" s="70">
        <v>0</v>
      </c>
      <c r="HUW85" s="70">
        <v>0</v>
      </c>
      <c r="HUX85" s="70">
        <v>0</v>
      </c>
      <c r="HUY85" s="70">
        <v>0</v>
      </c>
      <c r="HUZ85" s="70">
        <v>0</v>
      </c>
      <c r="HVA85" s="70">
        <v>0</v>
      </c>
      <c r="HVB85" s="70">
        <v>0</v>
      </c>
      <c r="HVC85" s="70">
        <v>0</v>
      </c>
      <c r="HVD85" s="70">
        <v>0</v>
      </c>
      <c r="HVE85" s="70">
        <v>0</v>
      </c>
      <c r="HVF85" s="70">
        <v>0</v>
      </c>
      <c r="HVG85" s="70">
        <v>0</v>
      </c>
      <c r="HVH85" s="70">
        <v>0</v>
      </c>
      <c r="HVI85" s="70">
        <v>0</v>
      </c>
      <c r="HVJ85" s="70">
        <v>0</v>
      </c>
      <c r="HVK85" s="70">
        <v>0</v>
      </c>
      <c r="HVL85" s="70">
        <v>0</v>
      </c>
      <c r="HVM85" s="70">
        <v>0</v>
      </c>
      <c r="HVN85" s="70">
        <v>0</v>
      </c>
      <c r="HVO85" s="70">
        <v>0</v>
      </c>
      <c r="HVP85" s="70">
        <v>0</v>
      </c>
      <c r="HVQ85" s="70">
        <v>0</v>
      </c>
      <c r="HVR85" s="70">
        <v>0</v>
      </c>
      <c r="HVS85" s="70">
        <v>0</v>
      </c>
      <c r="HVT85" s="70">
        <v>0</v>
      </c>
      <c r="HVU85" s="70">
        <v>0</v>
      </c>
      <c r="HVV85" s="70">
        <v>0</v>
      </c>
      <c r="HVW85" s="70">
        <v>0</v>
      </c>
      <c r="HVX85" s="70">
        <v>0</v>
      </c>
      <c r="HVY85" s="70">
        <v>0</v>
      </c>
      <c r="HVZ85" s="70">
        <v>0</v>
      </c>
      <c r="HWA85" s="70">
        <v>0</v>
      </c>
      <c r="HWB85" s="70">
        <v>0</v>
      </c>
      <c r="HWC85" s="70">
        <v>0</v>
      </c>
      <c r="HWD85" s="70">
        <v>0</v>
      </c>
      <c r="HWE85" s="70">
        <v>0</v>
      </c>
      <c r="HWF85" s="70">
        <v>0</v>
      </c>
      <c r="HWG85" s="70">
        <v>0</v>
      </c>
      <c r="HWH85" s="70">
        <v>0</v>
      </c>
      <c r="HWI85" s="70">
        <v>0</v>
      </c>
      <c r="HWJ85" s="70">
        <v>0</v>
      </c>
      <c r="HWK85" s="70">
        <v>0</v>
      </c>
      <c r="HWL85" s="70">
        <v>0</v>
      </c>
      <c r="HWM85" s="70">
        <v>0</v>
      </c>
      <c r="HWN85" s="70">
        <v>0</v>
      </c>
      <c r="HWO85" s="70">
        <v>0</v>
      </c>
      <c r="HWP85" s="70">
        <v>0</v>
      </c>
      <c r="HWQ85" s="70">
        <v>0</v>
      </c>
      <c r="HWR85" s="70">
        <v>0</v>
      </c>
      <c r="HWS85" s="70">
        <v>0</v>
      </c>
      <c r="HWT85" s="70">
        <v>0</v>
      </c>
      <c r="HWU85" s="70">
        <v>0</v>
      </c>
      <c r="HWV85" s="70">
        <v>0</v>
      </c>
      <c r="HWW85" s="70">
        <v>0</v>
      </c>
      <c r="HWX85" s="70">
        <v>0</v>
      </c>
      <c r="HWY85" s="70">
        <v>0</v>
      </c>
      <c r="HWZ85" s="70">
        <v>0</v>
      </c>
      <c r="HXA85" s="70">
        <v>0</v>
      </c>
      <c r="HXB85" s="70">
        <v>0</v>
      </c>
      <c r="HXC85" s="70">
        <v>0</v>
      </c>
      <c r="HXD85" s="70">
        <v>0</v>
      </c>
      <c r="HXE85" s="70">
        <v>0</v>
      </c>
      <c r="HXF85" s="70">
        <v>0</v>
      </c>
      <c r="HXG85" s="70">
        <v>0</v>
      </c>
      <c r="HXH85" s="70">
        <v>0</v>
      </c>
      <c r="HXI85" s="70">
        <v>0</v>
      </c>
      <c r="HXJ85" s="70">
        <v>0</v>
      </c>
      <c r="HXK85" s="70">
        <v>0</v>
      </c>
      <c r="HXL85" s="70">
        <v>0</v>
      </c>
      <c r="HXM85" s="70">
        <v>0</v>
      </c>
      <c r="HXN85" s="70">
        <v>0</v>
      </c>
      <c r="HXO85" s="70">
        <v>0</v>
      </c>
      <c r="HXP85" s="70">
        <v>0</v>
      </c>
      <c r="HXQ85" s="70">
        <v>0</v>
      </c>
      <c r="HXR85" s="70">
        <v>0</v>
      </c>
      <c r="HXS85" s="70">
        <v>0</v>
      </c>
      <c r="HXT85" s="70">
        <v>0</v>
      </c>
      <c r="HXU85" s="70">
        <v>0</v>
      </c>
      <c r="HXV85" s="70">
        <v>0</v>
      </c>
      <c r="HXW85" s="70">
        <v>0</v>
      </c>
      <c r="HXX85" s="70">
        <v>0</v>
      </c>
      <c r="HXY85" s="70">
        <v>0</v>
      </c>
      <c r="HXZ85" s="70">
        <v>0</v>
      </c>
      <c r="HYA85" s="70">
        <v>0</v>
      </c>
      <c r="HYB85" s="70">
        <v>0</v>
      </c>
      <c r="HYC85" s="70">
        <v>0</v>
      </c>
      <c r="HYD85" s="70">
        <v>0</v>
      </c>
      <c r="HYE85" s="70">
        <v>0</v>
      </c>
      <c r="HYF85" s="70">
        <v>0</v>
      </c>
      <c r="HYG85" s="70">
        <v>0</v>
      </c>
      <c r="HYH85" s="70">
        <v>0</v>
      </c>
      <c r="HYI85" s="70">
        <v>0</v>
      </c>
      <c r="HYJ85" s="70">
        <v>0</v>
      </c>
      <c r="HYK85" s="70">
        <v>0</v>
      </c>
      <c r="HYL85" s="70">
        <v>0</v>
      </c>
      <c r="HYM85" s="70">
        <v>0</v>
      </c>
      <c r="HYN85" s="70">
        <v>0</v>
      </c>
      <c r="HYO85" s="70">
        <v>0</v>
      </c>
      <c r="HYP85" s="70">
        <v>0</v>
      </c>
      <c r="HYQ85" s="70">
        <v>0</v>
      </c>
      <c r="HYR85" s="70">
        <v>0</v>
      </c>
      <c r="HYS85" s="70">
        <v>0</v>
      </c>
      <c r="HYT85" s="70">
        <v>0</v>
      </c>
      <c r="HYU85" s="70">
        <v>0</v>
      </c>
      <c r="HYV85" s="70">
        <v>0</v>
      </c>
      <c r="HYW85" s="70">
        <v>0</v>
      </c>
      <c r="HYX85" s="70">
        <v>0</v>
      </c>
      <c r="HYY85" s="70">
        <v>0</v>
      </c>
      <c r="HYZ85" s="70">
        <v>0</v>
      </c>
      <c r="HZA85" s="70">
        <v>0</v>
      </c>
      <c r="HZB85" s="70">
        <v>0</v>
      </c>
      <c r="HZC85" s="70">
        <v>0</v>
      </c>
      <c r="HZD85" s="70">
        <v>0</v>
      </c>
      <c r="HZE85" s="70">
        <v>0</v>
      </c>
      <c r="HZF85" s="70">
        <v>0</v>
      </c>
      <c r="HZG85" s="70">
        <v>0</v>
      </c>
      <c r="HZH85" s="70">
        <v>0</v>
      </c>
      <c r="HZI85" s="70">
        <v>0</v>
      </c>
      <c r="HZJ85" s="70">
        <v>0</v>
      </c>
      <c r="HZK85" s="70">
        <v>0</v>
      </c>
      <c r="HZL85" s="70">
        <v>0</v>
      </c>
      <c r="HZM85" s="70">
        <v>0</v>
      </c>
      <c r="HZN85" s="70">
        <v>0</v>
      </c>
      <c r="HZO85" s="70">
        <v>0</v>
      </c>
      <c r="HZP85" s="70">
        <v>0</v>
      </c>
      <c r="HZQ85" s="70">
        <v>0</v>
      </c>
      <c r="HZR85" s="70">
        <v>0</v>
      </c>
      <c r="HZS85" s="70">
        <v>0</v>
      </c>
      <c r="HZT85" s="70">
        <v>0</v>
      </c>
      <c r="HZU85" s="70">
        <v>0</v>
      </c>
      <c r="HZV85" s="70">
        <v>0</v>
      </c>
      <c r="HZW85" s="70">
        <v>0</v>
      </c>
      <c r="HZX85" s="70">
        <v>0</v>
      </c>
      <c r="HZY85" s="70">
        <v>0</v>
      </c>
      <c r="HZZ85" s="70">
        <v>0</v>
      </c>
      <c r="IAA85" s="70">
        <v>0</v>
      </c>
      <c r="IAB85" s="70">
        <v>0</v>
      </c>
      <c r="IAC85" s="70">
        <v>0</v>
      </c>
      <c r="IAD85" s="70">
        <v>0</v>
      </c>
      <c r="IAE85" s="70">
        <v>0</v>
      </c>
      <c r="IAF85" s="70">
        <v>0</v>
      </c>
      <c r="IAG85" s="70">
        <v>0</v>
      </c>
      <c r="IAH85" s="70">
        <v>0</v>
      </c>
      <c r="IAI85" s="70">
        <v>0</v>
      </c>
      <c r="IAJ85" s="70">
        <v>0</v>
      </c>
      <c r="IAK85" s="70">
        <v>0</v>
      </c>
      <c r="IAL85" s="70">
        <v>0</v>
      </c>
      <c r="IAM85" s="70">
        <v>0</v>
      </c>
      <c r="IAN85" s="70">
        <v>0</v>
      </c>
      <c r="IAO85" s="70">
        <v>0</v>
      </c>
      <c r="IAP85" s="70">
        <v>0</v>
      </c>
      <c r="IAQ85" s="70">
        <v>0</v>
      </c>
      <c r="IAR85" s="70">
        <v>0</v>
      </c>
      <c r="IAS85" s="70">
        <v>0</v>
      </c>
      <c r="IAT85" s="70">
        <v>0</v>
      </c>
      <c r="IAU85" s="70">
        <v>0</v>
      </c>
      <c r="IAV85" s="70">
        <v>0</v>
      </c>
      <c r="IAW85" s="70">
        <v>0</v>
      </c>
      <c r="IAX85" s="70">
        <v>0</v>
      </c>
      <c r="IAY85" s="70">
        <v>0</v>
      </c>
      <c r="IAZ85" s="70">
        <v>0</v>
      </c>
      <c r="IBA85" s="70">
        <v>0</v>
      </c>
      <c r="IBB85" s="70">
        <v>0</v>
      </c>
      <c r="IBC85" s="70">
        <v>0</v>
      </c>
      <c r="IBD85" s="70">
        <v>0</v>
      </c>
      <c r="IBE85" s="70">
        <v>0</v>
      </c>
      <c r="IBF85" s="70">
        <v>0</v>
      </c>
      <c r="IBG85" s="70">
        <v>0</v>
      </c>
      <c r="IBH85" s="70">
        <v>0</v>
      </c>
      <c r="IBI85" s="70">
        <v>0</v>
      </c>
      <c r="IBJ85" s="70">
        <v>0</v>
      </c>
      <c r="IBK85" s="70">
        <v>0</v>
      </c>
      <c r="IBL85" s="70">
        <v>0</v>
      </c>
      <c r="IBM85" s="70">
        <v>0</v>
      </c>
      <c r="IBN85" s="70">
        <v>0</v>
      </c>
      <c r="IBO85" s="70">
        <v>0</v>
      </c>
      <c r="IBP85" s="70">
        <v>0</v>
      </c>
      <c r="IBQ85" s="70">
        <v>0</v>
      </c>
      <c r="IBR85" s="70">
        <v>0</v>
      </c>
      <c r="IBS85" s="70">
        <v>0</v>
      </c>
      <c r="IBT85" s="70">
        <v>0</v>
      </c>
      <c r="IBU85" s="70">
        <v>0</v>
      </c>
      <c r="IBV85" s="70">
        <v>0</v>
      </c>
      <c r="IBW85" s="70">
        <v>0</v>
      </c>
      <c r="IBX85" s="70">
        <v>0</v>
      </c>
      <c r="IBY85" s="70">
        <v>0</v>
      </c>
      <c r="IBZ85" s="70">
        <v>0</v>
      </c>
      <c r="ICA85" s="70">
        <v>0</v>
      </c>
      <c r="ICB85" s="70">
        <v>0</v>
      </c>
      <c r="ICC85" s="70">
        <v>0</v>
      </c>
      <c r="ICD85" s="70">
        <v>0</v>
      </c>
      <c r="ICE85" s="70">
        <v>0</v>
      </c>
      <c r="ICF85" s="70">
        <v>0</v>
      </c>
      <c r="ICG85" s="70">
        <v>0</v>
      </c>
      <c r="ICH85" s="70">
        <v>0</v>
      </c>
      <c r="ICI85" s="70">
        <v>0</v>
      </c>
      <c r="ICJ85" s="70">
        <v>0</v>
      </c>
      <c r="ICK85" s="70">
        <v>0</v>
      </c>
      <c r="ICL85" s="70">
        <v>0</v>
      </c>
      <c r="ICM85" s="70">
        <v>0</v>
      </c>
      <c r="ICN85" s="70">
        <v>0</v>
      </c>
      <c r="ICO85" s="70">
        <v>0</v>
      </c>
      <c r="ICP85" s="70">
        <v>0</v>
      </c>
      <c r="ICQ85" s="70">
        <v>0</v>
      </c>
      <c r="ICR85" s="70">
        <v>0</v>
      </c>
      <c r="ICS85" s="70">
        <v>0</v>
      </c>
      <c r="ICT85" s="70">
        <v>0</v>
      </c>
      <c r="ICU85" s="70">
        <v>0</v>
      </c>
      <c r="ICV85" s="70">
        <v>0</v>
      </c>
      <c r="ICW85" s="70">
        <v>0</v>
      </c>
      <c r="ICX85" s="70">
        <v>0</v>
      </c>
      <c r="ICY85" s="70">
        <v>0</v>
      </c>
      <c r="ICZ85" s="70">
        <v>0</v>
      </c>
      <c r="IDA85" s="70">
        <v>0</v>
      </c>
      <c r="IDB85" s="70">
        <v>0</v>
      </c>
      <c r="IDC85" s="70">
        <v>0</v>
      </c>
      <c r="IDD85" s="70">
        <v>0</v>
      </c>
      <c r="IDE85" s="70">
        <v>0</v>
      </c>
      <c r="IDF85" s="70">
        <v>0</v>
      </c>
      <c r="IDG85" s="70">
        <v>0</v>
      </c>
      <c r="IDH85" s="70">
        <v>0</v>
      </c>
      <c r="IDI85" s="70">
        <v>0</v>
      </c>
      <c r="IDJ85" s="70">
        <v>0</v>
      </c>
      <c r="IDK85" s="70">
        <v>0</v>
      </c>
      <c r="IDL85" s="70">
        <v>0</v>
      </c>
      <c r="IDM85" s="70">
        <v>0</v>
      </c>
      <c r="IDN85" s="70">
        <v>0</v>
      </c>
      <c r="IDO85" s="70">
        <v>0</v>
      </c>
      <c r="IDP85" s="70">
        <v>0</v>
      </c>
      <c r="IDQ85" s="70">
        <v>0</v>
      </c>
      <c r="IDR85" s="70">
        <v>0</v>
      </c>
      <c r="IDS85" s="70">
        <v>0</v>
      </c>
      <c r="IDT85" s="70">
        <v>0</v>
      </c>
      <c r="IDU85" s="70">
        <v>0</v>
      </c>
      <c r="IDV85" s="70">
        <v>0</v>
      </c>
      <c r="IDW85" s="70">
        <v>0</v>
      </c>
      <c r="IDX85" s="70">
        <v>0</v>
      </c>
      <c r="IDY85" s="70">
        <v>0</v>
      </c>
      <c r="IDZ85" s="70">
        <v>0</v>
      </c>
      <c r="IEA85" s="70">
        <v>0</v>
      </c>
      <c r="IEB85" s="70">
        <v>0</v>
      </c>
      <c r="IEC85" s="70">
        <v>0</v>
      </c>
      <c r="IED85" s="70">
        <v>0</v>
      </c>
      <c r="IEE85" s="70">
        <v>0</v>
      </c>
      <c r="IEF85" s="70">
        <v>0</v>
      </c>
      <c r="IEG85" s="70">
        <v>0</v>
      </c>
      <c r="IEH85" s="70">
        <v>0</v>
      </c>
      <c r="IEI85" s="70">
        <v>0</v>
      </c>
      <c r="IEJ85" s="70">
        <v>0</v>
      </c>
      <c r="IEK85" s="70">
        <v>0</v>
      </c>
      <c r="IEL85" s="70">
        <v>0</v>
      </c>
      <c r="IEM85" s="70">
        <v>0</v>
      </c>
      <c r="IEN85" s="70">
        <v>0</v>
      </c>
      <c r="IEO85" s="70">
        <v>0</v>
      </c>
      <c r="IEP85" s="70">
        <v>0</v>
      </c>
      <c r="IEQ85" s="70">
        <v>0</v>
      </c>
      <c r="IER85" s="70">
        <v>0</v>
      </c>
      <c r="IES85" s="70">
        <v>0</v>
      </c>
      <c r="IET85" s="70">
        <v>0</v>
      </c>
      <c r="IEU85" s="70">
        <v>0</v>
      </c>
      <c r="IEV85" s="70">
        <v>0</v>
      </c>
      <c r="IEW85" s="70">
        <v>0</v>
      </c>
      <c r="IEX85" s="70">
        <v>0</v>
      </c>
      <c r="IEY85" s="70">
        <v>0</v>
      </c>
      <c r="IEZ85" s="70">
        <v>0</v>
      </c>
      <c r="IFA85" s="70">
        <v>0</v>
      </c>
      <c r="IFB85" s="70">
        <v>0</v>
      </c>
      <c r="IFC85" s="70">
        <v>0</v>
      </c>
      <c r="IFD85" s="70">
        <v>0</v>
      </c>
      <c r="IFE85" s="70">
        <v>0</v>
      </c>
      <c r="IFF85" s="70">
        <v>0</v>
      </c>
      <c r="IFG85" s="70">
        <v>0</v>
      </c>
      <c r="IFH85" s="70">
        <v>0</v>
      </c>
      <c r="IFI85" s="70">
        <v>0</v>
      </c>
      <c r="IFJ85" s="70">
        <v>0</v>
      </c>
      <c r="IFK85" s="70">
        <v>0</v>
      </c>
      <c r="IFL85" s="70">
        <v>0</v>
      </c>
      <c r="IFM85" s="70">
        <v>0</v>
      </c>
      <c r="IFN85" s="70">
        <v>0</v>
      </c>
      <c r="IFO85" s="70">
        <v>0</v>
      </c>
      <c r="IFP85" s="70">
        <v>0</v>
      </c>
      <c r="IFQ85" s="70">
        <v>0</v>
      </c>
      <c r="IFR85" s="70">
        <v>0</v>
      </c>
      <c r="IFS85" s="70">
        <v>0</v>
      </c>
      <c r="IFT85" s="70">
        <v>0</v>
      </c>
      <c r="IFU85" s="70">
        <v>0</v>
      </c>
      <c r="IFV85" s="70">
        <v>0</v>
      </c>
      <c r="IFW85" s="70">
        <v>0</v>
      </c>
      <c r="IFX85" s="70">
        <v>0</v>
      </c>
      <c r="IFY85" s="70">
        <v>0</v>
      </c>
      <c r="IFZ85" s="70">
        <v>0</v>
      </c>
      <c r="IGA85" s="70">
        <v>0</v>
      </c>
      <c r="IGB85" s="70">
        <v>0</v>
      </c>
      <c r="IGC85" s="70">
        <v>0</v>
      </c>
      <c r="IGD85" s="70">
        <v>0</v>
      </c>
      <c r="IGE85" s="70">
        <v>0</v>
      </c>
      <c r="IGF85" s="70">
        <v>0</v>
      </c>
      <c r="IGG85" s="70">
        <v>0</v>
      </c>
      <c r="IGH85" s="70">
        <v>0</v>
      </c>
      <c r="IGI85" s="70">
        <v>0</v>
      </c>
      <c r="IGJ85" s="70">
        <v>0</v>
      </c>
      <c r="IGK85" s="70">
        <v>0</v>
      </c>
      <c r="IGL85" s="70">
        <v>0</v>
      </c>
      <c r="IGM85" s="70">
        <v>0</v>
      </c>
      <c r="IGN85" s="70">
        <v>0</v>
      </c>
      <c r="IGO85" s="70">
        <v>0</v>
      </c>
      <c r="IGP85" s="70">
        <v>0</v>
      </c>
      <c r="IGQ85" s="70">
        <v>0</v>
      </c>
      <c r="IGR85" s="70">
        <v>0</v>
      </c>
      <c r="IGS85" s="70">
        <v>0</v>
      </c>
      <c r="IGT85" s="70">
        <v>0</v>
      </c>
      <c r="IGU85" s="70">
        <v>0</v>
      </c>
      <c r="IGV85" s="70">
        <v>0</v>
      </c>
      <c r="IGW85" s="70">
        <v>0</v>
      </c>
      <c r="IGX85" s="70">
        <v>0</v>
      </c>
      <c r="IGY85" s="70">
        <v>0</v>
      </c>
      <c r="IGZ85" s="70">
        <v>0</v>
      </c>
      <c r="IHA85" s="70">
        <v>0</v>
      </c>
      <c r="IHB85" s="70">
        <v>0</v>
      </c>
      <c r="IHC85" s="70">
        <v>0</v>
      </c>
      <c r="IHD85" s="70">
        <v>0</v>
      </c>
      <c r="IHE85" s="70">
        <v>0</v>
      </c>
      <c r="IHF85" s="70">
        <v>0</v>
      </c>
      <c r="IHG85" s="70">
        <v>0</v>
      </c>
      <c r="IHH85" s="70">
        <v>0</v>
      </c>
      <c r="IHI85" s="70">
        <v>0</v>
      </c>
      <c r="IHJ85" s="70">
        <v>0</v>
      </c>
      <c r="IHK85" s="70">
        <v>0</v>
      </c>
      <c r="IHL85" s="70">
        <v>0</v>
      </c>
      <c r="IHM85" s="70">
        <v>0</v>
      </c>
      <c r="IHN85" s="70">
        <v>0</v>
      </c>
      <c r="IHO85" s="70">
        <v>0</v>
      </c>
      <c r="IHP85" s="70">
        <v>0</v>
      </c>
      <c r="IHQ85" s="70">
        <v>0</v>
      </c>
      <c r="IHR85" s="70">
        <v>0</v>
      </c>
      <c r="IHS85" s="70">
        <v>0</v>
      </c>
      <c r="IHT85" s="70">
        <v>0</v>
      </c>
      <c r="IHU85" s="70">
        <v>0</v>
      </c>
      <c r="IHV85" s="70">
        <v>0</v>
      </c>
      <c r="IHW85" s="70">
        <v>0</v>
      </c>
      <c r="IHX85" s="70">
        <v>0</v>
      </c>
      <c r="IHY85" s="70">
        <v>0</v>
      </c>
      <c r="IHZ85" s="70">
        <v>0</v>
      </c>
      <c r="IIA85" s="70">
        <v>0</v>
      </c>
      <c r="IIB85" s="70">
        <v>0</v>
      </c>
      <c r="IIC85" s="70">
        <v>0</v>
      </c>
      <c r="IID85" s="70">
        <v>0</v>
      </c>
      <c r="IIE85" s="70">
        <v>0</v>
      </c>
      <c r="IIF85" s="70">
        <v>0</v>
      </c>
      <c r="IIG85" s="70">
        <v>0</v>
      </c>
      <c r="IIH85" s="70">
        <v>0</v>
      </c>
      <c r="III85" s="70">
        <v>0</v>
      </c>
      <c r="IIJ85" s="70">
        <v>0</v>
      </c>
      <c r="IIK85" s="70">
        <v>0</v>
      </c>
      <c r="IIL85" s="70">
        <v>0</v>
      </c>
      <c r="IIM85" s="70">
        <v>0</v>
      </c>
      <c r="IIN85" s="70">
        <v>0</v>
      </c>
      <c r="IIO85" s="70">
        <v>0</v>
      </c>
      <c r="IIP85" s="70">
        <v>0</v>
      </c>
      <c r="IIQ85" s="70">
        <v>0</v>
      </c>
      <c r="IIR85" s="70">
        <v>0</v>
      </c>
      <c r="IIS85" s="70">
        <v>0</v>
      </c>
      <c r="IIT85" s="70">
        <v>0</v>
      </c>
      <c r="IIU85" s="70">
        <v>0</v>
      </c>
      <c r="IIV85" s="70">
        <v>0</v>
      </c>
      <c r="IIW85" s="70">
        <v>0</v>
      </c>
      <c r="IIX85" s="70">
        <v>0</v>
      </c>
      <c r="IIY85" s="70">
        <v>0</v>
      </c>
      <c r="IIZ85" s="70">
        <v>0</v>
      </c>
      <c r="IJA85" s="70">
        <v>0</v>
      </c>
      <c r="IJB85" s="70">
        <v>0</v>
      </c>
      <c r="IJC85" s="70">
        <v>0</v>
      </c>
      <c r="IJD85" s="70">
        <v>0</v>
      </c>
      <c r="IJE85" s="70">
        <v>0</v>
      </c>
      <c r="IJF85" s="70">
        <v>0</v>
      </c>
      <c r="IJG85" s="70">
        <v>0</v>
      </c>
      <c r="IJH85" s="70">
        <v>0</v>
      </c>
      <c r="IJI85" s="70">
        <v>0</v>
      </c>
      <c r="IJJ85" s="70">
        <v>0</v>
      </c>
      <c r="IJK85" s="70">
        <v>0</v>
      </c>
      <c r="IJL85" s="70">
        <v>0</v>
      </c>
      <c r="IJM85" s="70">
        <v>0</v>
      </c>
      <c r="IJN85" s="70">
        <v>0</v>
      </c>
      <c r="IJO85" s="70">
        <v>0</v>
      </c>
      <c r="IJP85" s="70">
        <v>0</v>
      </c>
      <c r="IJQ85" s="70">
        <v>0</v>
      </c>
      <c r="IJR85" s="70">
        <v>0</v>
      </c>
      <c r="IJS85" s="70">
        <v>0</v>
      </c>
      <c r="IJT85" s="70">
        <v>0</v>
      </c>
      <c r="IJU85" s="70">
        <v>0</v>
      </c>
      <c r="IJV85" s="70">
        <v>0</v>
      </c>
      <c r="IJW85" s="70">
        <v>0</v>
      </c>
      <c r="IJX85" s="70">
        <v>0</v>
      </c>
      <c r="IJY85" s="70">
        <v>0</v>
      </c>
      <c r="IJZ85" s="70">
        <v>0</v>
      </c>
      <c r="IKA85" s="70">
        <v>0</v>
      </c>
      <c r="IKB85" s="70">
        <v>0</v>
      </c>
      <c r="IKC85" s="70">
        <v>0</v>
      </c>
      <c r="IKD85" s="70">
        <v>0</v>
      </c>
      <c r="IKE85" s="70">
        <v>0</v>
      </c>
      <c r="IKF85" s="70">
        <v>0</v>
      </c>
      <c r="IKG85" s="70">
        <v>0</v>
      </c>
      <c r="IKH85" s="70">
        <v>0</v>
      </c>
      <c r="IKI85" s="70">
        <v>0</v>
      </c>
      <c r="IKJ85" s="70">
        <v>0</v>
      </c>
      <c r="IKK85" s="70">
        <v>0</v>
      </c>
      <c r="IKL85" s="70">
        <v>0</v>
      </c>
      <c r="IKM85" s="70">
        <v>0</v>
      </c>
      <c r="IKN85" s="70">
        <v>0</v>
      </c>
      <c r="IKO85" s="70">
        <v>0</v>
      </c>
      <c r="IKP85" s="70">
        <v>0</v>
      </c>
      <c r="IKQ85" s="70">
        <v>0</v>
      </c>
      <c r="IKR85" s="70">
        <v>0</v>
      </c>
      <c r="IKS85" s="70">
        <v>0</v>
      </c>
      <c r="IKT85" s="70">
        <v>0</v>
      </c>
      <c r="IKU85" s="70">
        <v>0</v>
      </c>
      <c r="IKV85" s="70">
        <v>0</v>
      </c>
      <c r="IKW85" s="70">
        <v>0</v>
      </c>
      <c r="IKX85" s="70">
        <v>0</v>
      </c>
      <c r="IKY85" s="70">
        <v>0</v>
      </c>
      <c r="IKZ85" s="70">
        <v>0</v>
      </c>
      <c r="ILA85" s="70">
        <v>0</v>
      </c>
      <c r="ILB85" s="70">
        <v>0</v>
      </c>
      <c r="ILC85" s="70">
        <v>0</v>
      </c>
      <c r="ILD85" s="70">
        <v>0</v>
      </c>
      <c r="ILE85" s="70">
        <v>0</v>
      </c>
      <c r="ILF85" s="70">
        <v>0</v>
      </c>
      <c r="ILG85" s="70">
        <v>0</v>
      </c>
      <c r="ILH85" s="70">
        <v>0</v>
      </c>
      <c r="ILI85" s="70">
        <v>0</v>
      </c>
      <c r="ILJ85" s="70">
        <v>0</v>
      </c>
      <c r="ILK85" s="70">
        <v>0</v>
      </c>
      <c r="ILL85" s="70">
        <v>0</v>
      </c>
      <c r="ILM85" s="70">
        <v>0</v>
      </c>
      <c r="ILN85" s="70">
        <v>0</v>
      </c>
      <c r="ILO85" s="70">
        <v>0</v>
      </c>
      <c r="ILP85" s="70">
        <v>0</v>
      </c>
      <c r="ILQ85" s="70">
        <v>0</v>
      </c>
      <c r="ILR85" s="70">
        <v>0</v>
      </c>
      <c r="ILS85" s="70">
        <v>0</v>
      </c>
      <c r="ILT85" s="70">
        <v>0</v>
      </c>
      <c r="ILU85" s="70">
        <v>0</v>
      </c>
      <c r="ILV85" s="70">
        <v>0</v>
      </c>
      <c r="ILW85" s="70">
        <v>0</v>
      </c>
      <c r="ILX85" s="70">
        <v>0</v>
      </c>
      <c r="ILY85" s="70">
        <v>0</v>
      </c>
      <c r="ILZ85" s="70">
        <v>0</v>
      </c>
      <c r="IMA85" s="70">
        <v>0</v>
      </c>
      <c r="IMB85" s="70">
        <v>0</v>
      </c>
      <c r="IMC85" s="70">
        <v>0</v>
      </c>
      <c r="IMD85" s="70">
        <v>0</v>
      </c>
      <c r="IME85" s="70">
        <v>0</v>
      </c>
      <c r="IMF85" s="70">
        <v>0</v>
      </c>
      <c r="IMG85" s="70">
        <v>0</v>
      </c>
      <c r="IMH85" s="70">
        <v>0</v>
      </c>
      <c r="IMI85" s="70">
        <v>0</v>
      </c>
      <c r="IMJ85" s="70">
        <v>0</v>
      </c>
      <c r="IMK85" s="70">
        <v>0</v>
      </c>
      <c r="IML85" s="70">
        <v>0</v>
      </c>
      <c r="IMM85" s="70">
        <v>0</v>
      </c>
      <c r="IMN85" s="70">
        <v>0</v>
      </c>
      <c r="IMO85" s="70">
        <v>0</v>
      </c>
      <c r="IMP85" s="70">
        <v>0</v>
      </c>
      <c r="IMQ85" s="70">
        <v>0</v>
      </c>
      <c r="IMR85" s="70">
        <v>0</v>
      </c>
      <c r="IMS85" s="70">
        <v>0</v>
      </c>
      <c r="IMT85" s="70">
        <v>0</v>
      </c>
      <c r="IMU85" s="70">
        <v>0</v>
      </c>
      <c r="IMV85" s="70">
        <v>0</v>
      </c>
      <c r="IMW85" s="70">
        <v>0</v>
      </c>
      <c r="IMX85" s="70">
        <v>0</v>
      </c>
      <c r="IMY85" s="70">
        <v>0</v>
      </c>
      <c r="IMZ85" s="70">
        <v>0</v>
      </c>
      <c r="INA85" s="70">
        <v>0</v>
      </c>
      <c r="INB85" s="70">
        <v>0</v>
      </c>
      <c r="INC85" s="70">
        <v>0</v>
      </c>
      <c r="IND85" s="70">
        <v>0</v>
      </c>
      <c r="INE85" s="70">
        <v>0</v>
      </c>
      <c r="INF85" s="70">
        <v>0</v>
      </c>
      <c r="ING85" s="70">
        <v>0</v>
      </c>
      <c r="INH85" s="70">
        <v>0</v>
      </c>
      <c r="INI85" s="70">
        <v>0</v>
      </c>
      <c r="INJ85" s="70">
        <v>0</v>
      </c>
      <c r="INK85" s="70">
        <v>0</v>
      </c>
      <c r="INL85" s="70">
        <v>0</v>
      </c>
      <c r="INM85" s="70">
        <v>0</v>
      </c>
      <c r="INN85" s="70">
        <v>0</v>
      </c>
      <c r="INO85" s="70">
        <v>0</v>
      </c>
      <c r="INP85" s="70">
        <v>0</v>
      </c>
      <c r="INQ85" s="70">
        <v>0</v>
      </c>
      <c r="INR85" s="70">
        <v>0</v>
      </c>
      <c r="INS85" s="70">
        <v>0</v>
      </c>
      <c r="INT85" s="70">
        <v>0</v>
      </c>
      <c r="INU85" s="70">
        <v>0</v>
      </c>
      <c r="INV85" s="70">
        <v>0</v>
      </c>
      <c r="INW85" s="70">
        <v>0</v>
      </c>
      <c r="INX85" s="70">
        <v>0</v>
      </c>
      <c r="INY85" s="70">
        <v>0</v>
      </c>
      <c r="INZ85" s="70">
        <v>0</v>
      </c>
      <c r="IOA85" s="70">
        <v>0</v>
      </c>
      <c r="IOB85" s="70">
        <v>0</v>
      </c>
      <c r="IOC85" s="70">
        <v>0</v>
      </c>
      <c r="IOD85" s="70">
        <v>0</v>
      </c>
      <c r="IOE85" s="70">
        <v>0</v>
      </c>
      <c r="IOF85" s="70">
        <v>0</v>
      </c>
      <c r="IOG85" s="70">
        <v>0</v>
      </c>
      <c r="IOH85" s="70">
        <v>0</v>
      </c>
      <c r="IOI85" s="70">
        <v>0</v>
      </c>
      <c r="IOJ85" s="70">
        <v>0</v>
      </c>
      <c r="IOK85" s="70">
        <v>0</v>
      </c>
      <c r="IOL85" s="70">
        <v>0</v>
      </c>
      <c r="IOM85" s="70">
        <v>0</v>
      </c>
      <c r="ION85" s="70">
        <v>0</v>
      </c>
      <c r="IOO85" s="70">
        <v>0</v>
      </c>
      <c r="IOP85" s="70">
        <v>0</v>
      </c>
      <c r="IOQ85" s="70">
        <v>0</v>
      </c>
      <c r="IOR85" s="70">
        <v>0</v>
      </c>
      <c r="IOS85" s="70">
        <v>0</v>
      </c>
      <c r="IOT85" s="70">
        <v>0</v>
      </c>
      <c r="IOU85" s="70">
        <v>0</v>
      </c>
      <c r="IOV85" s="70">
        <v>0</v>
      </c>
      <c r="IOW85" s="70">
        <v>0</v>
      </c>
      <c r="IOX85" s="70">
        <v>0</v>
      </c>
      <c r="IOY85" s="70">
        <v>0</v>
      </c>
      <c r="IOZ85" s="70">
        <v>0</v>
      </c>
      <c r="IPA85" s="70">
        <v>0</v>
      </c>
      <c r="IPB85" s="70">
        <v>0</v>
      </c>
      <c r="IPC85" s="70">
        <v>0</v>
      </c>
      <c r="IPD85" s="70">
        <v>0</v>
      </c>
      <c r="IPE85" s="70">
        <v>0</v>
      </c>
      <c r="IPF85" s="70">
        <v>0</v>
      </c>
      <c r="IPG85" s="70">
        <v>0</v>
      </c>
      <c r="IPH85" s="70">
        <v>0</v>
      </c>
      <c r="IPI85" s="70">
        <v>0</v>
      </c>
      <c r="IPJ85" s="70">
        <v>0</v>
      </c>
      <c r="IPK85" s="70">
        <v>0</v>
      </c>
      <c r="IPL85" s="70">
        <v>0</v>
      </c>
      <c r="IPM85" s="70">
        <v>0</v>
      </c>
      <c r="IPN85" s="70">
        <v>0</v>
      </c>
      <c r="IPO85" s="70">
        <v>0</v>
      </c>
      <c r="IPP85" s="70">
        <v>0</v>
      </c>
      <c r="IPQ85" s="70">
        <v>0</v>
      </c>
      <c r="IPR85" s="70">
        <v>0</v>
      </c>
      <c r="IPS85" s="70">
        <v>0</v>
      </c>
      <c r="IPT85" s="70">
        <v>0</v>
      </c>
      <c r="IPU85" s="70">
        <v>0</v>
      </c>
      <c r="IPV85" s="70">
        <v>0</v>
      </c>
      <c r="IPW85" s="70">
        <v>0</v>
      </c>
      <c r="IPX85" s="70">
        <v>0</v>
      </c>
      <c r="IPY85" s="70">
        <v>0</v>
      </c>
      <c r="IPZ85" s="70">
        <v>0</v>
      </c>
      <c r="IQA85" s="70">
        <v>0</v>
      </c>
      <c r="IQB85" s="70">
        <v>0</v>
      </c>
      <c r="IQC85" s="70">
        <v>0</v>
      </c>
      <c r="IQD85" s="70">
        <v>0</v>
      </c>
      <c r="IQE85" s="70">
        <v>0</v>
      </c>
      <c r="IQF85" s="70">
        <v>0</v>
      </c>
      <c r="IQG85" s="70">
        <v>0</v>
      </c>
      <c r="IQH85" s="70">
        <v>0</v>
      </c>
      <c r="IQI85" s="70">
        <v>0</v>
      </c>
      <c r="IQJ85" s="70">
        <v>0</v>
      </c>
      <c r="IQK85" s="70">
        <v>0</v>
      </c>
      <c r="IQL85" s="70">
        <v>0</v>
      </c>
      <c r="IQM85" s="70">
        <v>0</v>
      </c>
      <c r="IQN85" s="70">
        <v>0</v>
      </c>
      <c r="IQO85" s="70">
        <v>0</v>
      </c>
      <c r="IQP85" s="70">
        <v>0</v>
      </c>
      <c r="IQQ85" s="70">
        <v>0</v>
      </c>
      <c r="IQR85" s="70">
        <v>0</v>
      </c>
      <c r="IQS85" s="70">
        <v>0</v>
      </c>
      <c r="IQT85" s="70">
        <v>0</v>
      </c>
      <c r="IQU85" s="70">
        <v>0</v>
      </c>
      <c r="IQV85" s="70">
        <v>0</v>
      </c>
      <c r="IQW85" s="70">
        <v>0</v>
      </c>
      <c r="IQX85" s="70">
        <v>0</v>
      </c>
      <c r="IQY85" s="70">
        <v>0</v>
      </c>
      <c r="IQZ85" s="70">
        <v>0</v>
      </c>
      <c r="IRA85" s="70">
        <v>0</v>
      </c>
      <c r="IRB85" s="70">
        <v>0</v>
      </c>
      <c r="IRC85" s="70">
        <v>0</v>
      </c>
      <c r="IRD85" s="70">
        <v>0</v>
      </c>
      <c r="IRE85" s="70">
        <v>0</v>
      </c>
      <c r="IRF85" s="70">
        <v>0</v>
      </c>
      <c r="IRG85" s="70">
        <v>0</v>
      </c>
      <c r="IRH85" s="70">
        <v>0</v>
      </c>
      <c r="IRI85" s="70">
        <v>0</v>
      </c>
      <c r="IRJ85" s="70">
        <v>0</v>
      </c>
      <c r="IRK85" s="70">
        <v>0</v>
      </c>
      <c r="IRL85" s="70">
        <v>0</v>
      </c>
      <c r="IRM85" s="70">
        <v>0</v>
      </c>
      <c r="IRN85" s="70">
        <v>0</v>
      </c>
      <c r="IRO85" s="70">
        <v>0</v>
      </c>
      <c r="IRP85" s="70">
        <v>0</v>
      </c>
      <c r="IRQ85" s="70">
        <v>0</v>
      </c>
      <c r="IRR85" s="70">
        <v>0</v>
      </c>
      <c r="IRS85" s="70">
        <v>0</v>
      </c>
      <c r="IRT85" s="70">
        <v>0</v>
      </c>
      <c r="IRU85" s="70">
        <v>0</v>
      </c>
      <c r="IRV85" s="70">
        <v>0</v>
      </c>
      <c r="IRW85" s="70">
        <v>0</v>
      </c>
      <c r="IRX85" s="70">
        <v>0</v>
      </c>
      <c r="IRY85" s="70">
        <v>0</v>
      </c>
      <c r="IRZ85" s="70">
        <v>0</v>
      </c>
      <c r="ISA85" s="70">
        <v>0</v>
      </c>
      <c r="ISB85" s="70">
        <v>0</v>
      </c>
      <c r="ISC85" s="70">
        <v>0</v>
      </c>
      <c r="ISD85" s="70">
        <v>0</v>
      </c>
      <c r="ISE85" s="70">
        <v>0</v>
      </c>
      <c r="ISF85" s="70">
        <v>0</v>
      </c>
      <c r="ISG85" s="70">
        <v>0</v>
      </c>
      <c r="ISH85" s="70">
        <v>0</v>
      </c>
      <c r="ISI85" s="70">
        <v>0</v>
      </c>
      <c r="ISJ85" s="70">
        <v>0</v>
      </c>
      <c r="ISK85" s="70">
        <v>0</v>
      </c>
      <c r="ISL85" s="70">
        <v>0</v>
      </c>
      <c r="ISM85" s="70">
        <v>0</v>
      </c>
      <c r="ISN85" s="70">
        <v>0</v>
      </c>
      <c r="ISO85" s="70">
        <v>0</v>
      </c>
      <c r="ISP85" s="70">
        <v>0</v>
      </c>
      <c r="ISQ85" s="70">
        <v>0</v>
      </c>
      <c r="ISR85" s="70">
        <v>0</v>
      </c>
      <c r="ISS85" s="70">
        <v>0</v>
      </c>
      <c r="IST85" s="70">
        <v>0</v>
      </c>
      <c r="ISU85" s="70">
        <v>0</v>
      </c>
      <c r="ISV85" s="70">
        <v>0</v>
      </c>
      <c r="ISW85" s="70">
        <v>0</v>
      </c>
      <c r="ISX85" s="70">
        <v>0</v>
      </c>
      <c r="ISY85" s="70">
        <v>0</v>
      </c>
      <c r="ISZ85" s="70">
        <v>0</v>
      </c>
      <c r="ITA85" s="70">
        <v>0</v>
      </c>
      <c r="ITB85" s="70">
        <v>0</v>
      </c>
      <c r="ITC85" s="70">
        <v>0</v>
      </c>
      <c r="ITD85" s="70">
        <v>0</v>
      </c>
      <c r="ITE85" s="70">
        <v>0</v>
      </c>
      <c r="ITF85" s="70">
        <v>0</v>
      </c>
      <c r="ITG85" s="70">
        <v>0</v>
      </c>
      <c r="ITH85" s="70">
        <v>0</v>
      </c>
      <c r="ITI85" s="70">
        <v>0</v>
      </c>
      <c r="ITJ85" s="70">
        <v>0</v>
      </c>
      <c r="ITK85" s="70">
        <v>0</v>
      </c>
      <c r="ITL85" s="70">
        <v>0</v>
      </c>
      <c r="ITM85" s="70">
        <v>0</v>
      </c>
      <c r="ITN85" s="70">
        <v>0</v>
      </c>
      <c r="ITO85" s="70">
        <v>0</v>
      </c>
      <c r="ITP85" s="70">
        <v>0</v>
      </c>
      <c r="ITQ85" s="70">
        <v>0</v>
      </c>
      <c r="ITR85" s="70">
        <v>0</v>
      </c>
      <c r="ITS85" s="70">
        <v>0</v>
      </c>
      <c r="ITT85" s="70">
        <v>0</v>
      </c>
      <c r="ITU85" s="70">
        <v>0</v>
      </c>
      <c r="ITV85" s="70">
        <v>0</v>
      </c>
      <c r="ITW85" s="70">
        <v>0</v>
      </c>
      <c r="ITX85" s="70">
        <v>0</v>
      </c>
      <c r="ITY85" s="70">
        <v>0</v>
      </c>
      <c r="ITZ85" s="70">
        <v>0</v>
      </c>
      <c r="IUA85" s="70">
        <v>0</v>
      </c>
      <c r="IUB85" s="70">
        <v>0</v>
      </c>
      <c r="IUC85" s="70">
        <v>0</v>
      </c>
      <c r="IUD85" s="70">
        <v>0</v>
      </c>
      <c r="IUE85" s="70">
        <v>0</v>
      </c>
      <c r="IUF85" s="70">
        <v>0</v>
      </c>
      <c r="IUG85" s="70">
        <v>0</v>
      </c>
      <c r="IUH85" s="70">
        <v>0</v>
      </c>
      <c r="IUI85" s="70">
        <v>0</v>
      </c>
      <c r="IUJ85" s="70">
        <v>0</v>
      </c>
      <c r="IUK85" s="70">
        <v>0</v>
      </c>
      <c r="IUL85" s="70">
        <v>0</v>
      </c>
      <c r="IUM85" s="70">
        <v>0</v>
      </c>
      <c r="IUN85" s="70">
        <v>0</v>
      </c>
      <c r="IUO85" s="70">
        <v>0</v>
      </c>
      <c r="IUP85" s="70">
        <v>0</v>
      </c>
      <c r="IUQ85" s="70">
        <v>0</v>
      </c>
      <c r="IUR85" s="70">
        <v>0</v>
      </c>
      <c r="IUS85" s="70">
        <v>0</v>
      </c>
      <c r="IUT85" s="70">
        <v>0</v>
      </c>
      <c r="IUU85" s="70">
        <v>0</v>
      </c>
      <c r="IUV85" s="70">
        <v>0</v>
      </c>
      <c r="IUW85" s="70">
        <v>0</v>
      </c>
      <c r="IUX85" s="70">
        <v>0</v>
      </c>
      <c r="IUY85" s="70">
        <v>0</v>
      </c>
      <c r="IUZ85" s="70">
        <v>0</v>
      </c>
      <c r="IVA85" s="70">
        <v>0</v>
      </c>
      <c r="IVB85" s="70">
        <v>0</v>
      </c>
      <c r="IVC85" s="70">
        <v>0</v>
      </c>
      <c r="IVD85" s="70">
        <v>0</v>
      </c>
      <c r="IVE85" s="70">
        <v>0</v>
      </c>
      <c r="IVF85" s="70">
        <v>0</v>
      </c>
      <c r="IVG85" s="70">
        <v>0</v>
      </c>
      <c r="IVH85" s="70">
        <v>0</v>
      </c>
      <c r="IVI85" s="70">
        <v>0</v>
      </c>
      <c r="IVJ85" s="70">
        <v>0</v>
      </c>
      <c r="IVK85" s="70">
        <v>0</v>
      </c>
      <c r="IVL85" s="70">
        <v>0</v>
      </c>
      <c r="IVM85" s="70">
        <v>0</v>
      </c>
      <c r="IVN85" s="70">
        <v>0</v>
      </c>
      <c r="IVO85" s="70">
        <v>0</v>
      </c>
      <c r="IVP85" s="70">
        <v>0</v>
      </c>
      <c r="IVQ85" s="70">
        <v>0</v>
      </c>
      <c r="IVR85" s="70">
        <v>0</v>
      </c>
      <c r="IVS85" s="70">
        <v>0</v>
      </c>
      <c r="IVT85" s="70">
        <v>0</v>
      </c>
      <c r="IVU85" s="70">
        <v>0</v>
      </c>
      <c r="IVV85" s="70">
        <v>0</v>
      </c>
      <c r="IVW85" s="70">
        <v>0</v>
      </c>
      <c r="IVX85" s="70">
        <v>0</v>
      </c>
      <c r="IVY85" s="70">
        <v>0</v>
      </c>
      <c r="IVZ85" s="70">
        <v>0</v>
      </c>
      <c r="IWA85" s="70">
        <v>0</v>
      </c>
      <c r="IWB85" s="70">
        <v>0</v>
      </c>
      <c r="IWC85" s="70">
        <v>0</v>
      </c>
      <c r="IWD85" s="70">
        <v>0</v>
      </c>
      <c r="IWE85" s="70">
        <v>0</v>
      </c>
      <c r="IWF85" s="70">
        <v>0</v>
      </c>
      <c r="IWG85" s="70">
        <v>0</v>
      </c>
      <c r="IWH85" s="70">
        <v>0</v>
      </c>
      <c r="IWI85" s="70">
        <v>0</v>
      </c>
      <c r="IWJ85" s="70">
        <v>0</v>
      </c>
      <c r="IWK85" s="70">
        <v>0</v>
      </c>
      <c r="IWL85" s="70">
        <v>0</v>
      </c>
      <c r="IWM85" s="70">
        <v>0</v>
      </c>
      <c r="IWN85" s="70">
        <v>0</v>
      </c>
      <c r="IWO85" s="70">
        <v>0</v>
      </c>
      <c r="IWP85" s="70">
        <v>0</v>
      </c>
      <c r="IWQ85" s="70">
        <v>0</v>
      </c>
      <c r="IWR85" s="70">
        <v>0</v>
      </c>
      <c r="IWS85" s="70">
        <v>0</v>
      </c>
      <c r="IWT85" s="70">
        <v>0</v>
      </c>
      <c r="IWU85" s="70">
        <v>0</v>
      </c>
      <c r="IWV85" s="70">
        <v>0</v>
      </c>
      <c r="IWW85" s="70">
        <v>0</v>
      </c>
      <c r="IWX85" s="70">
        <v>0</v>
      </c>
      <c r="IWY85" s="70">
        <v>0</v>
      </c>
      <c r="IWZ85" s="70">
        <v>0</v>
      </c>
      <c r="IXA85" s="70">
        <v>0</v>
      </c>
      <c r="IXB85" s="70">
        <v>0</v>
      </c>
      <c r="IXC85" s="70">
        <v>0</v>
      </c>
      <c r="IXD85" s="70">
        <v>0</v>
      </c>
      <c r="IXE85" s="70">
        <v>0</v>
      </c>
      <c r="IXF85" s="70">
        <v>0</v>
      </c>
      <c r="IXG85" s="70">
        <v>0</v>
      </c>
      <c r="IXH85" s="70">
        <v>0</v>
      </c>
      <c r="IXI85" s="70">
        <v>0</v>
      </c>
      <c r="IXJ85" s="70">
        <v>0</v>
      </c>
      <c r="IXK85" s="70">
        <v>0</v>
      </c>
      <c r="IXL85" s="70">
        <v>0</v>
      </c>
      <c r="IXM85" s="70">
        <v>0</v>
      </c>
      <c r="IXN85" s="70">
        <v>0</v>
      </c>
      <c r="IXO85" s="70">
        <v>0</v>
      </c>
      <c r="IXP85" s="70">
        <v>0</v>
      </c>
      <c r="IXQ85" s="70">
        <v>0</v>
      </c>
      <c r="IXR85" s="70">
        <v>0</v>
      </c>
      <c r="IXS85" s="70">
        <v>0</v>
      </c>
      <c r="IXT85" s="70">
        <v>0</v>
      </c>
      <c r="IXU85" s="70">
        <v>0</v>
      </c>
      <c r="IXV85" s="70">
        <v>0</v>
      </c>
      <c r="IXW85" s="70">
        <v>0</v>
      </c>
      <c r="IXX85" s="70">
        <v>0</v>
      </c>
      <c r="IXY85" s="70">
        <v>0</v>
      </c>
      <c r="IXZ85" s="70">
        <v>0</v>
      </c>
      <c r="IYA85" s="70">
        <v>0</v>
      </c>
      <c r="IYB85" s="70">
        <v>0</v>
      </c>
      <c r="IYC85" s="70">
        <v>0</v>
      </c>
      <c r="IYD85" s="70">
        <v>0</v>
      </c>
      <c r="IYE85" s="70">
        <v>0</v>
      </c>
      <c r="IYF85" s="70">
        <v>0</v>
      </c>
      <c r="IYG85" s="70">
        <v>0</v>
      </c>
      <c r="IYH85" s="70">
        <v>0</v>
      </c>
      <c r="IYI85" s="70">
        <v>0</v>
      </c>
      <c r="IYJ85" s="70">
        <v>0</v>
      </c>
      <c r="IYK85" s="70">
        <v>0</v>
      </c>
      <c r="IYL85" s="70">
        <v>0</v>
      </c>
      <c r="IYM85" s="70">
        <v>0</v>
      </c>
      <c r="IYN85" s="70">
        <v>0</v>
      </c>
      <c r="IYO85" s="70">
        <v>0</v>
      </c>
      <c r="IYP85" s="70">
        <v>0</v>
      </c>
      <c r="IYQ85" s="70">
        <v>0</v>
      </c>
      <c r="IYR85" s="70">
        <v>0</v>
      </c>
      <c r="IYS85" s="70">
        <v>0</v>
      </c>
      <c r="IYT85" s="70">
        <v>0</v>
      </c>
      <c r="IYU85" s="70">
        <v>0</v>
      </c>
      <c r="IYV85" s="70">
        <v>0</v>
      </c>
      <c r="IYW85" s="70">
        <v>0</v>
      </c>
      <c r="IYX85" s="70">
        <v>0</v>
      </c>
      <c r="IYY85" s="70">
        <v>0</v>
      </c>
      <c r="IYZ85" s="70">
        <v>0</v>
      </c>
      <c r="IZA85" s="70">
        <v>0</v>
      </c>
      <c r="IZB85" s="70">
        <v>0</v>
      </c>
      <c r="IZC85" s="70">
        <v>0</v>
      </c>
      <c r="IZD85" s="70">
        <v>0</v>
      </c>
      <c r="IZE85" s="70">
        <v>0</v>
      </c>
      <c r="IZF85" s="70">
        <v>0</v>
      </c>
      <c r="IZG85" s="70">
        <v>0</v>
      </c>
      <c r="IZH85" s="70">
        <v>0</v>
      </c>
      <c r="IZI85" s="70">
        <v>0</v>
      </c>
      <c r="IZJ85" s="70">
        <v>0</v>
      </c>
      <c r="IZK85" s="70">
        <v>0</v>
      </c>
      <c r="IZL85" s="70">
        <v>0</v>
      </c>
      <c r="IZM85" s="70">
        <v>0</v>
      </c>
      <c r="IZN85" s="70">
        <v>0</v>
      </c>
      <c r="IZO85" s="70">
        <v>0</v>
      </c>
      <c r="IZP85" s="70">
        <v>0</v>
      </c>
      <c r="IZQ85" s="70">
        <v>0</v>
      </c>
      <c r="IZR85" s="70">
        <v>0</v>
      </c>
      <c r="IZS85" s="70">
        <v>0</v>
      </c>
      <c r="IZT85" s="70">
        <v>0</v>
      </c>
      <c r="IZU85" s="70">
        <v>0</v>
      </c>
      <c r="IZV85" s="70">
        <v>0</v>
      </c>
      <c r="IZW85" s="70">
        <v>0</v>
      </c>
      <c r="IZX85" s="70">
        <v>0</v>
      </c>
      <c r="IZY85" s="70">
        <v>0</v>
      </c>
      <c r="IZZ85" s="70">
        <v>0</v>
      </c>
      <c r="JAA85" s="70">
        <v>0</v>
      </c>
      <c r="JAB85" s="70">
        <v>0</v>
      </c>
      <c r="JAC85" s="70">
        <v>0</v>
      </c>
      <c r="JAD85" s="70">
        <v>0</v>
      </c>
      <c r="JAE85" s="70">
        <v>0</v>
      </c>
      <c r="JAF85" s="70">
        <v>0</v>
      </c>
      <c r="JAG85" s="70">
        <v>0</v>
      </c>
      <c r="JAH85" s="70">
        <v>0</v>
      </c>
      <c r="JAI85" s="70">
        <v>0</v>
      </c>
      <c r="JAJ85" s="70">
        <v>0</v>
      </c>
      <c r="JAK85" s="70">
        <v>0</v>
      </c>
      <c r="JAL85" s="70">
        <v>0</v>
      </c>
      <c r="JAM85" s="70">
        <v>0</v>
      </c>
      <c r="JAN85" s="70">
        <v>0</v>
      </c>
      <c r="JAO85" s="70">
        <v>0</v>
      </c>
      <c r="JAP85" s="70">
        <v>0</v>
      </c>
      <c r="JAQ85" s="70">
        <v>0</v>
      </c>
      <c r="JAR85" s="70">
        <v>0</v>
      </c>
      <c r="JAS85" s="70">
        <v>0</v>
      </c>
      <c r="JAT85" s="70">
        <v>0</v>
      </c>
      <c r="JAU85" s="70">
        <v>0</v>
      </c>
      <c r="JAV85" s="70">
        <v>0</v>
      </c>
      <c r="JAW85" s="70">
        <v>0</v>
      </c>
      <c r="JAX85" s="70">
        <v>0</v>
      </c>
      <c r="JAY85" s="70">
        <v>0</v>
      </c>
      <c r="JAZ85" s="70">
        <v>0</v>
      </c>
      <c r="JBA85" s="70">
        <v>0</v>
      </c>
      <c r="JBB85" s="70">
        <v>0</v>
      </c>
      <c r="JBC85" s="70">
        <v>0</v>
      </c>
      <c r="JBD85" s="70">
        <v>0</v>
      </c>
      <c r="JBE85" s="70">
        <v>0</v>
      </c>
      <c r="JBF85" s="70">
        <v>0</v>
      </c>
      <c r="JBG85" s="70">
        <v>0</v>
      </c>
      <c r="JBH85" s="70">
        <v>0</v>
      </c>
      <c r="JBI85" s="70">
        <v>0</v>
      </c>
      <c r="JBJ85" s="70">
        <v>0</v>
      </c>
      <c r="JBK85" s="70">
        <v>0</v>
      </c>
      <c r="JBL85" s="70">
        <v>0</v>
      </c>
      <c r="JBM85" s="70">
        <v>0</v>
      </c>
      <c r="JBN85" s="70">
        <v>0</v>
      </c>
      <c r="JBO85" s="70">
        <v>0</v>
      </c>
      <c r="JBP85" s="70">
        <v>0</v>
      </c>
      <c r="JBQ85" s="70">
        <v>0</v>
      </c>
      <c r="JBR85" s="70">
        <v>0</v>
      </c>
      <c r="JBS85" s="70">
        <v>0</v>
      </c>
      <c r="JBT85" s="70">
        <v>0</v>
      </c>
      <c r="JBU85" s="70">
        <v>0</v>
      </c>
      <c r="JBV85" s="70">
        <v>0</v>
      </c>
      <c r="JBW85" s="70">
        <v>0</v>
      </c>
      <c r="JBX85" s="70">
        <v>0</v>
      </c>
      <c r="JBY85" s="70">
        <v>0</v>
      </c>
      <c r="JBZ85" s="70">
        <v>0</v>
      </c>
      <c r="JCA85" s="70">
        <v>0</v>
      </c>
      <c r="JCB85" s="70">
        <v>0</v>
      </c>
      <c r="JCC85" s="70">
        <v>0</v>
      </c>
      <c r="JCD85" s="70">
        <v>0</v>
      </c>
      <c r="JCE85" s="70">
        <v>0</v>
      </c>
      <c r="JCF85" s="70">
        <v>0</v>
      </c>
      <c r="JCG85" s="70">
        <v>0</v>
      </c>
      <c r="JCH85" s="70">
        <v>0</v>
      </c>
      <c r="JCI85" s="70">
        <v>0</v>
      </c>
      <c r="JCJ85" s="70">
        <v>0</v>
      </c>
      <c r="JCK85" s="70">
        <v>0</v>
      </c>
      <c r="JCL85" s="70">
        <v>0</v>
      </c>
      <c r="JCM85" s="70">
        <v>0</v>
      </c>
      <c r="JCN85" s="70">
        <v>0</v>
      </c>
      <c r="JCO85" s="70">
        <v>0</v>
      </c>
      <c r="JCP85" s="70">
        <v>0</v>
      </c>
      <c r="JCQ85" s="70">
        <v>0</v>
      </c>
      <c r="JCR85" s="70">
        <v>0</v>
      </c>
      <c r="JCS85" s="70">
        <v>0</v>
      </c>
      <c r="JCT85" s="70">
        <v>0</v>
      </c>
      <c r="JCU85" s="70">
        <v>0</v>
      </c>
      <c r="JCV85" s="70">
        <v>0</v>
      </c>
      <c r="JCW85" s="70">
        <v>0</v>
      </c>
      <c r="JCX85" s="70">
        <v>0</v>
      </c>
      <c r="JCY85" s="70">
        <v>0</v>
      </c>
      <c r="JCZ85" s="70">
        <v>0</v>
      </c>
      <c r="JDA85" s="70">
        <v>0</v>
      </c>
      <c r="JDB85" s="70">
        <v>0</v>
      </c>
      <c r="JDC85" s="70">
        <v>0</v>
      </c>
      <c r="JDD85" s="70">
        <v>0</v>
      </c>
      <c r="JDE85" s="70">
        <v>0</v>
      </c>
      <c r="JDF85" s="70">
        <v>0</v>
      </c>
      <c r="JDG85" s="70">
        <v>0</v>
      </c>
      <c r="JDH85" s="70">
        <v>0</v>
      </c>
      <c r="JDI85" s="70">
        <v>0</v>
      </c>
      <c r="JDJ85" s="70">
        <v>0</v>
      </c>
      <c r="JDK85" s="70">
        <v>0</v>
      </c>
      <c r="JDL85" s="70">
        <v>0</v>
      </c>
      <c r="JDM85" s="70">
        <v>0</v>
      </c>
      <c r="JDN85" s="70">
        <v>0</v>
      </c>
      <c r="JDO85" s="70">
        <v>0</v>
      </c>
      <c r="JDP85" s="70">
        <v>0</v>
      </c>
      <c r="JDQ85" s="70">
        <v>0</v>
      </c>
      <c r="JDR85" s="70">
        <v>0</v>
      </c>
      <c r="JDS85" s="70">
        <v>0</v>
      </c>
      <c r="JDT85" s="70">
        <v>0</v>
      </c>
      <c r="JDU85" s="70">
        <v>0</v>
      </c>
      <c r="JDV85" s="70">
        <v>0</v>
      </c>
      <c r="JDW85" s="70">
        <v>0</v>
      </c>
      <c r="JDX85" s="70">
        <v>0</v>
      </c>
      <c r="JDY85" s="70">
        <v>0</v>
      </c>
      <c r="JDZ85" s="70">
        <v>0</v>
      </c>
      <c r="JEA85" s="70">
        <v>0</v>
      </c>
      <c r="JEB85" s="70">
        <v>0</v>
      </c>
      <c r="JEC85" s="70">
        <v>0</v>
      </c>
      <c r="JED85" s="70">
        <v>0</v>
      </c>
      <c r="JEE85" s="70">
        <v>0</v>
      </c>
      <c r="JEF85" s="70">
        <v>0</v>
      </c>
      <c r="JEG85" s="70">
        <v>0</v>
      </c>
      <c r="JEH85" s="70">
        <v>0</v>
      </c>
      <c r="JEI85" s="70">
        <v>0</v>
      </c>
      <c r="JEJ85" s="70">
        <v>0</v>
      </c>
      <c r="JEK85" s="70">
        <v>0</v>
      </c>
      <c r="JEL85" s="70">
        <v>0</v>
      </c>
      <c r="JEM85" s="70">
        <v>0</v>
      </c>
      <c r="JEN85" s="70">
        <v>0</v>
      </c>
      <c r="JEO85" s="70">
        <v>0</v>
      </c>
      <c r="JEP85" s="70">
        <v>0</v>
      </c>
      <c r="JEQ85" s="70">
        <v>0</v>
      </c>
      <c r="JER85" s="70">
        <v>0</v>
      </c>
      <c r="JES85" s="70">
        <v>0</v>
      </c>
      <c r="JET85" s="70">
        <v>0</v>
      </c>
      <c r="JEU85" s="70">
        <v>0</v>
      </c>
      <c r="JEV85" s="70">
        <v>0</v>
      </c>
      <c r="JEW85" s="70">
        <v>0</v>
      </c>
      <c r="JEX85" s="70">
        <v>0</v>
      </c>
      <c r="JEY85" s="70">
        <v>0</v>
      </c>
      <c r="JEZ85" s="70">
        <v>0</v>
      </c>
      <c r="JFA85" s="70">
        <v>0</v>
      </c>
      <c r="JFB85" s="70">
        <v>0</v>
      </c>
      <c r="JFC85" s="70">
        <v>0</v>
      </c>
      <c r="JFD85" s="70">
        <v>0</v>
      </c>
      <c r="JFE85" s="70">
        <v>0</v>
      </c>
      <c r="JFF85" s="70">
        <v>0</v>
      </c>
      <c r="JFG85" s="70">
        <v>0</v>
      </c>
      <c r="JFH85" s="70">
        <v>0</v>
      </c>
      <c r="JFI85" s="70">
        <v>0</v>
      </c>
      <c r="JFJ85" s="70">
        <v>0</v>
      </c>
      <c r="JFK85" s="70">
        <v>0</v>
      </c>
      <c r="JFL85" s="70">
        <v>0</v>
      </c>
      <c r="JFM85" s="70">
        <v>0</v>
      </c>
      <c r="JFN85" s="70">
        <v>0</v>
      </c>
      <c r="JFO85" s="70">
        <v>0</v>
      </c>
      <c r="JFP85" s="70">
        <v>0</v>
      </c>
      <c r="JFQ85" s="70">
        <v>0</v>
      </c>
      <c r="JFR85" s="70">
        <v>0</v>
      </c>
      <c r="JFS85" s="70">
        <v>0</v>
      </c>
      <c r="JFT85" s="70">
        <v>0</v>
      </c>
      <c r="JFU85" s="70">
        <v>0</v>
      </c>
      <c r="JFV85" s="70">
        <v>0</v>
      </c>
      <c r="JFW85" s="70">
        <v>0</v>
      </c>
      <c r="JFX85" s="70">
        <v>0</v>
      </c>
      <c r="JFY85" s="70">
        <v>0</v>
      </c>
      <c r="JFZ85" s="70">
        <v>0</v>
      </c>
      <c r="JGA85" s="70">
        <v>0</v>
      </c>
      <c r="JGB85" s="70">
        <v>0</v>
      </c>
      <c r="JGC85" s="70">
        <v>0</v>
      </c>
      <c r="JGD85" s="70">
        <v>0</v>
      </c>
      <c r="JGE85" s="70">
        <v>0</v>
      </c>
      <c r="JGF85" s="70">
        <v>0</v>
      </c>
      <c r="JGG85" s="70">
        <v>0</v>
      </c>
      <c r="JGH85" s="70">
        <v>0</v>
      </c>
      <c r="JGI85" s="70">
        <v>0</v>
      </c>
      <c r="JGJ85" s="70">
        <v>0</v>
      </c>
      <c r="JGK85" s="70">
        <v>0</v>
      </c>
      <c r="JGL85" s="70">
        <v>0</v>
      </c>
      <c r="JGM85" s="70">
        <v>0</v>
      </c>
      <c r="JGN85" s="70">
        <v>0</v>
      </c>
      <c r="JGO85" s="70">
        <v>0</v>
      </c>
      <c r="JGP85" s="70">
        <v>0</v>
      </c>
      <c r="JGQ85" s="70">
        <v>0</v>
      </c>
      <c r="JGR85" s="70">
        <v>0</v>
      </c>
      <c r="JGS85" s="70">
        <v>0</v>
      </c>
      <c r="JGT85" s="70">
        <v>0</v>
      </c>
      <c r="JGU85" s="70">
        <v>0</v>
      </c>
      <c r="JGV85" s="70">
        <v>0</v>
      </c>
      <c r="JGW85" s="70">
        <v>0</v>
      </c>
      <c r="JGX85" s="70">
        <v>0</v>
      </c>
      <c r="JGY85" s="70">
        <v>0</v>
      </c>
      <c r="JGZ85" s="70">
        <v>0</v>
      </c>
      <c r="JHA85" s="70">
        <v>0</v>
      </c>
      <c r="JHB85" s="70">
        <v>0</v>
      </c>
      <c r="JHC85" s="70">
        <v>0</v>
      </c>
      <c r="JHD85" s="70">
        <v>0</v>
      </c>
      <c r="JHE85" s="70">
        <v>0</v>
      </c>
      <c r="JHF85" s="70">
        <v>0</v>
      </c>
      <c r="JHG85" s="70">
        <v>0</v>
      </c>
      <c r="JHH85" s="70">
        <v>0</v>
      </c>
      <c r="JHI85" s="70">
        <v>0</v>
      </c>
      <c r="JHJ85" s="70">
        <v>0</v>
      </c>
      <c r="JHK85" s="70">
        <v>0</v>
      </c>
      <c r="JHL85" s="70">
        <v>0</v>
      </c>
      <c r="JHM85" s="70">
        <v>0</v>
      </c>
      <c r="JHN85" s="70">
        <v>0</v>
      </c>
      <c r="JHO85" s="70">
        <v>0</v>
      </c>
      <c r="JHP85" s="70">
        <v>0</v>
      </c>
      <c r="JHQ85" s="70">
        <v>0</v>
      </c>
      <c r="JHR85" s="70">
        <v>0</v>
      </c>
      <c r="JHS85" s="70">
        <v>0</v>
      </c>
      <c r="JHT85" s="70">
        <v>0</v>
      </c>
      <c r="JHU85" s="70">
        <v>0</v>
      </c>
      <c r="JHV85" s="70">
        <v>0</v>
      </c>
      <c r="JHW85" s="70">
        <v>0</v>
      </c>
      <c r="JHX85" s="70">
        <v>0</v>
      </c>
      <c r="JHY85" s="70">
        <v>0</v>
      </c>
      <c r="JHZ85" s="70">
        <v>0</v>
      </c>
      <c r="JIA85" s="70">
        <v>0</v>
      </c>
      <c r="JIB85" s="70">
        <v>0</v>
      </c>
      <c r="JIC85" s="70">
        <v>0</v>
      </c>
      <c r="JID85" s="70">
        <v>0</v>
      </c>
      <c r="JIE85" s="70">
        <v>0</v>
      </c>
      <c r="JIF85" s="70">
        <v>0</v>
      </c>
      <c r="JIG85" s="70">
        <v>0</v>
      </c>
      <c r="JIH85" s="70">
        <v>0</v>
      </c>
      <c r="JII85" s="70">
        <v>0</v>
      </c>
      <c r="JIJ85" s="70">
        <v>0</v>
      </c>
      <c r="JIK85" s="70">
        <v>0</v>
      </c>
      <c r="JIL85" s="70">
        <v>0</v>
      </c>
      <c r="JIM85" s="70">
        <v>0</v>
      </c>
      <c r="JIN85" s="70">
        <v>0</v>
      </c>
      <c r="JIO85" s="70">
        <v>0</v>
      </c>
      <c r="JIP85" s="70">
        <v>0</v>
      </c>
      <c r="JIQ85" s="70">
        <v>0</v>
      </c>
      <c r="JIR85" s="70">
        <v>0</v>
      </c>
      <c r="JIS85" s="70">
        <v>0</v>
      </c>
      <c r="JIT85" s="70">
        <v>0</v>
      </c>
      <c r="JIU85" s="70">
        <v>0</v>
      </c>
      <c r="JIV85" s="70">
        <v>0</v>
      </c>
      <c r="JIW85" s="70">
        <v>0</v>
      </c>
      <c r="JIX85" s="70">
        <v>0</v>
      </c>
      <c r="JIY85" s="70">
        <v>0</v>
      </c>
      <c r="JIZ85" s="70">
        <v>0</v>
      </c>
      <c r="JJA85" s="70">
        <v>0</v>
      </c>
      <c r="JJB85" s="70">
        <v>0</v>
      </c>
      <c r="JJC85" s="70">
        <v>0</v>
      </c>
      <c r="JJD85" s="70">
        <v>0</v>
      </c>
      <c r="JJE85" s="70">
        <v>0</v>
      </c>
      <c r="JJF85" s="70">
        <v>0</v>
      </c>
      <c r="JJG85" s="70">
        <v>0</v>
      </c>
      <c r="JJH85" s="70">
        <v>0</v>
      </c>
      <c r="JJI85" s="70">
        <v>0</v>
      </c>
      <c r="JJJ85" s="70">
        <v>0</v>
      </c>
      <c r="JJK85" s="70">
        <v>0</v>
      </c>
      <c r="JJL85" s="70">
        <v>0</v>
      </c>
      <c r="JJM85" s="70">
        <v>0</v>
      </c>
      <c r="JJN85" s="70">
        <v>0</v>
      </c>
      <c r="JJO85" s="70">
        <v>0</v>
      </c>
      <c r="JJP85" s="70">
        <v>0</v>
      </c>
      <c r="JJQ85" s="70">
        <v>0</v>
      </c>
      <c r="JJR85" s="70">
        <v>0</v>
      </c>
      <c r="JJS85" s="70">
        <v>0</v>
      </c>
      <c r="JJT85" s="70">
        <v>0</v>
      </c>
      <c r="JJU85" s="70">
        <v>0</v>
      </c>
      <c r="JJV85" s="70">
        <v>0</v>
      </c>
      <c r="JJW85" s="70">
        <v>0</v>
      </c>
      <c r="JJX85" s="70">
        <v>0</v>
      </c>
      <c r="JJY85" s="70">
        <v>0</v>
      </c>
      <c r="JJZ85" s="70">
        <v>0</v>
      </c>
      <c r="JKA85" s="70">
        <v>0</v>
      </c>
      <c r="JKB85" s="70">
        <v>0</v>
      </c>
      <c r="JKC85" s="70">
        <v>0</v>
      </c>
      <c r="JKD85" s="70">
        <v>0</v>
      </c>
      <c r="JKE85" s="70">
        <v>0</v>
      </c>
      <c r="JKF85" s="70">
        <v>0</v>
      </c>
      <c r="JKG85" s="70">
        <v>0</v>
      </c>
      <c r="JKH85" s="70">
        <v>0</v>
      </c>
      <c r="JKI85" s="70">
        <v>0</v>
      </c>
      <c r="JKJ85" s="70">
        <v>0</v>
      </c>
      <c r="JKK85" s="70">
        <v>0</v>
      </c>
      <c r="JKL85" s="70">
        <v>0</v>
      </c>
      <c r="JKM85" s="70">
        <v>0</v>
      </c>
      <c r="JKN85" s="70">
        <v>0</v>
      </c>
      <c r="JKO85" s="70">
        <v>0</v>
      </c>
      <c r="JKP85" s="70">
        <v>0</v>
      </c>
      <c r="JKQ85" s="70">
        <v>0</v>
      </c>
      <c r="JKR85" s="70">
        <v>0</v>
      </c>
      <c r="JKS85" s="70">
        <v>0</v>
      </c>
      <c r="JKT85" s="70">
        <v>0</v>
      </c>
      <c r="JKU85" s="70">
        <v>0</v>
      </c>
      <c r="JKV85" s="70">
        <v>0</v>
      </c>
      <c r="JKW85" s="70">
        <v>0</v>
      </c>
      <c r="JKX85" s="70">
        <v>0</v>
      </c>
      <c r="JKY85" s="70">
        <v>0</v>
      </c>
      <c r="JKZ85" s="70">
        <v>0</v>
      </c>
      <c r="JLA85" s="70">
        <v>0</v>
      </c>
      <c r="JLB85" s="70">
        <v>0</v>
      </c>
      <c r="JLC85" s="70">
        <v>0</v>
      </c>
      <c r="JLD85" s="70">
        <v>0</v>
      </c>
      <c r="JLE85" s="70">
        <v>0</v>
      </c>
      <c r="JLF85" s="70">
        <v>0</v>
      </c>
      <c r="JLG85" s="70">
        <v>0</v>
      </c>
      <c r="JLH85" s="70">
        <v>0</v>
      </c>
      <c r="JLI85" s="70">
        <v>0</v>
      </c>
      <c r="JLJ85" s="70">
        <v>0</v>
      </c>
      <c r="JLK85" s="70">
        <v>0</v>
      </c>
      <c r="JLL85" s="70">
        <v>0</v>
      </c>
      <c r="JLM85" s="70">
        <v>0</v>
      </c>
      <c r="JLN85" s="70">
        <v>0</v>
      </c>
      <c r="JLO85" s="70">
        <v>0</v>
      </c>
      <c r="JLP85" s="70">
        <v>0</v>
      </c>
      <c r="JLQ85" s="70">
        <v>0</v>
      </c>
      <c r="JLR85" s="70">
        <v>0</v>
      </c>
      <c r="JLS85" s="70">
        <v>0</v>
      </c>
      <c r="JLT85" s="70">
        <v>0</v>
      </c>
      <c r="JLU85" s="70">
        <v>0</v>
      </c>
      <c r="JLV85" s="70">
        <v>0</v>
      </c>
      <c r="JLW85" s="70">
        <v>0</v>
      </c>
      <c r="JLX85" s="70">
        <v>0</v>
      </c>
      <c r="JLY85" s="70">
        <v>0</v>
      </c>
      <c r="JLZ85" s="70">
        <v>0</v>
      </c>
      <c r="JMA85" s="70">
        <v>0</v>
      </c>
      <c r="JMB85" s="70">
        <v>0</v>
      </c>
      <c r="JMC85" s="70">
        <v>0</v>
      </c>
      <c r="JMD85" s="70">
        <v>0</v>
      </c>
      <c r="JME85" s="70">
        <v>0</v>
      </c>
      <c r="JMF85" s="70">
        <v>0</v>
      </c>
      <c r="JMG85" s="70">
        <v>0</v>
      </c>
      <c r="JMH85" s="70">
        <v>0</v>
      </c>
      <c r="JMI85" s="70">
        <v>0</v>
      </c>
      <c r="JMJ85" s="70">
        <v>0</v>
      </c>
      <c r="JMK85" s="70">
        <v>0</v>
      </c>
      <c r="JML85" s="70">
        <v>0</v>
      </c>
      <c r="JMM85" s="70">
        <v>0</v>
      </c>
      <c r="JMN85" s="70">
        <v>0</v>
      </c>
      <c r="JMO85" s="70">
        <v>0</v>
      </c>
      <c r="JMP85" s="70">
        <v>0</v>
      </c>
      <c r="JMQ85" s="70">
        <v>0</v>
      </c>
      <c r="JMR85" s="70">
        <v>0</v>
      </c>
      <c r="JMS85" s="70">
        <v>0</v>
      </c>
      <c r="JMT85" s="70">
        <v>0</v>
      </c>
      <c r="JMU85" s="70">
        <v>0</v>
      </c>
      <c r="JMV85" s="70">
        <v>0</v>
      </c>
      <c r="JMW85" s="70">
        <v>0</v>
      </c>
      <c r="JMX85" s="70">
        <v>0</v>
      </c>
      <c r="JMY85" s="70">
        <v>0</v>
      </c>
      <c r="JMZ85" s="70">
        <v>0</v>
      </c>
      <c r="JNA85" s="70">
        <v>0</v>
      </c>
      <c r="JNB85" s="70">
        <v>0</v>
      </c>
      <c r="JNC85" s="70">
        <v>0</v>
      </c>
      <c r="JND85" s="70">
        <v>0</v>
      </c>
      <c r="JNE85" s="70">
        <v>0</v>
      </c>
      <c r="JNF85" s="70">
        <v>0</v>
      </c>
      <c r="JNG85" s="70">
        <v>0</v>
      </c>
      <c r="JNH85" s="70">
        <v>0</v>
      </c>
      <c r="JNI85" s="70">
        <v>0</v>
      </c>
      <c r="JNJ85" s="70">
        <v>0</v>
      </c>
      <c r="JNK85" s="70">
        <v>0</v>
      </c>
      <c r="JNL85" s="70">
        <v>0</v>
      </c>
      <c r="JNM85" s="70">
        <v>0</v>
      </c>
      <c r="JNN85" s="70">
        <v>0</v>
      </c>
      <c r="JNO85" s="70">
        <v>0</v>
      </c>
      <c r="JNP85" s="70">
        <v>0</v>
      </c>
      <c r="JNQ85" s="70">
        <v>0</v>
      </c>
      <c r="JNR85" s="70">
        <v>0</v>
      </c>
      <c r="JNS85" s="70">
        <v>0</v>
      </c>
      <c r="JNT85" s="70">
        <v>0</v>
      </c>
      <c r="JNU85" s="70">
        <v>0</v>
      </c>
      <c r="JNV85" s="70">
        <v>0</v>
      </c>
      <c r="JNW85" s="70">
        <v>0</v>
      </c>
      <c r="JNX85" s="70">
        <v>0</v>
      </c>
      <c r="JNY85" s="70">
        <v>0</v>
      </c>
      <c r="JNZ85" s="70">
        <v>0</v>
      </c>
      <c r="JOA85" s="70">
        <v>0</v>
      </c>
      <c r="JOB85" s="70">
        <v>0</v>
      </c>
      <c r="JOC85" s="70">
        <v>0</v>
      </c>
      <c r="JOD85" s="70">
        <v>0</v>
      </c>
      <c r="JOE85" s="70">
        <v>0</v>
      </c>
      <c r="JOF85" s="70">
        <v>0</v>
      </c>
      <c r="JOG85" s="70">
        <v>0</v>
      </c>
      <c r="JOH85" s="70">
        <v>0</v>
      </c>
      <c r="JOI85" s="70">
        <v>0</v>
      </c>
      <c r="JOJ85" s="70">
        <v>0</v>
      </c>
      <c r="JOK85" s="70">
        <v>0</v>
      </c>
      <c r="JOL85" s="70">
        <v>0</v>
      </c>
      <c r="JOM85" s="70">
        <v>0</v>
      </c>
      <c r="JON85" s="70">
        <v>0</v>
      </c>
      <c r="JOO85" s="70">
        <v>0</v>
      </c>
      <c r="JOP85" s="70">
        <v>0</v>
      </c>
      <c r="JOQ85" s="70">
        <v>0</v>
      </c>
      <c r="JOR85" s="70">
        <v>0</v>
      </c>
      <c r="JOS85" s="70">
        <v>0</v>
      </c>
      <c r="JOT85" s="70">
        <v>0</v>
      </c>
      <c r="JOU85" s="70">
        <v>0</v>
      </c>
      <c r="JOV85" s="70">
        <v>0</v>
      </c>
      <c r="JOW85" s="70">
        <v>0</v>
      </c>
      <c r="JOX85" s="70">
        <v>0</v>
      </c>
      <c r="JOY85" s="70">
        <v>0</v>
      </c>
      <c r="JOZ85" s="70">
        <v>0</v>
      </c>
      <c r="JPA85" s="70">
        <v>0</v>
      </c>
      <c r="JPB85" s="70">
        <v>0</v>
      </c>
      <c r="JPC85" s="70">
        <v>0</v>
      </c>
      <c r="JPD85" s="70">
        <v>0</v>
      </c>
      <c r="JPE85" s="70">
        <v>0</v>
      </c>
      <c r="JPF85" s="70">
        <v>0</v>
      </c>
      <c r="JPG85" s="70">
        <v>0</v>
      </c>
      <c r="JPH85" s="70">
        <v>0</v>
      </c>
      <c r="JPI85" s="70">
        <v>0</v>
      </c>
      <c r="JPJ85" s="70">
        <v>0</v>
      </c>
      <c r="JPK85" s="70">
        <v>0</v>
      </c>
      <c r="JPL85" s="70">
        <v>0</v>
      </c>
      <c r="JPM85" s="70">
        <v>0</v>
      </c>
      <c r="JPN85" s="70">
        <v>0</v>
      </c>
      <c r="JPO85" s="70">
        <v>0</v>
      </c>
      <c r="JPP85" s="70">
        <v>0</v>
      </c>
      <c r="JPQ85" s="70">
        <v>0</v>
      </c>
      <c r="JPR85" s="70">
        <v>0</v>
      </c>
      <c r="JPS85" s="70">
        <v>0</v>
      </c>
      <c r="JPT85" s="70">
        <v>0</v>
      </c>
      <c r="JPU85" s="70">
        <v>0</v>
      </c>
      <c r="JPV85" s="70">
        <v>0</v>
      </c>
      <c r="JPW85" s="70">
        <v>0</v>
      </c>
      <c r="JPX85" s="70">
        <v>0</v>
      </c>
      <c r="JPY85" s="70">
        <v>0</v>
      </c>
      <c r="JPZ85" s="70">
        <v>0</v>
      </c>
      <c r="JQA85" s="70">
        <v>0</v>
      </c>
      <c r="JQB85" s="70">
        <v>0</v>
      </c>
      <c r="JQC85" s="70">
        <v>0</v>
      </c>
      <c r="JQD85" s="70">
        <v>0</v>
      </c>
      <c r="JQE85" s="70">
        <v>0</v>
      </c>
      <c r="JQF85" s="70">
        <v>0</v>
      </c>
      <c r="JQG85" s="70">
        <v>0</v>
      </c>
      <c r="JQH85" s="70">
        <v>0</v>
      </c>
      <c r="JQI85" s="70">
        <v>0</v>
      </c>
      <c r="JQJ85" s="70">
        <v>0</v>
      </c>
      <c r="JQK85" s="70">
        <v>0</v>
      </c>
      <c r="JQL85" s="70">
        <v>0</v>
      </c>
      <c r="JQM85" s="70">
        <v>0</v>
      </c>
      <c r="JQN85" s="70">
        <v>0</v>
      </c>
      <c r="JQO85" s="70">
        <v>0</v>
      </c>
      <c r="JQP85" s="70">
        <v>0</v>
      </c>
      <c r="JQQ85" s="70">
        <v>0</v>
      </c>
      <c r="JQR85" s="70">
        <v>0</v>
      </c>
      <c r="JQS85" s="70">
        <v>0</v>
      </c>
      <c r="JQT85" s="70">
        <v>0</v>
      </c>
      <c r="JQU85" s="70">
        <v>0</v>
      </c>
      <c r="JQV85" s="70">
        <v>0</v>
      </c>
      <c r="JQW85" s="70">
        <v>0</v>
      </c>
      <c r="JQX85" s="70">
        <v>0</v>
      </c>
      <c r="JQY85" s="70">
        <v>0</v>
      </c>
      <c r="JQZ85" s="70">
        <v>0</v>
      </c>
      <c r="JRA85" s="70">
        <v>0</v>
      </c>
      <c r="JRB85" s="70">
        <v>0</v>
      </c>
      <c r="JRC85" s="70">
        <v>0</v>
      </c>
      <c r="JRD85" s="70">
        <v>0</v>
      </c>
      <c r="JRE85" s="70">
        <v>0</v>
      </c>
      <c r="JRF85" s="70">
        <v>0</v>
      </c>
      <c r="JRG85" s="70">
        <v>0</v>
      </c>
      <c r="JRH85" s="70">
        <v>0</v>
      </c>
      <c r="JRI85" s="70">
        <v>0</v>
      </c>
      <c r="JRJ85" s="70">
        <v>0</v>
      </c>
      <c r="JRK85" s="70">
        <v>0</v>
      </c>
      <c r="JRL85" s="70">
        <v>0</v>
      </c>
      <c r="JRM85" s="70">
        <v>0</v>
      </c>
      <c r="JRN85" s="70">
        <v>0</v>
      </c>
      <c r="JRO85" s="70">
        <v>0</v>
      </c>
      <c r="JRP85" s="70">
        <v>0</v>
      </c>
      <c r="JRQ85" s="70">
        <v>0</v>
      </c>
      <c r="JRR85" s="70">
        <v>0</v>
      </c>
      <c r="JRS85" s="70">
        <v>0</v>
      </c>
      <c r="JRT85" s="70">
        <v>0</v>
      </c>
      <c r="JRU85" s="70">
        <v>0</v>
      </c>
      <c r="JRV85" s="70">
        <v>0</v>
      </c>
      <c r="JRW85" s="70">
        <v>0</v>
      </c>
      <c r="JRX85" s="70">
        <v>0</v>
      </c>
      <c r="JRY85" s="70">
        <v>0</v>
      </c>
      <c r="JRZ85" s="70">
        <v>0</v>
      </c>
      <c r="JSA85" s="70">
        <v>0</v>
      </c>
      <c r="JSB85" s="70">
        <v>0</v>
      </c>
      <c r="JSC85" s="70">
        <v>0</v>
      </c>
      <c r="JSD85" s="70">
        <v>0</v>
      </c>
      <c r="JSE85" s="70">
        <v>0</v>
      </c>
      <c r="JSF85" s="70">
        <v>0</v>
      </c>
      <c r="JSG85" s="70">
        <v>0</v>
      </c>
      <c r="JSH85" s="70">
        <v>0</v>
      </c>
      <c r="JSI85" s="70">
        <v>0</v>
      </c>
      <c r="JSJ85" s="70">
        <v>0</v>
      </c>
      <c r="JSK85" s="70">
        <v>0</v>
      </c>
      <c r="JSL85" s="70">
        <v>0</v>
      </c>
      <c r="JSM85" s="70">
        <v>0</v>
      </c>
      <c r="JSN85" s="70">
        <v>0</v>
      </c>
      <c r="JSO85" s="70">
        <v>0</v>
      </c>
      <c r="JSP85" s="70">
        <v>0</v>
      </c>
      <c r="JSQ85" s="70">
        <v>0</v>
      </c>
      <c r="JSR85" s="70">
        <v>0</v>
      </c>
      <c r="JSS85" s="70">
        <v>0</v>
      </c>
      <c r="JST85" s="70">
        <v>0</v>
      </c>
      <c r="JSU85" s="70">
        <v>0</v>
      </c>
      <c r="JSV85" s="70">
        <v>0</v>
      </c>
      <c r="JSW85" s="70">
        <v>0</v>
      </c>
      <c r="JSX85" s="70">
        <v>0</v>
      </c>
      <c r="JSY85" s="70">
        <v>0</v>
      </c>
      <c r="JSZ85" s="70">
        <v>0</v>
      </c>
      <c r="JTA85" s="70">
        <v>0</v>
      </c>
      <c r="JTB85" s="70">
        <v>0</v>
      </c>
      <c r="JTC85" s="70">
        <v>0</v>
      </c>
      <c r="JTD85" s="70">
        <v>0</v>
      </c>
      <c r="JTE85" s="70">
        <v>0</v>
      </c>
      <c r="JTF85" s="70">
        <v>0</v>
      </c>
      <c r="JTG85" s="70">
        <v>0</v>
      </c>
      <c r="JTH85" s="70">
        <v>0</v>
      </c>
      <c r="JTI85" s="70">
        <v>0</v>
      </c>
      <c r="JTJ85" s="70">
        <v>0</v>
      </c>
      <c r="JTK85" s="70">
        <v>0</v>
      </c>
      <c r="JTL85" s="70">
        <v>0</v>
      </c>
      <c r="JTM85" s="70">
        <v>0</v>
      </c>
      <c r="JTN85" s="70">
        <v>0</v>
      </c>
      <c r="JTO85" s="70">
        <v>0</v>
      </c>
      <c r="JTP85" s="70">
        <v>0</v>
      </c>
      <c r="JTQ85" s="70">
        <v>0</v>
      </c>
      <c r="JTR85" s="70">
        <v>0</v>
      </c>
      <c r="JTS85" s="70">
        <v>0</v>
      </c>
      <c r="JTT85" s="70">
        <v>0</v>
      </c>
      <c r="JTU85" s="70">
        <v>0</v>
      </c>
      <c r="JTV85" s="70">
        <v>0</v>
      </c>
      <c r="JTW85" s="70">
        <v>0</v>
      </c>
      <c r="JTX85" s="70">
        <v>0</v>
      </c>
      <c r="JTY85" s="70">
        <v>0</v>
      </c>
      <c r="JTZ85" s="70">
        <v>0</v>
      </c>
      <c r="JUA85" s="70">
        <v>0</v>
      </c>
      <c r="JUB85" s="70">
        <v>0</v>
      </c>
      <c r="JUC85" s="70">
        <v>0</v>
      </c>
      <c r="JUD85" s="70">
        <v>0</v>
      </c>
      <c r="JUE85" s="70">
        <v>0</v>
      </c>
      <c r="JUF85" s="70">
        <v>0</v>
      </c>
      <c r="JUG85" s="70">
        <v>0</v>
      </c>
      <c r="JUH85" s="70">
        <v>0</v>
      </c>
      <c r="JUI85" s="70">
        <v>0</v>
      </c>
      <c r="JUJ85" s="70">
        <v>0</v>
      </c>
      <c r="JUK85" s="70">
        <v>0</v>
      </c>
      <c r="JUL85" s="70">
        <v>0</v>
      </c>
      <c r="JUM85" s="70">
        <v>0</v>
      </c>
      <c r="JUN85" s="70">
        <v>0</v>
      </c>
      <c r="JUO85" s="70">
        <v>0</v>
      </c>
      <c r="JUP85" s="70">
        <v>0</v>
      </c>
      <c r="JUQ85" s="70">
        <v>0</v>
      </c>
      <c r="JUR85" s="70">
        <v>0</v>
      </c>
      <c r="JUS85" s="70">
        <v>0</v>
      </c>
      <c r="JUT85" s="70">
        <v>0</v>
      </c>
      <c r="JUU85" s="70">
        <v>0</v>
      </c>
      <c r="JUV85" s="70">
        <v>0</v>
      </c>
      <c r="JUW85" s="70">
        <v>0</v>
      </c>
      <c r="JUX85" s="70">
        <v>0</v>
      </c>
      <c r="JUY85" s="70">
        <v>0</v>
      </c>
      <c r="JUZ85" s="70">
        <v>0</v>
      </c>
      <c r="JVA85" s="70">
        <v>0</v>
      </c>
      <c r="JVB85" s="70">
        <v>0</v>
      </c>
      <c r="JVC85" s="70">
        <v>0</v>
      </c>
      <c r="JVD85" s="70">
        <v>0</v>
      </c>
      <c r="JVE85" s="70">
        <v>0</v>
      </c>
      <c r="JVF85" s="70">
        <v>0</v>
      </c>
      <c r="JVG85" s="70">
        <v>0</v>
      </c>
      <c r="JVH85" s="70">
        <v>0</v>
      </c>
      <c r="JVI85" s="70">
        <v>0</v>
      </c>
      <c r="JVJ85" s="70">
        <v>0</v>
      </c>
      <c r="JVK85" s="70">
        <v>0</v>
      </c>
      <c r="JVL85" s="70">
        <v>0</v>
      </c>
      <c r="JVM85" s="70">
        <v>0</v>
      </c>
      <c r="JVN85" s="70">
        <v>0</v>
      </c>
      <c r="JVO85" s="70">
        <v>0</v>
      </c>
      <c r="JVP85" s="70">
        <v>0</v>
      </c>
      <c r="JVQ85" s="70">
        <v>0</v>
      </c>
      <c r="JVR85" s="70">
        <v>0</v>
      </c>
      <c r="JVS85" s="70">
        <v>0</v>
      </c>
      <c r="JVT85" s="70">
        <v>0</v>
      </c>
      <c r="JVU85" s="70">
        <v>0</v>
      </c>
      <c r="JVV85" s="70">
        <v>0</v>
      </c>
      <c r="JVW85" s="70">
        <v>0</v>
      </c>
      <c r="JVX85" s="70">
        <v>0</v>
      </c>
      <c r="JVY85" s="70">
        <v>0</v>
      </c>
      <c r="JVZ85" s="70">
        <v>0</v>
      </c>
      <c r="JWA85" s="70">
        <v>0</v>
      </c>
      <c r="JWB85" s="70">
        <v>0</v>
      </c>
      <c r="JWC85" s="70">
        <v>0</v>
      </c>
      <c r="JWD85" s="70">
        <v>0</v>
      </c>
      <c r="JWE85" s="70">
        <v>0</v>
      </c>
      <c r="JWF85" s="70">
        <v>0</v>
      </c>
      <c r="JWG85" s="70">
        <v>0</v>
      </c>
      <c r="JWH85" s="70">
        <v>0</v>
      </c>
      <c r="JWI85" s="70">
        <v>0</v>
      </c>
      <c r="JWJ85" s="70">
        <v>0</v>
      </c>
      <c r="JWK85" s="70">
        <v>0</v>
      </c>
      <c r="JWL85" s="70">
        <v>0</v>
      </c>
      <c r="JWM85" s="70">
        <v>0</v>
      </c>
      <c r="JWN85" s="70">
        <v>0</v>
      </c>
      <c r="JWO85" s="70">
        <v>0</v>
      </c>
      <c r="JWP85" s="70">
        <v>0</v>
      </c>
      <c r="JWQ85" s="70">
        <v>0</v>
      </c>
      <c r="JWR85" s="70">
        <v>0</v>
      </c>
      <c r="JWS85" s="70">
        <v>0</v>
      </c>
      <c r="JWT85" s="70">
        <v>0</v>
      </c>
      <c r="JWU85" s="70">
        <v>0</v>
      </c>
      <c r="JWV85" s="70">
        <v>0</v>
      </c>
      <c r="JWW85" s="70">
        <v>0</v>
      </c>
      <c r="JWX85" s="70">
        <v>0</v>
      </c>
      <c r="JWY85" s="70">
        <v>0</v>
      </c>
      <c r="JWZ85" s="70">
        <v>0</v>
      </c>
      <c r="JXA85" s="70">
        <v>0</v>
      </c>
      <c r="JXB85" s="70">
        <v>0</v>
      </c>
      <c r="JXC85" s="70">
        <v>0</v>
      </c>
      <c r="JXD85" s="70">
        <v>0</v>
      </c>
      <c r="JXE85" s="70">
        <v>0</v>
      </c>
      <c r="JXF85" s="70">
        <v>0</v>
      </c>
      <c r="JXG85" s="70">
        <v>0</v>
      </c>
      <c r="JXH85" s="70">
        <v>0</v>
      </c>
      <c r="JXI85" s="70">
        <v>0</v>
      </c>
      <c r="JXJ85" s="70">
        <v>0</v>
      </c>
      <c r="JXK85" s="70">
        <v>0</v>
      </c>
      <c r="JXL85" s="70">
        <v>0</v>
      </c>
      <c r="JXM85" s="70">
        <v>0</v>
      </c>
      <c r="JXN85" s="70">
        <v>0</v>
      </c>
      <c r="JXO85" s="70">
        <v>0</v>
      </c>
      <c r="JXP85" s="70">
        <v>0</v>
      </c>
      <c r="JXQ85" s="70">
        <v>0</v>
      </c>
      <c r="JXR85" s="70">
        <v>0</v>
      </c>
      <c r="JXS85" s="70">
        <v>0</v>
      </c>
      <c r="JXT85" s="70">
        <v>0</v>
      </c>
      <c r="JXU85" s="70">
        <v>0</v>
      </c>
      <c r="JXV85" s="70">
        <v>0</v>
      </c>
      <c r="JXW85" s="70">
        <v>0</v>
      </c>
      <c r="JXX85" s="70">
        <v>0</v>
      </c>
      <c r="JXY85" s="70">
        <v>0</v>
      </c>
      <c r="JXZ85" s="70">
        <v>0</v>
      </c>
      <c r="JYA85" s="70">
        <v>0</v>
      </c>
      <c r="JYB85" s="70">
        <v>0</v>
      </c>
      <c r="JYC85" s="70">
        <v>0</v>
      </c>
      <c r="JYD85" s="70">
        <v>0</v>
      </c>
      <c r="JYE85" s="70">
        <v>0</v>
      </c>
      <c r="JYF85" s="70">
        <v>0</v>
      </c>
      <c r="JYG85" s="70">
        <v>0</v>
      </c>
      <c r="JYH85" s="70">
        <v>0</v>
      </c>
      <c r="JYI85" s="70">
        <v>0</v>
      </c>
      <c r="JYJ85" s="70">
        <v>0</v>
      </c>
      <c r="JYK85" s="70">
        <v>0</v>
      </c>
      <c r="JYL85" s="70">
        <v>0</v>
      </c>
      <c r="JYM85" s="70">
        <v>0</v>
      </c>
      <c r="JYN85" s="70">
        <v>0</v>
      </c>
      <c r="JYO85" s="70">
        <v>0</v>
      </c>
      <c r="JYP85" s="70">
        <v>0</v>
      </c>
      <c r="JYQ85" s="70">
        <v>0</v>
      </c>
      <c r="JYR85" s="70">
        <v>0</v>
      </c>
      <c r="JYS85" s="70">
        <v>0</v>
      </c>
      <c r="JYT85" s="70">
        <v>0</v>
      </c>
      <c r="JYU85" s="70">
        <v>0</v>
      </c>
      <c r="JYV85" s="70">
        <v>0</v>
      </c>
      <c r="JYW85" s="70">
        <v>0</v>
      </c>
      <c r="JYX85" s="70">
        <v>0</v>
      </c>
      <c r="JYY85" s="70">
        <v>0</v>
      </c>
      <c r="JYZ85" s="70">
        <v>0</v>
      </c>
      <c r="JZA85" s="70">
        <v>0</v>
      </c>
      <c r="JZB85" s="70">
        <v>0</v>
      </c>
      <c r="JZC85" s="70">
        <v>0</v>
      </c>
      <c r="JZD85" s="70">
        <v>0</v>
      </c>
      <c r="JZE85" s="70">
        <v>0</v>
      </c>
      <c r="JZF85" s="70">
        <v>0</v>
      </c>
      <c r="JZG85" s="70">
        <v>0</v>
      </c>
      <c r="JZH85" s="70">
        <v>0</v>
      </c>
      <c r="JZI85" s="70">
        <v>0</v>
      </c>
      <c r="JZJ85" s="70">
        <v>0</v>
      </c>
      <c r="JZK85" s="70">
        <v>0</v>
      </c>
      <c r="JZL85" s="70">
        <v>0</v>
      </c>
      <c r="JZM85" s="70">
        <v>0</v>
      </c>
      <c r="JZN85" s="70">
        <v>0</v>
      </c>
      <c r="JZO85" s="70">
        <v>0</v>
      </c>
      <c r="JZP85" s="70">
        <v>0</v>
      </c>
      <c r="JZQ85" s="70">
        <v>0</v>
      </c>
      <c r="JZR85" s="70">
        <v>0</v>
      </c>
      <c r="JZS85" s="70">
        <v>0</v>
      </c>
      <c r="JZT85" s="70">
        <v>0</v>
      </c>
      <c r="JZU85" s="70">
        <v>0</v>
      </c>
      <c r="JZV85" s="70">
        <v>0</v>
      </c>
      <c r="JZW85" s="70">
        <v>0</v>
      </c>
      <c r="JZX85" s="70">
        <v>0</v>
      </c>
      <c r="JZY85" s="70">
        <v>0</v>
      </c>
      <c r="JZZ85" s="70">
        <v>0</v>
      </c>
      <c r="KAA85" s="70">
        <v>0</v>
      </c>
      <c r="KAB85" s="70">
        <v>0</v>
      </c>
      <c r="KAC85" s="70">
        <v>0</v>
      </c>
      <c r="KAD85" s="70">
        <v>0</v>
      </c>
      <c r="KAE85" s="70">
        <v>0</v>
      </c>
      <c r="KAF85" s="70">
        <v>0</v>
      </c>
      <c r="KAG85" s="70">
        <v>0</v>
      </c>
      <c r="KAH85" s="70">
        <v>0</v>
      </c>
      <c r="KAI85" s="70">
        <v>0</v>
      </c>
      <c r="KAJ85" s="70">
        <v>0</v>
      </c>
      <c r="KAK85" s="70">
        <v>0</v>
      </c>
      <c r="KAL85" s="70">
        <v>0</v>
      </c>
      <c r="KAM85" s="70">
        <v>0</v>
      </c>
      <c r="KAN85" s="70">
        <v>0</v>
      </c>
      <c r="KAO85" s="70">
        <v>0</v>
      </c>
      <c r="KAP85" s="70">
        <v>0</v>
      </c>
      <c r="KAQ85" s="70">
        <v>0</v>
      </c>
      <c r="KAR85" s="70">
        <v>0</v>
      </c>
      <c r="KAS85" s="70">
        <v>0</v>
      </c>
      <c r="KAT85" s="70">
        <v>0</v>
      </c>
      <c r="KAU85" s="70">
        <v>0</v>
      </c>
      <c r="KAV85" s="70">
        <v>0</v>
      </c>
      <c r="KAW85" s="70">
        <v>0</v>
      </c>
      <c r="KAX85" s="70">
        <v>0</v>
      </c>
      <c r="KAY85" s="70">
        <v>0</v>
      </c>
      <c r="KAZ85" s="70">
        <v>0</v>
      </c>
      <c r="KBA85" s="70">
        <v>0</v>
      </c>
      <c r="KBB85" s="70">
        <v>0</v>
      </c>
      <c r="KBC85" s="70">
        <v>0</v>
      </c>
      <c r="KBD85" s="70">
        <v>0</v>
      </c>
      <c r="KBE85" s="70">
        <v>0</v>
      </c>
      <c r="KBF85" s="70">
        <v>0</v>
      </c>
      <c r="KBG85" s="70">
        <v>0</v>
      </c>
      <c r="KBH85" s="70">
        <v>0</v>
      </c>
      <c r="KBI85" s="70">
        <v>0</v>
      </c>
      <c r="KBJ85" s="70">
        <v>0</v>
      </c>
      <c r="KBK85" s="70">
        <v>0</v>
      </c>
      <c r="KBL85" s="70">
        <v>0</v>
      </c>
      <c r="KBM85" s="70">
        <v>0</v>
      </c>
      <c r="KBN85" s="70">
        <v>0</v>
      </c>
      <c r="KBO85" s="70">
        <v>0</v>
      </c>
      <c r="KBP85" s="70">
        <v>0</v>
      </c>
      <c r="KBQ85" s="70">
        <v>0</v>
      </c>
      <c r="KBR85" s="70">
        <v>0</v>
      </c>
      <c r="KBS85" s="70">
        <v>0</v>
      </c>
      <c r="KBT85" s="70">
        <v>0</v>
      </c>
      <c r="KBU85" s="70">
        <v>0</v>
      </c>
      <c r="KBV85" s="70">
        <v>0</v>
      </c>
      <c r="KBW85" s="70">
        <v>0</v>
      </c>
      <c r="KBX85" s="70">
        <v>0</v>
      </c>
      <c r="KBY85" s="70">
        <v>0</v>
      </c>
      <c r="KBZ85" s="70">
        <v>0</v>
      </c>
      <c r="KCA85" s="70">
        <v>0</v>
      </c>
      <c r="KCB85" s="70">
        <v>0</v>
      </c>
      <c r="KCC85" s="70">
        <v>0</v>
      </c>
      <c r="KCD85" s="70">
        <v>0</v>
      </c>
      <c r="KCE85" s="70">
        <v>0</v>
      </c>
      <c r="KCF85" s="70">
        <v>0</v>
      </c>
      <c r="KCG85" s="70">
        <v>0</v>
      </c>
      <c r="KCH85" s="70">
        <v>0</v>
      </c>
      <c r="KCI85" s="70">
        <v>0</v>
      </c>
      <c r="KCJ85" s="70">
        <v>0</v>
      </c>
      <c r="KCK85" s="70">
        <v>0</v>
      </c>
      <c r="KCL85" s="70">
        <v>0</v>
      </c>
      <c r="KCM85" s="70">
        <v>0</v>
      </c>
      <c r="KCN85" s="70">
        <v>0</v>
      </c>
      <c r="KCO85" s="70">
        <v>0</v>
      </c>
      <c r="KCP85" s="70">
        <v>0</v>
      </c>
      <c r="KCQ85" s="70">
        <v>0</v>
      </c>
      <c r="KCR85" s="70">
        <v>0</v>
      </c>
      <c r="KCS85" s="70">
        <v>0</v>
      </c>
      <c r="KCT85" s="70">
        <v>0</v>
      </c>
      <c r="KCU85" s="70">
        <v>0</v>
      </c>
      <c r="KCV85" s="70">
        <v>0</v>
      </c>
      <c r="KCW85" s="70">
        <v>0</v>
      </c>
      <c r="KCX85" s="70">
        <v>0</v>
      </c>
      <c r="KCY85" s="70">
        <v>0</v>
      </c>
      <c r="KCZ85" s="70">
        <v>0</v>
      </c>
      <c r="KDA85" s="70">
        <v>0</v>
      </c>
      <c r="KDB85" s="70">
        <v>0</v>
      </c>
      <c r="KDC85" s="70">
        <v>0</v>
      </c>
      <c r="KDD85" s="70">
        <v>0</v>
      </c>
      <c r="KDE85" s="70">
        <v>0</v>
      </c>
      <c r="KDF85" s="70">
        <v>0</v>
      </c>
      <c r="KDG85" s="70">
        <v>0</v>
      </c>
      <c r="KDH85" s="70">
        <v>0</v>
      </c>
      <c r="KDI85" s="70">
        <v>0</v>
      </c>
      <c r="KDJ85" s="70">
        <v>0</v>
      </c>
      <c r="KDK85" s="70">
        <v>0</v>
      </c>
      <c r="KDL85" s="70">
        <v>0</v>
      </c>
      <c r="KDM85" s="70">
        <v>0</v>
      </c>
      <c r="KDN85" s="70">
        <v>0</v>
      </c>
      <c r="KDO85" s="70">
        <v>0</v>
      </c>
      <c r="KDP85" s="70">
        <v>0</v>
      </c>
      <c r="KDQ85" s="70">
        <v>0</v>
      </c>
      <c r="KDR85" s="70">
        <v>0</v>
      </c>
      <c r="KDS85" s="70">
        <v>0</v>
      </c>
      <c r="KDT85" s="70">
        <v>0</v>
      </c>
      <c r="KDU85" s="70">
        <v>0</v>
      </c>
      <c r="KDV85" s="70">
        <v>0</v>
      </c>
      <c r="KDW85" s="70">
        <v>0</v>
      </c>
      <c r="KDX85" s="70">
        <v>0</v>
      </c>
      <c r="KDY85" s="70">
        <v>0</v>
      </c>
      <c r="KDZ85" s="70">
        <v>0</v>
      </c>
      <c r="KEA85" s="70">
        <v>0</v>
      </c>
      <c r="KEB85" s="70">
        <v>0</v>
      </c>
      <c r="KEC85" s="70">
        <v>0</v>
      </c>
      <c r="KED85" s="70">
        <v>0</v>
      </c>
      <c r="KEE85" s="70">
        <v>0</v>
      </c>
      <c r="KEF85" s="70">
        <v>0</v>
      </c>
      <c r="KEG85" s="70">
        <v>0</v>
      </c>
      <c r="KEH85" s="70">
        <v>0</v>
      </c>
      <c r="KEI85" s="70">
        <v>0</v>
      </c>
      <c r="KEJ85" s="70">
        <v>0</v>
      </c>
      <c r="KEK85" s="70">
        <v>0</v>
      </c>
      <c r="KEL85" s="70">
        <v>0</v>
      </c>
      <c r="KEM85" s="70">
        <v>0</v>
      </c>
      <c r="KEN85" s="70">
        <v>0</v>
      </c>
      <c r="KEO85" s="70">
        <v>0</v>
      </c>
      <c r="KEP85" s="70">
        <v>0</v>
      </c>
      <c r="KEQ85" s="70">
        <v>0</v>
      </c>
      <c r="KER85" s="70">
        <v>0</v>
      </c>
      <c r="KES85" s="70">
        <v>0</v>
      </c>
      <c r="KET85" s="70">
        <v>0</v>
      </c>
      <c r="KEU85" s="70">
        <v>0</v>
      </c>
      <c r="KEV85" s="70">
        <v>0</v>
      </c>
      <c r="KEW85" s="70">
        <v>0</v>
      </c>
      <c r="KEX85" s="70">
        <v>0</v>
      </c>
      <c r="KEY85" s="70">
        <v>0</v>
      </c>
      <c r="KEZ85" s="70">
        <v>0</v>
      </c>
      <c r="KFA85" s="70">
        <v>0</v>
      </c>
      <c r="KFB85" s="70">
        <v>0</v>
      </c>
      <c r="KFC85" s="70">
        <v>0</v>
      </c>
      <c r="KFD85" s="70">
        <v>0</v>
      </c>
      <c r="KFE85" s="70">
        <v>0</v>
      </c>
      <c r="KFF85" s="70">
        <v>0</v>
      </c>
      <c r="KFG85" s="70">
        <v>0</v>
      </c>
      <c r="KFH85" s="70">
        <v>0</v>
      </c>
      <c r="KFI85" s="70">
        <v>0</v>
      </c>
      <c r="KFJ85" s="70">
        <v>0</v>
      </c>
      <c r="KFK85" s="70">
        <v>0</v>
      </c>
      <c r="KFL85" s="70">
        <v>0</v>
      </c>
      <c r="KFM85" s="70">
        <v>0</v>
      </c>
      <c r="KFN85" s="70">
        <v>0</v>
      </c>
      <c r="KFO85" s="70">
        <v>0</v>
      </c>
      <c r="KFP85" s="70">
        <v>0</v>
      </c>
      <c r="KFQ85" s="70">
        <v>0</v>
      </c>
      <c r="KFR85" s="70">
        <v>0</v>
      </c>
      <c r="KFS85" s="70">
        <v>0</v>
      </c>
      <c r="KFT85" s="70">
        <v>0</v>
      </c>
      <c r="KFU85" s="70">
        <v>0</v>
      </c>
      <c r="KFV85" s="70">
        <v>0</v>
      </c>
      <c r="KFW85" s="70">
        <v>0</v>
      </c>
      <c r="KFX85" s="70">
        <v>0</v>
      </c>
      <c r="KFY85" s="70">
        <v>0</v>
      </c>
      <c r="KFZ85" s="70">
        <v>0</v>
      </c>
      <c r="KGA85" s="70">
        <v>0</v>
      </c>
      <c r="KGB85" s="70">
        <v>0</v>
      </c>
      <c r="KGC85" s="70">
        <v>0</v>
      </c>
      <c r="KGD85" s="70">
        <v>0</v>
      </c>
      <c r="KGE85" s="70">
        <v>0</v>
      </c>
      <c r="KGF85" s="70">
        <v>0</v>
      </c>
      <c r="KGG85" s="70">
        <v>0</v>
      </c>
      <c r="KGH85" s="70">
        <v>0</v>
      </c>
      <c r="KGI85" s="70">
        <v>0</v>
      </c>
      <c r="KGJ85" s="70">
        <v>0</v>
      </c>
      <c r="KGK85" s="70">
        <v>0</v>
      </c>
      <c r="KGL85" s="70">
        <v>0</v>
      </c>
      <c r="KGM85" s="70">
        <v>0</v>
      </c>
      <c r="KGN85" s="70">
        <v>0</v>
      </c>
      <c r="KGO85" s="70">
        <v>0</v>
      </c>
      <c r="KGP85" s="70">
        <v>0</v>
      </c>
      <c r="KGQ85" s="70">
        <v>0</v>
      </c>
      <c r="KGR85" s="70">
        <v>0</v>
      </c>
      <c r="KGS85" s="70">
        <v>0</v>
      </c>
      <c r="KGT85" s="70">
        <v>0</v>
      </c>
      <c r="KGU85" s="70">
        <v>0</v>
      </c>
      <c r="KGV85" s="70">
        <v>0</v>
      </c>
      <c r="KGW85" s="70">
        <v>0</v>
      </c>
      <c r="KGX85" s="70">
        <v>0</v>
      </c>
      <c r="KGY85" s="70">
        <v>0</v>
      </c>
      <c r="KGZ85" s="70">
        <v>0</v>
      </c>
      <c r="KHA85" s="70">
        <v>0</v>
      </c>
      <c r="KHB85" s="70">
        <v>0</v>
      </c>
      <c r="KHC85" s="70">
        <v>0</v>
      </c>
      <c r="KHD85" s="70">
        <v>0</v>
      </c>
      <c r="KHE85" s="70">
        <v>0</v>
      </c>
      <c r="KHF85" s="70">
        <v>0</v>
      </c>
      <c r="KHG85" s="70">
        <v>0</v>
      </c>
      <c r="KHH85" s="70">
        <v>0</v>
      </c>
      <c r="KHI85" s="70">
        <v>0</v>
      </c>
      <c r="KHJ85" s="70">
        <v>0</v>
      </c>
      <c r="KHK85" s="70">
        <v>0</v>
      </c>
      <c r="KHL85" s="70">
        <v>0</v>
      </c>
      <c r="KHM85" s="70">
        <v>0</v>
      </c>
      <c r="KHN85" s="70">
        <v>0</v>
      </c>
      <c r="KHO85" s="70">
        <v>0</v>
      </c>
      <c r="KHP85" s="70">
        <v>0</v>
      </c>
      <c r="KHQ85" s="70">
        <v>0</v>
      </c>
      <c r="KHR85" s="70">
        <v>0</v>
      </c>
      <c r="KHS85" s="70">
        <v>0</v>
      </c>
      <c r="KHT85" s="70">
        <v>0</v>
      </c>
      <c r="KHU85" s="70">
        <v>0</v>
      </c>
      <c r="KHV85" s="70">
        <v>0</v>
      </c>
      <c r="KHW85" s="70">
        <v>0</v>
      </c>
      <c r="KHX85" s="70">
        <v>0</v>
      </c>
      <c r="KHY85" s="70">
        <v>0</v>
      </c>
      <c r="KHZ85" s="70">
        <v>0</v>
      </c>
      <c r="KIA85" s="70">
        <v>0</v>
      </c>
      <c r="KIB85" s="70">
        <v>0</v>
      </c>
      <c r="KIC85" s="70">
        <v>0</v>
      </c>
      <c r="KID85" s="70">
        <v>0</v>
      </c>
      <c r="KIE85" s="70">
        <v>0</v>
      </c>
      <c r="KIF85" s="70">
        <v>0</v>
      </c>
      <c r="KIG85" s="70">
        <v>0</v>
      </c>
      <c r="KIH85" s="70">
        <v>0</v>
      </c>
      <c r="KII85" s="70">
        <v>0</v>
      </c>
      <c r="KIJ85" s="70">
        <v>0</v>
      </c>
      <c r="KIK85" s="70">
        <v>0</v>
      </c>
      <c r="KIL85" s="70">
        <v>0</v>
      </c>
      <c r="KIM85" s="70">
        <v>0</v>
      </c>
      <c r="KIN85" s="70">
        <v>0</v>
      </c>
      <c r="KIO85" s="70">
        <v>0</v>
      </c>
      <c r="KIP85" s="70">
        <v>0</v>
      </c>
      <c r="KIQ85" s="70">
        <v>0</v>
      </c>
      <c r="KIR85" s="70">
        <v>0</v>
      </c>
      <c r="KIS85" s="70">
        <v>0</v>
      </c>
      <c r="KIT85" s="70">
        <v>0</v>
      </c>
      <c r="KIU85" s="70">
        <v>0</v>
      </c>
      <c r="KIV85" s="70">
        <v>0</v>
      </c>
      <c r="KIW85" s="70">
        <v>0</v>
      </c>
      <c r="KIX85" s="70">
        <v>0</v>
      </c>
      <c r="KIY85" s="70">
        <v>0</v>
      </c>
      <c r="KIZ85" s="70">
        <v>0</v>
      </c>
      <c r="KJA85" s="70">
        <v>0</v>
      </c>
      <c r="KJB85" s="70">
        <v>0</v>
      </c>
      <c r="KJC85" s="70">
        <v>0</v>
      </c>
      <c r="KJD85" s="70">
        <v>0</v>
      </c>
      <c r="KJE85" s="70">
        <v>0</v>
      </c>
      <c r="KJF85" s="70">
        <v>0</v>
      </c>
      <c r="KJG85" s="70">
        <v>0</v>
      </c>
      <c r="KJH85" s="70">
        <v>0</v>
      </c>
      <c r="KJI85" s="70">
        <v>0</v>
      </c>
      <c r="KJJ85" s="70">
        <v>0</v>
      </c>
      <c r="KJK85" s="70">
        <v>0</v>
      </c>
      <c r="KJL85" s="70">
        <v>0</v>
      </c>
      <c r="KJM85" s="70">
        <v>0</v>
      </c>
      <c r="KJN85" s="70">
        <v>0</v>
      </c>
      <c r="KJO85" s="70">
        <v>0</v>
      </c>
      <c r="KJP85" s="70">
        <v>0</v>
      </c>
      <c r="KJQ85" s="70">
        <v>0</v>
      </c>
      <c r="KJR85" s="70">
        <v>0</v>
      </c>
      <c r="KJS85" s="70">
        <v>0</v>
      </c>
      <c r="KJT85" s="70">
        <v>0</v>
      </c>
      <c r="KJU85" s="70">
        <v>0</v>
      </c>
      <c r="KJV85" s="70">
        <v>0</v>
      </c>
      <c r="KJW85" s="70">
        <v>0</v>
      </c>
      <c r="KJX85" s="70">
        <v>0</v>
      </c>
      <c r="KJY85" s="70">
        <v>0</v>
      </c>
      <c r="KJZ85" s="70">
        <v>0</v>
      </c>
      <c r="KKA85" s="70">
        <v>0</v>
      </c>
      <c r="KKB85" s="70">
        <v>0</v>
      </c>
      <c r="KKC85" s="70">
        <v>0</v>
      </c>
      <c r="KKD85" s="70">
        <v>0</v>
      </c>
      <c r="KKE85" s="70">
        <v>0</v>
      </c>
      <c r="KKF85" s="70">
        <v>0</v>
      </c>
      <c r="KKG85" s="70">
        <v>0</v>
      </c>
      <c r="KKH85" s="70">
        <v>0</v>
      </c>
      <c r="KKI85" s="70">
        <v>0</v>
      </c>
      <c r="KKJ85" s="70">
        <v>0</v>
      </c>
      <c r="KKK85" s="70">
        <v>0</v>
      </c>
      <c r="KKL85" s="70">
        <v>0</v>
      </c>
      <c r="KKM85" s="70">
        <v>0</v>
      </c>
      <c r="KKN85" s="70">
        <v>0</v>
      </c>
      <c r="KKO85" s="70">
        <v>0</v>
      </c>
      <c r="KKP85" s="70">
        <v>0</v>
      </c>
      <c r="KKQ85" s="70">
        <v>0</v>
      </c>
      <c r="KKR85" s="70">
        <v>0</v>
      </c>
      <c r="KKS85" s="70">
        <v>0</v>
      </c>
      <c r="KKT85" s="70">
        <v>0</v>
      </c>
      <c r="KKU85" s="70">
        <v>0</v>
      </c>
      <c r="KKV85" s="70">
        <v>0</v>
      </c>
      <c r="KKW85" s="70">
        <v>0</v>
      </c>
      <c r="KKX85" s="70">
        <v>0</v>
      </c>
      <c r="KKY85" s="70">
        <v>0</v>
      </c>
      <c r="KKZ85" s="70">
        <v>0</v>
      </c>
      <c r="KLA85" s="70">
        <v>0</v>
      </c>
      <c r="KLB85" s="70">
        <v>0</v>
      </c>
      <c r="KLC85" s="70">
        <v>0</v>
      </c>
      <c r="KLD85" s="70">
        <v>0</v>
      </c>
      <c r="KLE85" s="70">
        <v>0</v>
      </c>
      <c r="KLF85" s="70">
        <v>0</v>
      </c>
      <c r="KLG85" s="70">
        <v>0</v>
      </c>
      <c r="KLH85" s="70">
        <v>0</v>
      </c>
      <c r="KLI85" s="70">
        <v>0</v>
      </c>
      <c r="KLJ85" s="70">
        <v>0</v>
      </c>
      <c r="KLK85" s="70">
        <v>0</v>
      </c>
      <c r="KLL85" s="70">
        <v>0</v>
      </c>
      <c r="KLM85" s="70">
        <v>0</v>
      </c>
      <c r="KLN85" s="70">
        <v>0</v>
      </c>
      <c r="KLO85" s="70">
        <v>0</v>
      </c>
      <c r="KLP85" s="70">
        <v>0</v>
      </c>
      <c r="KLQ85" s="70">
        <v>0</v>
      </c>
      <c r="KLR85" s="70">
        <v>0</v>
      </c>
      <c r="KLS85" s="70">
        <v>0</v>
      </c>
      <c r="KLT85" s="70">
        <v>0</v>
      </c>
      <c r="KLU85" s="70">
        <v>0</v>
      </c>
      <c r="KLV85" s="70">
        <v>0</v>
      </c>
      <c r="KLW85" s="70">
        <v>0</v>
      </c>
      <c r="KLX85" s="70">
        <v>0</v>
      </c>
      <c r="KLY85" s="70">
        <v>0</v>
      </c>
      <c r="KLZ85" s="70">
        <v>0</v>
      </c>
      <c r="KMA85" s="70">
        <v>0</v>
      </c>
      <c r="KMB85" s="70">
        <v>0</v>
      </c>
      <c r="KMC85" s="70">
        <v>0</v>
      </c>
      <c r="KMD85" s="70">
        <v>0</v>
      </c>
      <c r="KME85" s="70">
        <v>0</v>
      </c>
      <c r="KMF85" s="70">
        <v>0</v>
      </c>
      <c r="KMG85" s="70">
        <v>0</v>
      </c>
      <c r="KMH85" s="70">
        <v>0</v>
      </c>
      <c r="KMI85" s="70">
        <v>0</v>
      </c>
      <c r="KMJ85" s="70">
        <v>0</v>
      </c>
      <c r="KMK85" s="70">
        <v>0</v>
      </c>
      <c r="KML85" s="70">
        <v>0</v>
      </c>
      <c r="KMM85" s="70">
        <v>0</v>
      </c>
      <c r="KMN85" s="70">
        <v>0</v>
      </c>
      <c r="KMO85" s="70">
        <v>0</v>
      </c>
      <c r="KMP85" s="70">
        <v>0</v>
      </c>
      <c r="KMQ85" s="70">
        <v>0</v>
      </c>
      <c r="KMR85" s="70">
        <v>0</v>
      </c>
      <c r="KMS85" s="70">
        <v>0</v>
      </c>
      <c r="KMT85" s="70">
        <v>0</v>
      </c>
      <c r="KMU85" s="70">
        <v>0</v>
      </c>
      <c r="KMV85" s="70">
        <v>0</v>
      </c>
      <c r="KMW85" s="70">
        <v>0</v>
      </c>
      <c r="KMX85" s="70">
        <v>0</v>
      </c>
      <c r="KMY85" s="70">
        <v>0</v>
      </c>
      <c r="KMZ85" s="70">
        <v>0</v>
      </c>
      <c r="KNA85" s="70">
        <v>0</v>
      </c>
      <c r="KNB85" s="70">
        <v>0</v>
      </c>
      <c r="KNC85" s="70">
        <v>0</v>
      </c>
      <c r="KND85" s="70">
        <v>0</v>
      </c>
      <c r="KNE85" s="70">
        <v>0</v>
      </c>
      <c r="KNF85" s="70">
        <v>0</v>
      </c>
      <c r="KNG85" s="70">
        <v>0</v>
      </c>
      <c r="KNH85" s="70">
        <v>0</v>
      </c>
      <c r="KNI85" s="70">
        <v>0</v>
      </c>
      <c r="KNJ85" s="70">
        <v>0</v>
      </c>
      <c r="KNK85" s="70">
        <v>0</v>
      </c>
      <c r="KNL85" s="70">
        <v>0</v>
      </c>
      <c r="KNM85" s="70">
        <v>0</v>
      </c>
      <c r="KNN85" s="70">
        <v>0</v>
      </c>
      <c r="KNO85" s="70">
        <v>0</v>
      </c>
      <c r="KNP85" s="70">
        <v>0</v>
      </c>
      <c r="KNQ85" s="70">
        <v>0</v>
      </c>
      <c r="KNR85" s="70">
        <v>0</v>
      </c>
      <c r="KNS85" s="70">
        <v>0</v>
      </c>
      <c r="KNT85" s="70">
        <v>0</v>
      </c>
      <c r="KNU85" s="70">
        <v>0</v>
      </c>
      <c r="KNV85" s="70">
        <v>0</v>
      </c>
      <c r="KNW85" s="70">
        <v>0</v>
      </c>
      <c r="KNX85" s="70">
        <v>0</v>
      </c>
      <c r="KNY85" s="70">
        <v>0</v>
      </c>
      <c r="KNZ85" s="70">
        <v>0</v>
      </c>
      <c r="KOA85" s="70">
        <v>0</v>
      </c>
      <c r="KOB85" s="70">
        <v>0</v>
      </c>
      <c r="KOC85" s="70">
        <v>0</v>
      </c>
      <c r="KOD85" s="70">
        <v>0</v>
      </c>
      <c r="KOE85" s="70">
        <v>0</v>
      </c>
      <c r="KOF85" s="70">
        <v>0</v>
      </c>
      <c r="KOG85" s="70">
        <v>0</v>
      </c>
      <c r="KOH85" s="70">
        <v>0</v>
      </c>
      <c r="KOI85" s="70">
        <v>0</v>
      </c>
      <c r="KOJ85" s="70">
        <v>0</v>
      </c>
      <c r="KOK85" s="70">
        <v>0</v>
      </c>
      <c r="KOL85" s="70">
        <v>0</v>
      </c>
      <c r="KOM85" s="70">
        <v>0</v>
      </c>
      <c r="KON85" s="70">
        <v>0</v>
      </c>
      <c r="KOO85" s="70">
        <v>0</v>
      </c>
      <c r="KOP85" s="70">
        <v>0</v>
      </c>
      <c r="KOQ85" s="70">
        <v>0</v>
      </c>
      <c r="KOR85" s="70">
        <v>0</v>
      </c>
      <c r="KOS85" s="70">
        <v>0</v>
      </c>
      <c r="KOT85" s="70">
        <v>0</v>
      </c>
      <c r="KOU85" s="70">
        <v>0</v>
      </c>
      <c r="KOV85" s="70">
        <v>0</v>
      </c>
      <c r="KOW85" s="70">
        <v>0</v>
      </c>
      <c r="KOX85" s="70">
        <v>0</v>
      </c>
      <c r="KOY85" s="70">
        <v>0</v>
      </c>
      <c r="KOZ85" s="70">
        <v>0</v>
      </c>
      <c r="KPA85" s="70">
        <v>0</v>
      </c>
      <c r="KPB85" s="70">
        <v>0</v>
      </c>
      <c r="KPC85" s="70">
        <v>0</v>
      </c>
      <c r="KPD85" s="70">
        <v>0</v>
      </c>
      <c r="KPE85" s="70">
        <v>0</v>
      </c>
      <c r="KPF85" s="70">
        <v>0</v>
      </c>
      <c r="KPG85" s="70">
        <v>0</v>
      </c>
      <c r="KPH85" s="70">
        <v>0</v>
      </c>
      <c r="KPI85" s="70">
        <v>0</v>
      </c>
      <c r="KPJ85" s="70">
        <v>0</v>
      </c>
      <c r="KPK85" s="70">
        <v>0</v>
      </c>
      <c r="KPL85" s="70">
        <v>0</v>
      </c>
      <c r="KPM85" s="70">
        <v>0</v>
      </c>
      <c r="KPN85" s="70">
        <v>0</v>
      </c>
      <c r="KPO85" s="70">
        <v>0</v>
      </c>
      <c r="KPP85" s="70">
        <v>0</v>
      </c>
      <c r="KPQ85" s="70">
        <v>0</v>
      </c>
      <c r="KPR85" s="70">
        <v>0</v>
      </c>
      <c r="KPS85" s="70">
        <v>0</v>
      </c>
      <c r="KPT85" s="70">
        <v>0</v>
      </c>
      <c r="KPU85" s="70">
        <v>0</v>
      </c>
      <c r="KPV85" s="70">
        <v>0</v>
      </c>
      <c r="KPW85" s="70">
        <v>0</v>
      </c>
      <c r="KPX85" s="70">
        <v>0</v>
      </c>
      <c r="KPY85" s="70">
        <v>0</v>
      </c>
      <c r="KPZ85" s="70">
        <v>0</v>
      </c>
      <c r="KQA85" s="70">
        <v>0</v>
      </c>
      <c r="KQB85" s="70">
        <v>0</v>
      </c>
      <c r="KQC85" s="70">
        <v>0</v>
      </c>
      <c r="KQD85" s="70">
        <v>0</v>
      </c>
      <c r="KQE85" s="70">
        <v>0</v>
      </c>
      <c r="KQF85" s="70">
        <v>0</v>
      </c>
      <c r="KQG85" s="70">
        <v>0</v>
      </c>
      <c r="KQH85" s="70">
        <v>0</v>
      </c>
      <c r="KQI85" s="70">
        <v>0</v>
      </c>
      <c r="KQJ85" s="70">
        <v>0</v>
      </c>
      <c r="KQK85" s="70">
        <v>0</v>
      </c>
      <c r="KQL85" s="70">
        <v>0</v>
      </c>
      <c r="KQM85" s="70">
        <v>0</v>
      </c>
      <c r="KQN85" s="70">
        <v>0</v>
      </c>
      <c r="KQO85" s="70">
        <v>0</v>
      </c>
      <c r="KQP85" s="70">
        <v>0</v>
      </c>
      <c r="KQQ85" s="70">
        <v>0</v>
      </c>
      <c r="KQR85" s="70">
        <v>0</v>
      </c>
      <c r="KQS85" s="70">
        <v>0</v>
      </c>
      <c r="KQT85" s="70">
        <v>0</v>
      </c>
      <c r="KQU85" s="70">
        <v>0</v>
      </c>
      <c r="KQV85" s="70">
        <v>0</v>
      </c>
      <c r="KQW85" s="70">
        <v>0</v>
      </c>
      <c r="KQX85" s="70">
        <v>0</v>
      </c>
      <c r="KQY85" s="70">
        <v>0</v>
      </c>
      <c r="KQZ85" s="70">
        <v>0</v>
      </c>
      <c r="KRA85" s="70">
        <v>0</v>
      </c>
      <c r="KRB85" s="70">
        <v>0</v>
      </c>
      <c r="KRC85" s="70">
        <v>0</v>
      </c>
      <c r="KRD85" s="70">
        <v>0</v>
      </c>
      <c r="KRE85" s="70">
        <v>0</v>
      </c>
      <c r="KRF85" s="70">
        <v>0</v>
      </c>
      <c r="KRG85" s="70">
        <v>0</v>
      </c>
      <c r="KRH85" s="70">
        <v>0</v>
      </c>
      <c r="KRI85" s="70">
        <v>0</v>
      </c>
      <c r="KRJ85" s="70">
        <v>0</v>
      </c>
      <c r="KRK85" s="70">
        <v>0</v>
      </c>
      <c r="KRL85" s="70">
        <v>0</v>
      </c>
      <c r="KRM85" s="70">
        <v>0</v>
      </c>
      <c r="KRN85" s="70">
        <v>0</v>
      </c>
      <c r="KRO85" s="70">
        <v>0</v>
      </c>
      <c r="KRP85" s="70">
        <v>0</v>
      </c>
      <c r="KRQ85" s="70">
        <v>0</v>
      </c>
      <c r="KRR85" s="70">
        <v>0</v>
      </c>
      <c r="KRS85" s="70">
        <v>0</v>
      </c>
      <c r="KRT85" s="70">
        <v>0</v>
      </c>
      <c r="KRU85" s="70">
        <v>0</v>
      </c>
      <c r="KRV85" s="70">
        <v>0</v>
      </c>
      <c r="KRW85" s="70">
        <v>0</v>
      </c>
      <c r="KRX85" s="70">
        <v>0</v>
      </c>
      <c r="KRY85" s="70">
        <v>0</v>
      </c>
      <c r="KRZ85" s="70">
        <v>0</v>
      </c>
      <c r="KSA85" s="70">
        <v>0</v>
      </c>
      <c r="KSB85" s="70">
        <v>0</v>
      </c>
      <c r="KSC85" s="70">
        <v>0</v>
      </c>
      <c r="KSD85" s="70">
        <v>0</v>
      </c>
      <c r="KSE85" s="70">
        <v>0</v>
      </c>
      <c r="KSF85" s="70">
        <v>0</v>
      </c>
      <c r="KSG85" s="70">
        <v>0</v>
      </c>
      <c r="KSH85" s="70">
        <v>0</v>
      </c>
      <c r="KSI85" s="70">
        <v>0</v>
      </c>
      <c r="KSJ85" s="70">
        <v>0</v>
      </c>
      <c r="KSK85" s="70">
        <v>0</v>
      </c>
      <c r="KSL85" s="70">
        <v>0</v>
      </c>
      <c r="KSM85" s="70">
        <v>0</v>
      </c>
      <c r="KSN85" s="70">
        <v>0</v>
      </c>
      <c r="KSO85" s="70">
        <v>0</v>
      </c>
      <c r="KSP85" s="70">
        <v>0</v>
      </c>
      <c r="KSQ85" s="70">
        <v>0</v>
      </c>
      <c r="KSR85" s="70">
        <v>0</v>
      </c>
      <c r="KSS85" s="70">
        <v>0</v>
      </c>
      <c r="KST85" s="70">
        <v>0</v>
      </c>
      <c r="KSU85" s="70">
        <v>0</v>
      </c>
      <c r="KSV85" s="70">
        <v>0</v>
      </c>
      <c r="KSW85" s="70">
        <v>0</v>
      </c>
      <c r="KSX85" s="70">
        <v>0</v>
      </c>
      <c r="KSY85" s="70">
        <v>0</v>
      </c>
      <c r="KSZ85" s="70">
        <v>0</v>
      </c>
      <c r="KTA85" s="70">
        <v>0</v>
      </c>
      <c r="KTB85" s="70">
        <v>0</v>
      </c>
      <c r="KTC85" s="70">
        <v>0</v>
      </c>
      <c r="KTD85" s="70">
        <v>0</v>
      </c>
      <c r="KTE85" s="70">
        <v>0</v>
      </c>
      <c r="KTF85" s="70">
        <v>0</v>
      </c>
      <c r="KTG85" s="70">
        <v>0</v>
      </c>
      <c r="KTH85" s="70">
        <v>0</v>
      </c>
      <c r="KTI85" s="70">
        <v>0</v>
      </c>
      <c r="KTJ85" s="70">
        <v>0</v>
      </c>
      <c r="KTK85" s="70">
        <v>0</v>
      </c>
      <c r="KTL85" s="70">
        <v>0</v>
      </c>
      <c r="KTM85" s="70">
        <v>0</v>
      </c>
      <c r="KTN85" s="70">
        <v>0</v>
      </c>
      <c r="KTO85" s="70">
        <v>0</v>
      </c>
      <c r="KTP85" s="70">
        <v>0</v>
      </c>
      <c r="KTQ85" s="70">
        <v>0</v>
      </c>
      <c r="KTR85" s="70">
        <v>0</v>
      </c>
      <c r="KTS85" s="70">
        <v>0</v>
      </c>
      <c r="KTT85" s="70">
        <v>0</v>
      </c>
      <c r="KTU85" s="70">
        <v>0</v>
      </c>
      <c r="KTV85" s="70">
        <v>0</v>
      </c>
      <c r="KTW85" s="70">
        <v>0</v>
      </c>
      <c r="KTX85" s="70">
        <v>0</v>
      </c>
      <c r="KTY85" s="70">
        <v>0</v>
      </c>
      <c r="KTZ85" s="70">
        <v>0</v>
      </c>
      <c r="KUA85" s="70">
        <v>0</v>
      </c>
      <c r="KUB85" s="70">
        <v>0</v>
      </c>
      <c r="KUC85" s="70">
        <v>0</v>
      </c>
      <c r="KUD85" s="70">
        <v>0</v>
      </c>
      <c r="KUE85" s="70">
        <v>0</v>
      </c>
      <c r="KUF85" s="70">
        <v>0</v>
      </c>
      <c r="KUG85" s="70">
        <v>0</v>
      </c>
      <c r="KUH85" s="70">
        <v>0</v>
      </c>
      <c r="KUI85" s="70">
        <v>0</v>
      </c>
      <c r="KUJ85" s="70">
        <v>0</v>
      </c>
      <c r="KUK85" s="70">
        <v>0</v>
      </c>
      <c r="KUL85" s="70">
        <v>0</v>
      </c>
      <c r="KUM85" s="70">
        <v>0</v>
      </c>
      <c r="KUN85" s="70">
        <v>0</v>
      </c>
      <c r="KUO85" s="70">
        <v>0</v>
      </c>
      <c r="KUP85" s="70">
        <v>0</v>
      </c>
      <c r="KUQ85" s="70">
        <v>0</v>
      </c>
      <c r="KUR85" s="70">
        <v>0</v>
      </c>
      <c r="KUS85" s="70">
        <v>0</v>
      </c>
      <c r="KUT85" s="70">
        <v>0</v>
      </c>
      <c r="KUU85" s="70">
        <v>0</v>
      </c>
      <c r="KUV85" s="70">
        <v>0</v>
      </c>
      <c r="KUW85" s="70">
        <v>0</v>
      </c>
      <c r="KUX85" s="70">
        <v>0</v>
      </c>
      <c r="KUY85" s="70">
        <v>0</v>
      </c>
      <c r="KUZ85" s="70">
        <v>0</v>
      </c>
      <c r="KVA85" s="70">
        <v>0</v>
      </c>
      <c r="KVB85" s="70">
        <v>0</v>
      </c>
      <c r="KVC85" s="70">
        <v>0</v>
      </c>
      <c r="KVD85" s="70">
        <v>0</v>
      </c>
      <c r="KVE85" s="70">
        <v>0</v>
      </c>
      <c r="KVF85" s="70">
        <v>0</v>
      </c>
      <c r="KVG85" s="70">
        <v>0</v>
      </c>
      <c r="KVH85" s="70">
        <v>0</v>
      </c>
      <c r="KVI85" s="70">
        <v>0</v>
      </c>
      <c r="KVJ85" s="70">
        <v>0</v>
      </c>
      <c r="KVK85" s="70">
        <v>0</v>
      </c>
      <c r="KVL85" s="70">
        <v>0</v>
      </c>
      <c r="KVM85" s="70">
        <v>0</v>
      </c>
      <c r="KVN85" s="70">
        <v>0</v>
      </c>
      <c r="KVO85" s="70">
        <v>0</v>
      </c>
      <c r="KVP85" s="70">
        <v>0</v>
      </c>
      <c r="KVQ85" s="70">
        <v>0</v>
      </c>
      <c r="KVR85" s="70">
        <v>0</v>
      </c>
      <c r="KVS85" s="70">
        <v>0</v>
      </c>
      <c r="KVT85" s="70">
        <v>0</v>
      </c>
      <c r="KVU85" s="70">
        <v>0</v>
      </c>
      <c r="KVV85" s="70">
        <v>0</v>
      </c>
      <c r="KVW85" s="70">
        <v>0</v>
      </c>
      <c r="KVX85" s="70">
        <v>0</v>
      </c>
      <c r="KVY85" s="70">
        <v>0</v>
      </c>
      <c r="KVZ85" s="70">
        <v>0</v>
      </c>
      <c r="KWA85" s="70">
        <v>0</v>
      </c>
      <c r="KWB85" s="70">
        <v>0</v>
      </c>
      <c r="KWC85" s="70">
        <v>0</v>
      </c>
      <c r="KWD85" s="70">
        <v>0</v>
      </c>
      <c r="KWE85" s="70">
        <v>0</v>
      </c>
      <c r="KWF85" s="70">
        <v>0</v>
      </c>
      <c r="KWG85" s="70">
        <v>0</v>
      </c>
      <c r="KWH85" s="70">
        <v>0</v>
      </c>
      <c r="KWI85" s="70">
        <v>0</v>
      </c>
      <c r="KWJ85" s="70">
        <v>0</v>
      </c>
      <c r="KWK85" s="70">
        <v>0</v>
      </c>
      <c r="KWL85" s="70">
        <v>0</v>
      </c>
      <c r="KWM85" s="70">
        <v>0</v>
      </c>
      <c r="KWN85" s="70">
        <v>0</v>
      </c>
      <c r="KWO85" s="70">
        <v>0</v>
      </c>
      <c r="KWP85" s="70">
        <v>0</v>
      </c>
      <c r="KWQ85" s="70">
        <v>0</v>
      </c>
      <c r="KWR85" s="70">
        <v>0</v>
      </c>
      <c r="KWS85" s="70">
        <v>0</v>
      </c>
      <c r="KWT85" s="70">
        <v>0</v>
      </c>
      <c r="KWU85" s="70">
        <v>0</v>
      </c>
      <c r="KWV85" s="70">
        <v>0</v>
      </c>
      <c r="KWW85" s="70">
        <v>0</v>
      </c>
      <c r="KWX85" s="70">
        <v>0</v>
      </c>
      <c r="KWY85" s="70">
        <v>0</v>
      </c>
      <c r="KWZ85" s="70">
        <v>0</v>
      </c>
      <c r="KXA85" s="70">
        <v>0</v>
      </c>
      <c r="KXB85" s="70">
        <v>0</v>
      </c>
      <c r="KXC85" s="70">
        <v>0</v>
      </c>
      <c r="KXD85" s="70">
        <v>0</v>
      </c>
      <c r="KXE85" s="70">
        <v>0</v>
      </c>
      <c r="KXF85" s="70">
        <v>0</v>
      </c>
      <c r="KXG85" s="70">
        <v>0</v>
      </c>
      <c r="KXH85" s="70">
        <v>0</v>
      </c>
      <c r="KXI85" s="70">
        <v>0</v>
      </c>
      <c r="KXJ85" s="70">
        <v>0</v>
      </c>
      <c r="KXK85" s="70">
        <v>0</v>
      </c>
      <c r="KXL85" s="70">
        <v>0</v>
      </c>
      <c r="KXM85" s="70">
        <v>0</v>
      </c>
      <c r="KXN85" s="70">
        <v>0</v>
      </c>
      <c r="KXO85" s="70">
        <v>0</v>
      </c>
      <c r="KXP85" s="70">
        <v>0</v>
      </c>
      <c r="KXQ85" s="70">
        <v>0</v>
      </c>
      <c r="KXR85" s="70">
        <v>0</v>
      </c>
      <c r="KXS85" s="70">
        <v>0</v>
      </c>
      <c r="KXT85" s="70">
        <v>0</v>
      </c>
      <c r="KXU85" s="70">
        <v>0</v>
      </c>
      <c r="KXV85" s="70">
        <v>0</v>
      </c>
      <c r="KXW85" s="70">
        <v>0</v>
      </c>
      <c r="KXX85" s="70">
        <v>0</v>
      </c>
      <c r="KXY85" s="70">
        <v>0</v>
      </c>
      <c r="KXZ85" s="70">
        <v>0</v>
      </c>
      <c r="KYA85" s="70">
        <v>0</v>
      </c>
      <c r="KYB85" s="70">
        <v>0</v>
      </c>
      <c r="KYC85" s="70">
        <v>0</v>
      </c>
      <c r="KYD85" s="70">
        <v>0</v>
      </c>
      <c r="KYE85" s="70">
        <v>0</v>
      </c>
      <c r="KYF85" s="70">
        <v>0</v>
      </c>
      <c r="KYG85" s="70">
        <v>0</v>
      </c>
      <c r="KYH85" s="70">
        <v>0</v>
      </c>
      <c r="KYI85" s="70">
        <v>0</v>
      </c>
      <c r="KYJ85" s="70">
        <v>0</v>
      </c>
      <c r="KYK85" s="70">
        <v>0</v>
      </c>
      <c r="KYL85" s="70">
        <v>0</v>
      </c>
      <c r="KYM85" s="70">
        <v>0</v>
      </c>
      <c r="KYN85" s="70">
        <v>0</v>
      </c>
      <c r="KYO85" s="70">
        <v>0</v>
      </c>
      <c r="KYP85" s="70">
        <v>0</v>
      </c>
      <c r="KYQ85" s="70">
        <v>0</v>
      </c>
      <c r="KYR85" s="70">
        <v>0</v>
      </c>
      <c r="KYS85" s="70">
        <v>0</v>
      </c>
      <c r="KYT85" s="70">
        <v>0</v>
      </c>
      <c r="KYU85" s="70">
        <v>0</v>
      </c>
      <c r="KYV85" s="70">
        <v>0</v>
      </c>
      <c r="KYW85" s="70">
        <v>0</v>
      </c>
      <c r="KYX85" s="70">
        <v>0</v>
      </c>
      <c r="KYY85" s="70">
        <v>0</v>
      </c>
      <c r="KYZ85" s="70">
        <v>0</v>
      </c>
      <c r="KZA85" s="70">
        <v>0</v>
      </c>
      <c r="KZB85" s="70">
        <v>0</v>
      </c>
      <c r="KZC85" s="70">
        <v>0</v>
      </c>
      <c r="KZD85" s="70">
        <v>0</v>
      </c>
      <c r="KZE85" s="70">
        <v>0</v>
      </c>
      <c r="KZF85" s="70">
        <v>0</v>
      </c>
      <c r="KZG85" s="70">
        <v>0</v>
      </c>
      <c r="KZH85" s="70">
        <v>0</v>
      </c>
      <c r="KZI85" s="70">
        <v>0</v>
      </c>
      <c r="KZJ85" s="70">
        <v>0</v>
      </c>
      <c r="KZK85" s="70">
        <v>0</v>
      </c>
      <c r="KZL85" s="70">
        <v>0</v>
      </c>
      <c r="KZM85" s="70">
        <v>0</v>
      </c>
      <c r="KZN85" s="70">
        <v>0</v>
      </c>
      <c r="KZO85" s="70">
        <v>0</v>
      </c>
      <c r="KZP85" s="70">
        <v>0</v>
      </c>
      <c r="KZQ85" s="70">
        <v>0</v>
      </c>
      <c r="KZR85" s="70">
        <v>0</v>
      </c>
      <c r="KZS85" s="70">
        <v>0</v>
      </c>
      <c r="KZT85" s="70">
        <v>0</v>
      </c>
      <c r="KZU85" s="70">
        <v>0</v>
      </c>
      <c r="KZV85" s="70">
        <v>0</v>
      </c>
      <c r="KZW85" s="70">
        <v>0</v>
      </c>
      <c r="KZX85" s="70">
        <v>0</v>
      </c>
      <c r="KZY85" s="70">
        <v>0</v>
      </c>
      <c r="KZZ85" s="70">
        <v>0</v>
      </c>
      <c r="LAA85" s="70">
        <v>0</v>
      </c>
      <c r="LAB85" s="70">
        <v>0</v>
      </c>
      <c r="LAC85" s="70">
        <v>0</v>
      </c>
      <c r="LAD85" s="70">
        <v>0</v>
      </c>
      <c r="LAE85" s="70">
        <v>0</v>
      </c>
      <c r="LAF85" s="70">
        <v>0</v>
      </c>
      <c r="LAG85" s="70">
        <v>0</v>
      </c>
      <c r="LAH85" s="70">
        <v>0</v>
      </c>
      <c r="LAI85" s="70">
        <v>0</v>
      </c>
      <c r="LAJ85" s="70">
        <v>0</v>
      </c>
      <c r="LAK85" s="70">
        <v>0</v>
      </c>
      <c r="LAL85" s="70">
        <v>0</v>
      </c>
      <c r="LAM85" s="70">
        <v>0</v>
      </c>
      <c r="LAN85" s="70">
        <v>0</v>
      </c>
      <c r="LAO85" s="70">
        <v>0</v>
      </c>
      <c r="LAP85" s="70">
        <v>0</v>
      </c>
      <c r="LAQ85" s="70">
        <v>0</v>
      </c>
      <c r="LAR85" s="70">
        <v>0</v>
      </c>
      <c r="LAS85" s="70">
        <v>0</v>
      </c>
      <c r="LAT85" s="70">
        <v>0</v>
      </c>
      <c r="LAU85" s="70">
        <v>0</v>
      </c>
      <c r="LAV85" s="70">
        <v>0</v>
      </c>
      <c r="LAW85" s="70">
        <v>0</v>
      </c>
      <c r="LAX85" s="70">
        <v>0</v>
      </c>
      <c r="LAY85" s="70">
        <v>0</v>
      </c>
      <c r="LAZ85" s="70">
        <v>0</v>
      </c>
      <c r="LBA85" s="70">
        <v>0</v>
      </c>
      <c r="LBB85" s="70">
        <v>0</v>
      </c>
      <c r="LBC85" s="70">
        <v>0</v>
      </c>
      <c r="LBD85" s="70">
        <v>0</v>
      </c>
      <c r="LBE85" s="70">
        <v>0</v>
      </c>
      <c r="LBF85" s="70">
        <v>0</v>
      </c>
      <c r="LBG85" s="70">
        <v>0</v>
      </c>
      <c r="LBH85" s="70">
        <v>0</v>
      </c>
      <c r="LBI85" s="70">
        <v>0</v>
      </c>
      <c r="LBJ85" s="70">
        <v>0</v>
      </c>
      <c r="LBK85" s="70">
        <v>0</v>
      </c>
      <c r="LBL85" s="70">
        <v>0</v>
      </c>
      <c r="LBM85" s="70">
        <v>0</v>
      </c>
      <c r="LBN85" s="70">
        <v>0</v>
      </c>
      <c r="LBO85" s="70">
        <v>0</v>
      </c>
      <c r="LBP85" s="70">
        <v>0</v>
      </c>
      <c r="LBQ85" s="70">
        <v>0</v>
      </c>
      <c r="LBR85" s="70">
        <v>0</v>
      </c>
      <c r="LBS85" s="70">
        <v>0</v>
      </c>
      <c r="LBT85" s="70">
        <v>0</v>
      </c>
      <c r="LBU85" s="70">
        <v>0</v>
      </c>
      <c r="LBV85" s="70">
        <v>0</v>
      </c>
      <c r="LBW85" s="70">
        <v>0</v>
      </c>
      <c r="LBX85" s="70">
        <v>0</v>
      </c>
      <c r="LBY85" s="70">
        <v>0</v>
      </c>
      <c r="LBZ85" s="70">
        <v>0</v>
      </c>
      <c r="LCA85" s="70">
        <v>0</v>
      </c>
      <c r="LCB85" s="70">
        <v>0</v>
      </c>
      <c r="LCC85" s="70">
        <v>0</v>
      </c>
      <c r="LCD85" s="70">
        <v>0</v>
      </c>
      <c r="LCE85" s="70">
        <v>0</v>
      </c>
      <c r="LCF85" s="70">
        <v>0</v>
      </c>
      <c r="LCG85" s="70">
        <v>0</v>
      </c>
      <c r="LCH85" s="70">
        <v>0</v>
      </c>
      <c r="LCI85" s="70">
        <v>0</v>
      </c>
      <c r="LCJ85" s="70">
        <v>0</v>
      </c>
      <c r="LCK85" s="70">
        <v>0</v>
      </c>
      <c r="LCL85" s="70">
        <v>0</v>
      </c>
      <c r="LCM85" s="70">
        <v>0</v>
      </c>
      <c r="LCN85" s="70">
        <v>0</v>
      </c>
      <c r="LCO85" s="70">
        <v>0</v>
      </c>
      <c r="LCP85" s="70">
        <v>0</v>
      </c>
      <c r="LCQ85" s="70">
        <v>0</v>
      </c>
      <c r="LCR85" s="70">
        <v>0</v>
      </c>
      <c r="LCS85" s="70">
        <v>0</v>
      </c>
      <c r="LCT85" s="70">
        <v>0</v>
      </c>
      <c r="LCU85" s="70">
        <v>0</v>
      </c>
      <c r="LCV85" s="70">
        <v>0</v>
      </c>
      <c r="LCW85" s="70">
        <v>0</v>
      </c>
      <c r="LCX85" s="70">
        <v>0</v>
      </c>
      <c r="LCY85" s="70">
        <v>0</v>
      </c>
      <c r="LCZ85" s="70">
        <v>0</v>
      </c>
      <c r="LDA85" s="70">
        <v>0</v>
      </c>
      <c r="LDB85" s="70">
        <v>0</v>
      </c>
      <c r="LDC85" s="70">
        <v>0</v>
      </c>
      <c r="LDD85" s="70">
        <v>0</v>
      </c>
      <c r="LDE85" s="70">
        <v>0</v>
      </c>
      <c r="LDF85" s="70">
        <v>0</v>
      </c>
      <c r="LDG85" s="70">
        <v>0</v>
      </c>
      <c r="LDH85" s="70">
        <v>0</v>
      </c>
      <c r="LDI85" s="70">
        <v>0</v>
      </c>
      <c r="LDJ85" s="70">
        <v>0</v>
      </c>
      <c r="LDK85" s="70">
        <v>0</v>
      </c>
      <c r="LDL85" s="70">
        <v>0</v>
      </c>
      <c r="LDM85" s="70">
        <v>0</v>
      </c>
      <c r="LDN85" s="70">
        <v>0</v>
      </c>
      <c r="LDO85" s="70">
        <v>0</v>
      </c>
      <c r="LDP85" s="70">
        <v>0</v>
      </c>
      <c r="LDQ85" s="70">
        <v>0</v>
      </c>
      <c r="LDR85" s="70">
        <v>0</v>
      </c>
      <c r="LDS85" s="70">
        <v>0</v>
      </c>
      <c r="LDT85" s="70">
        <v>0</v>
      </c>
      <c r="LDU85" s="70">
        <v>0</v>
      </c>
      <c r="LDV85" s="70">
        <v>0</v>
      </c>
      <c r="LDW85" s="70">
        <v>0</v>
      </c>
      <c r="LDX85" s="70">
        <v>0</v>
      </c>
      <c r="LDY85" s="70">
        <v>0</v>
      </c>
      <c r="LDZ85" s="70">
        <v>0</v>
      </c>
      <c r="LEA85" s="70">
        <v>0</v>
      </c>
      <c r="LEB85" s="70">
        <v>0</v>
      </c>
      <c r="LEC85" s="70">
        <v>0</v>
      </c>
      <c r="LED85" s="70">
        <v>0</v>
      </c>
      <c r="LEE85" s="70">
        <v>0</v>
      </c>
      <c r="LEF85" s="70">
        <v>0</v>
      </c>
      <c r="LEG85" s="70">
        <v>0</v>
      </c>
      <c r="LEH85" s="70">
        <v>0</v>
      </c>
      <c r="LEI85" s="70">
        <v>0</v>
      </c>
      <c r="LEJ85" s="70">
        <v>0</v>
      </c>
      <c r="LEK85" s="70">
        <v>0</v>
      </c>
      <c r="LEL85" s="70">
        <v>0</v>
      </c>
      <c r="LEM85" s="70">
        <v>0</v>
      </c>
      <c r="LEN85" s="70">
        <v>0</v>
      </c>
      <c r="LEO85" s="70">
        <v>0</v>
      </c>
      <c r="LEP85" s="70">
        <v>0</v>
      </c>
      <c r="LEQ85" s="70">
        <v>0</v>
      </c>
      <c r="LER85" s="70">
        <v>0</v>
      </c>
      <c r="LES85" s="70">
        <v>0</v>
      </c>
      <c r="LET85" s="70">
        <v>0</v>
      </c>
      <c r="LEU85" s="70">
        <v>0</v>
      </c>
      <c r="LEV85" s="70">
        <v>0</v>
      </c>
      <c r="LEW85" s="70">
        <v>0</v>
      </c>
      <c r="LEX85" s="70">
        <v>0</v>
      </c>
      <c r="LEY85" s="70">
        <v>0</v>
      </c>
      <c r="LEZ85" s="70">
        <v>0</v>
      </c>
      <c r="LFA85" s="70">
        <v>0</v>
      </c>
      <c r="LFB85" s="70">
        <v>0</v>
      </c>
      <c r="LFC85" s="70">
        <v>0</v>
      </c>
      <c r="LFD85" s="70">
        <v>0</v>
      </c>
      <c r="LFE85" s="70">
        <v>0</v>
      </c>
      <c r="LFF85" s="70">
        <v>0</v>
      </c>
      <c r="LFG85" s="70">
        <v>0</v>
      </c>
      <c r="LFH85" s="70">
        <v>0</v>
      </c>
      <c r="LFI85" s="70">
        <v>0</v>
      </c>
      <c r="LFJ85" s="70">
        <v>0</v>
      </c>
      <c r="LFK85" s="70">
        <v>0</v>
      </c>
      <c r="LFL85" s="70">
        <v>0</v>
      </c>
      <c r="LFM85" s="70">
        <v>0</v>
      </c>
      <c r="LFN85" s="70">
        <v>0</v>
      </c>
      <c r="LFO85" s="70">
        <v>0</v>
      </c>
      <c r="LFP85" s="70">
        <v>0</v>
      </c>
      <c r="LFQ85" s="70">
        <v>0</v>
      </c>
      <c r="LFR85" s="70">
        <v>0</v>
      </c>
      <c r="LFS85" s="70">
        <v>0</v>
      </c>
      <c r="LFT85" s="70">
        <v>0</v>
      </c>
      <c r="LFU85" s="70">
        <v>0</v>
      </c>
      <c r="LFV85" s="70">
        <v>0</v>
      </c>
      <c r="LFW85" s="70">
        <v>0</v>
      </c>
      <c r="LFX85" s="70">
        <v>0</v>
      </c>
      <c r="LFY85" s="70">
        <v>0</v>
      </c>
      <c r="LFZ85" s="70">
        <v>0</v>
      </c>
      <c r="LGA85" s="70">
        <v>0</v>
      </c>
      <c r="LGB85" s="70">
        <v>0</v>
      </c>
      <c r="LGC85" s="70">
        <v>0</v>
      </c>
      <c r="LGD85" s="70">
        <v>0</v>
      </c>
      <c r="LGE85" s="70">
        <v>0</v>
      </c>
      <c r="LGF85" s="70">
        <v>0</v>
      </c>
      <c r="LGG85" s="70">
        <v>0</v>
      </c>
      <c r="LGH85" s="70">
        <v>0</v>
      </c>
      <c r="LGI85" s="70">
        <v>0</v>
      </c>
      <c r="LGJ85" s="70">
        <v>0</v>
      </c>
      <c r="LGK85" s="70">
        <v>0</v>
      </c>
      <c r="LGL85" s="70">
        <v>0</v>
      </c>
      <c r="LGM85" s="70">
        <v>0</v>
      </c>
      <c r="LGN85" s="70">
        <v>0</v>
      </c>
      <c r="LGO85" s="70">
        <v>0</v>
      </c>
      <c r="LGP85" s="70">
        <v>0</v>
      </c>
      <c r="LGQ85" s="70">
        <v>0</v>
      </c>
      <c r="LGR85" s="70">
        <v>0</v>
      </c>
      <c r="LGS85" s="70">
        <v>0</v>
      </c>
      <c r="LGT85" s="70">
        <v>0</v>
      </c>
      <c r="LGU85" s="70">
        <v>0</v>
      </c>
      <c r="LGV85" s="70">
        <v>0</v>
      </c>
      <c r="LGW85" s="70">
        <v>0</v>
      </c>
      <c r="LGX85" s="70">
        <v>0</v>
      </c>
      <c r="LGY85" s="70">
        <v>0</v>
      </c>
      <c r="LGZ85" s="70">
        <v>0</v>
      </c>
      <c r="LHA85" s="70">
        <v>0</v>
      </c>
      <c r="LHB85" s="70">
        <v>0</v>
      </c>
      <c r="LHC85" s="70">
        <v>0</v>
      </c>
      <c r="LHD85" s="70">
        <v>0</v>
      </c>
      <c r="LHE85" s="70">
        <v>0</v>
      </c>
      <c r="LHF85" s="70">
        <v>0</v>
      </c>
      <c r="LHG85" s="70">
        <v>0</v>
      </c>
      <c r="LHH85" s="70">
        <v>0</v>
      </c>
      <c r="LHI85" s="70">
        <v>0</v>
      </c>
      <c r="LHJ85" s="70">
        <v>0</v>
      </c>
      <c r="LHK85" s="70">
        <v>0</v>
      </c>
      <c r="LHL85" s="70">
        <v>0</v>
      </c>
      <c r="LHM85" s="70">
        <v>0</v>
      </c>
      <c r="LHN85" s="70">
        <v>0</v>
      </c>
      <c r="LHO85" s="70">
        <v>0</v>
      </c>
      <c r="LHP85" s="70">
        <v>0</v>
      </c>
      <c r="LHQ85" s="70">
        <v>0</v>
      </c>
      <c r="LHR85" s="70">
        <v>0</v>
      </c>
      <c r="LHS85" s="70">
        <v>0</v>
      </c>
      <c r="LHT85" s="70">
        <v>0</v>
      </c>
      <c r="LHU85" s="70">
        <v>0</v>
      </c>
      <c r="LHV85" s="70">
        <v>0</v>
      </c>
      <c r="LHW85" s="70">
        <v>0</v>
      </c>
      <c r="LHX85" s="70">
        <v>0</v>
      </c>
      <c r="LHY85" s="70">
        <v>0</v>
      </c>
      <c r="LHZ85" s="70">
        <v>0</v>
      </c>
      <c r="LIA85" s="70">
        <v>0</v>
      </c>
      <c r="LIB85" s="70">
        <v>0</v>
      </c>
      <c r="LIC85" s="70">
        <v>0</v>
      </c>
      <c r="LID85" s="70">
        <v>0</v>
      </c>
      <c r="LIE85" s="70">
        <v>0</v>
      </c>
      <c r="LIF85" s="70">
        <v>0</v>
      </c>
      <c r="LIG85" s="70">
        <v>0</v>
      </c>
      <c r="LIH85" s="70">
        <v>0</v>
      </c>
      <c r="LII85" s="70">
        <v>0</v>
      </c>
      <c r="LIJ85" s="70">
        <v>0</v>
      </c>
      <c r="LIK85" s="70">
        <v>0</v>
      </c>
      <c r="LIL85" s="70">
        <v>0</v>
      </c>
      <c r="LIM85" s="70">
        <v>0</v>
      </c>
      <c r="LIN85" s="70">
        <v>0</v>
      </c>
      <c r="LIO85" s="70">
        <v>0</v>
      </c>
      <c r="LIP85" s="70">
        <v>0</v>
      </c>
      <c r="LIQ85" s="70">
        <v>0</v>
      </c>
      <c r="LIR85" s="70">
        <v>0</v>
      </c>
      <c r="LIS85" s="70">
        <v>0</v>
      </c>
      <c r="LIT85" s="70">
        <v>0</v>
      </c>
      <c r="LIU85" s="70">
        <v>0</v>
      </c>
      <c r="LIV85" s="70">
        <v>0</v>
      </c>
      <c r="LIW85" s="70">
        <v>0</v>
      </c>
      <c r="LIX85" s="70">
        <v>0</v>
      </c>
      <c r="LIY85" s="70">
        <v>0</v>
      </c>
      <c r="LIZ85" s="70">
        <v>0</v>
      </c>
      <c r="LJA85" s="70">
        <v>0</v>
      </c>
      <c r="LJB85" s="70">
        <v>0</v>
      </c>
      <c r="LJC85" s="70">
        <v>0</v>
      </c>
      <c r="LJD85" s="70">
        <v>0</v>
      </c>
      <c r="LJE85" s="70">
        <v>0</v>
      </c>
      <c r="LJF85" s="70">
        <v>0</v>
      </c>
      <c r="LJG85" s="70">
        <v>0</v>
      </c>
      <c r="LJH85" s="70">
        <v>0</v>
      </c>
      <c r="LJI85" s="70">
        <v>0</v>
      </c>
      <c r="LJJ85" s="70">
        <v>0</v>
      </c>
      <c r="LJK85" s="70">
        <v>0</v>
      </c>
      <c r="LJL85" s="70">
        <v>0</v>
      </c>
      <c r="LJM85" s="70">
        <v>0</v>
      </c>
      <c r="LJN85" s="70">
        <v>0</v>
      </c>
      <c r="LJO85" s="70">
        <v>0</v>
      </c>
      <c r="LJP85" s="70">
        <v>0</v>
      </c>
      <c r="LJQ85" s="70">
        <v>0</v>
      </c>
      <c r="LJR85" s="70">
        <v>0</v>
      </c>
      <c r="LJS85" s="70">
        <v>0</v>
      </c>
      <c r="LJT85" s="70">
        <v>0</v>
      </c>
      <c r="LJU85" s="70">
        <v>0</v>
      </c>
      <c r="LJV85" s="70">
        <v>0</v>
      </c>
      <c r="LJW85" s="70">
        <v>0</v>
      </c>
      <c r="LJX85" s="70">
        <v>0</v>
      </c>
      <c r="LJY85" s="70">
        <v>0</v>
      </c>
      <c r="LJZ85" s="70">
        <v>0</v>
      </c>
      <c r="LKA85" s="70">
        <v>0</v>
      </c>
      <c r="LKB85" s="70">
        <v>0</v>
      </c>
      <c r="LKC85" s="70">
        <v>0</v>
      </c>
      <c r="LKD85" s="70">
        <v>0</v>
      </c>
      <c r="LKE85" s="70">
        <v>0</v>
      </c>
      <c r="LKF85" s="70">
        <v>0</v>
      </c>
      <c r="LKG85" s="70">
        <v>0</v>
      </c>
      <c r="LKH85" s="70">
        <v>0</v>
      </c>
      <c r="LKI85" s="70">
        <v>0</v>
      </c>
      <c r="LKJ85" s="70">
        <v>0</v>
      </c>
      <c r="LKK85" s="70">
        <v>0</v>
      </c>
      <c r="LKL85" s="70">
        <v>0</v>
      </c>
      <c r="LKM85" s="70">
        <v>0</v>
      </c>
      <c r="LKN85" s="70">
        <v>0</v>
      </c>
      <c r="LKO85" s="70">
        <v>0</v>
      </c>
      <c r="LKP85" s="70">
        <v>0</v>
      </c>
      <c r="LKQ85" s="70">
        <v>0</v>
      </c>
      <c r="LKR85" s="70">
        <v>0</v>
      </c>
      <c r="LKS85" s="70">
        <v>0</v>
      </c>
      <c r="LKT85" s="70">
        <v>0</v>
      </c>
      <c r="LKU85" s="70">
        <v>0</v>
      </c>
      <c r="LKV85" s="70">
        <v>0</v>
      </c>
      <c r="LKW85" s="70">
        <v>0</v>
      </c>
      <c r="LKX85" s="70">
        <v>0</v>
      </c>
      <c r="LKY85" s="70">
        <v>0</v>
      </c>
      <c r="LKZ85" s="70">
        <v>0</v>
      </c>
      <c r="LLA85" s="70">
        <v>0</v>
      </c>
      <c r="LLB85" s="70">
        <v>0</v>
      </c>
      <c r="LLC85" s="70">
        <v>0</v>
      </c>
      <c r="LLD85" s="70">
        <v>0</v>
      </c>
      <c r="LLE85" s="70">
        <v>0</v>
      </c>
      <c r="LLF85" s="70">
        <v>0</v>
      </c>
      <c r="LLG85" s="70">
        <v>0</v>
      </c>
      <c r="LLH85" s="70">
        <v>0</v>
      </c>
      <c r="LLI85" s="70">
        <v>0</v>
      </c>
      <c r="LLJ85" s="70">
        <v>0</v>
      </c>
      <c r="LLK85" s="70">
        <v>0</v>
      </c>
      <c r="LLL85" s="70">
        <v>0</v>
      </c>
      <c r="LLM85" s="70">
        <v>0</v>
      </c>
      <c r="LLN85" s="70">
        <v>0</v>
      </c>
      <c r="LLO85" s="70">
        <v>0</v>
      </c>
      <c r="LLP85" s="70">
        <v>0</v>
      </c>
      <c r="LLQ85" s="70">
        <v>0</v>
      </c>
      <c r="LLR85" s="70">
        <v>0</v>
      </c>
      <c r="LLS85" s="70">
        <v>0</v>
      </c>
      <c r="LLT85" s="70">
        <v>0</v>
      </c>
      <c r="LLU85" s="70">
        <v>0</v>
      </c>
      <c r="LLV85" s="70">
        <v>0</v>
      </c>
      <c r="LLW85" s="70">
        <v>0</v>
      </c>
      <c r="LLX85" s="70">
        <v>0</v>
      </c>
      <c r="LLY85" s="70">
        <v>0</v>
      </c>
      <c r="LLZ85" s="70">
        <v>0</v>
      </c>
      <c r="LMA85" s="70">
        <v>0</v>
      </c>
      <c r="LMB85" s="70">
        <v>0</v>
      </c>
      <c r="LMC85" s="70">
        <v>0</v>
      </c>
      <c r="LMD85" s="70">
        <v>0</v>
      </c>
      <c r="LME85" s="70">
        <v>0</v>
      </c>
      <c r="LMF85" s="70">
        <v>0</v>
      </c>
      <c r="LMG85" s="70">
        <v>0</v>
      </c>
      <c r="LMH85" s="70">
        <v>0</v>
      </c>
      <c r="LMI85" s="70">
        <v>0</v>
      </c>
      <c r="LMJ85" s="70">
        <v>0</v>
      </c>
      <c r="LMK85" s="70">
        <v>0</v>
      </c>
      <c r="LML85" s="70">
        <v>0</v>
      </c>
      <c r="LMM85" s="70">
        <v>0</v>
      </c>
      <c r="LMN85" s="70">
        <v>0</v>
      </c>
      <c r="LMO85" s="70">
        <v>0</v>
      </c>
      <c r="LMP85" s="70">
        <v>0</v>
      </c>
      <c r="LMQ85" s="70">
        <v>0</v>
      </c>
      <c r="LMR85" s="70">
        <v>0</v>
      </c>
      <c r="LMS85" s="70">
        <v>0</v>
      </c>
      <c r="LMT85" s="70">
        <v>0</v>
      </c>
      <c r="LMU85" s="70">
        <v>0</v>
      </c>
      <c r="LMV85" s="70">
        <v>0</v>
      </c>
      <c r="LMW85" s="70">
        <v>0</v>
      </c>
      <c r="LMX85" s="70">
        <v>0</v>
      </c>
      <c r="LMY85" s="70">
        <v>0</v>
      </c>
      <c r="LMZ85" s="70">
        <v>0</v>
      </c>
      <c r="LNA85" s="70">
        <v>0</v>
      </c>
      <c r="LNB85" s="70">
        <v>0</v>
      </c>
      <c r="LNC85" s="70">
        <v>0</v>
      </c>
      <c r="LND85" s="70">
        <v>0</v>
      </c>
      <c r="LNE85" s="70">
        <v>0</v>
      </c>
      <c r="LNF85" s="70">
        <v>0</v>
      </c>
      <c r="LNG85" s="70">
        <v>0</v>
      </c>
      <c r="LNH85" s="70">
        <v>0</v>
      </c>
      <c r="LNI85" s="70">
        <v>0</v>
      </c>
      <c r="LNJ85" s="70">
        <v>0</v>
      </c>
      <c r="LNK85" s="70">
        <v>0</v>
      </c>
      <c r="LNL85" s="70">
        <v>0</v>
      </c>
      <c r="LNM85" s="70">
        <v>0</v>
      </c>
      <c r="LNN85" s="70">
        <v>0</v>
      </c>
      <c r="LNO85" s="70">
        <v>0</v>
      </c>
      <c r="LNP85" s="70">
        <v>0</v>
      </c>
      <c r="LNQ85" s="70">
        <v>0</v>
      </c>
      <c r="LNR85" s="70">
        <v>0</v>
      </c>
      <c r="LNS85" s="70">
        <v>0</v>
      </c>
      <c r="LNT85" s="70">
        <v>0</v>
      </c>
      <c r="LNU85" s="70">
        <v>0</v>
      </c>
      <c r="LNV85" s="70">
        <v>0</v>
      </c>
      <c r="LNW85" s="70">
        <v>0</v>
      </c>
      <c r="LNX85" s="70">
        <v>0</v>
      </c>
      <c r="LNY85" s="70">
        <v>0</v>
      </c>
      <c r="LNZ85" s="70">
        <v>0</v>
      </c>
      <c r="LOA85" s="70">
        <v>0</v>
      </c>
      <c r="LOB85" s="70">
        <v>0</v>
      </c>
      <c r="LOC85" s="70">
        <v>0</v>
      </c>
      <c r="LOD85" s="70">
        <v>0</v>
      </c>
      <c r="LOE85" s="70">
        <v>0</v>
      </c>
      <c r="LOF85" s="70">
        <v>0</v>
      </c>
      <c r="LOG85" s="70">
        <v>0</v>
      </c>
      <c r="LOH85" s="70">
        <v>0</v>
      </c>
      <c r="LOI85" s="70">
        <v>0</v>
      </c>
      <c r="LOJ85" s="70">
        <v>0</v>
      </c>
      <c r="LOK85" s="70">
        <v>0</v>
      </c>
      <c r="LOL85" s="70">
        <v>0</v>
      </c>
      <c r="LOM85" s="70">
        <v>0</v>
      </c>
      <c r="LON85" s="70">
        <v>0</v>
      </c>
      <c r="LOO85" s="70">
        <v>0</v>
      </c>
      <c r="LOP85" s="70">
        <v>0</v>
      </c>
      <c r="LOQ85" s="70">
        <v>0</v>
      </c>
      <c r="LOR85" s="70">
        <v>0</v>
      </c>
      <c r="LOS85" s="70">
        <v>0</v>
      </c>
      <c r="LOT85" s="70">
        <v>0</v>
      </c>
      <c r="LOU85" s="70">
        <v>0</v>
      </c>
      <c r="LOV85" s="70">
        <v>0</v>
      </c>
      <c r="LOW85" s="70">
        <v>0</v>
      </c>
      <c r="LOX85" s="70">
        <v>0</v>
      </c>
      <c r="LOY85" s="70">
        <v>0</v>
      </c>
      <c r="LOZ85" s="70">
        <v>0</v>
      </c>
      <c r="LPA85" s="70">
        <v>0</v>
      </c>
      <c r="LPB85" s="70">
        <v>0</v>
      </c>
      <c r="LPC85" s="70">
        <v>0</v>
      </c>
      <c r="LPD85" s="70">
        <v>0</v>
      </c>
      <c r="LPE85" s="70">
        <v>0</v>
      </c>
      <c r="LPF85" s="70">
        <v>0</v>
      </c>
      <c r="LPG85" s="70">
        <v>0</v>
      </c>
      <c r="LPH85" s="70">
        <v>0</v>
      </c>
      <c r="LPI85" s="70">
        <v>0</v>
      </c>
      <c r="LPJ85" s="70">
        <v>0</v>
      </c>
      <c r="LPK85" s="70">
        <v>0</v>
      </c>
      <c r="LPL85" s="70">
        <v>0</v>
      </c>
      <c r="LPM85" s="70">
        <v>0</v>
      </c>
      <c r="LPN85" s="70">
        <v>0</v>
      </c>
      <c r="LPO85" s="70">
        <v>0</v>
      </c>
      <c r="LPP85" s="70">
        <v>0</v>
      </c>
      <c r="LPQ85" s="70">
        <v>0</v>
      </c>
      <c r="LPR85" s="70">
        <v>0</v>
      </c>
      <c r="LPS85" s="70">
        <v>0</v>
      </c>
      <c r="LPT85" s="70">
        <v>0</v>
      </c>
      <c r="LPU85" s="70">
        <v>0</v>
      </c>
      <c r="LPV85" s="70">
        <v>0</v>
      </c>
      <c r="LPW85" s="70">
        <v>0</v>
      </c>
      <c r="LPX85" s="70">
        <v>0</v>
      </c>
      <c r="LPY85" s="70">
        <v>0</v>
      </c>
      <c r="LPZ85" s="70">
        <v>0</v>
      </c>
      <c r="LQA85" s="70">
        <v>0</v>
      </c>
      <c r="LQB85" s="70">
        <v>0</v>
      </c>
      <c r="LQC85" s="70">
        <v>0</v>
      </c>
      <c r="LQD85" s="70">
        <v>0</v>
      </c>
      <c r="LQE85" s="70">
        <v>0</v>
      </c>
      <c r="LQF85" s="70">
        <v>0</v>
      </c>
      <c r="LQG85" s="70">
        <v>0</v>
      </c>
      <c r="LQH85" s="70">
        <v>0</v>
      </c>
      <c r="LQI85" s="70">
        <v>0</v>
      </c>
      <c r="LQJ85" s="70">
        <v>0</v>
      </c>
      <c r="LQK85" s="70">
        <v>0</v>
      </c>
      <c r="LQL85" s="70">
        <v>0</v>
      </c>
      <c r="LQM85" s="70">
        <v>0</v>
      </c>
      <c r="LQN85" s="70">
        <v>0</v>
      </c>
      <c r="LQO85" s="70">
        <v>0</v>
      </c>
      <c r="LQP85" s="70">
        <v>0</v>
      </c>
      <c r="LQQ85" s="70">
        <v>0</v>
      </c>
      <c r="LQR85" s="70">
        <v>0</v>
      </c>
      <c r="LQS85" s="70">
        <v>0</v>
      </c>
      <c r="LQT85" s="70">
        <v>0</v>
      </c>
      <c r="LQU85" s="70">
        <v>0</v>
      </c>
      <c r="LQV85" s="70">
        <v>0</v>
      </c>
      <c r="LQW85" s="70">
        <v>0</v>
      </c>
      <c r="LQX85" s="70">
        <v>0</v>
      </c>
      <c r="LQY85" s="70">
        <v>0</v>
      </c>
      <c r="LQZ85" s="70">
        <v>0</v>
      </c>
      <c r="LRA85" s="70">
        <v>0</v>
      </c>
      <c r="LRB85" s="70">
        <v>0</v>
      </c>
      <c r="LRC85" s="70">
        <v>0</v>
      </c>
      <c r="LRD85" s="70">
        <v>0</v>
      </c>
      <c r="LRE85" s="70">
        <v>0</v>
      </c>
      <c r="LRF85" s="70">
        <v>0</v>
      </c>
      <c r="LRG85" s="70">
        <v>0</v>
      </c>
      <c r="LRH85" s="70">
        <v>0</v>
      </c>
      <c r="LRI85" s="70">
        <v>0</v>
      </c>
      <c r="LRJ85" s="70">
        <v>0</v>
      </c>
      <c r="LRK85" s="70">
        <v>0</v>
      </c>
      <c r="LRL85" s="70">
        <v>0</v>
      </c>
      <c r="LRM85" s="70">
        <v>0</v>
      </c>
      <c r="LRN85" s="70">
        <v>0</v>
      </c>
      <c r="LRO85" s="70">
        <v>0</v>
      </c>
      <c r="LRP85" s="70">
        <v>0</v>
      </c>
      <c r="LRQ85" s="70">
        <v>0</v>
      </c>
      <c r="LRR85" s="70">
        <v>0</v>
      </c>
      <c r="LRS85" s="70">
        <v>0</v>
      </c>
      <c r="LRT85" s="70">
        <v>0</v>
      </c>
      <c r="LRU85" s="70">
        <v>0</v>
      </c>
      <c r="LRV85" s="70">
        <v>0</v>
      </c>
      <c r="LRW85" s="70">
        <v>0</v>
      </c>
      <c r="LRX85" s="70">
        <v>0</v>
      </c>
      <c r="LRY85" s="70">
        <v>0</v>
      </c>
      <c r="LRZ85" s="70">
        <v>0</v>
      </c>
      <c r="LSA85" s="70">
        <v>0</v>
      </c>
      <c r="LSB85" s="70">
        <v>0</v>
      </c>
      <c r="LSC85" s="70">
        <v>0</v>
      </c>
      <c r="LSD85" s="70">
        <v>0</v>
      </c>
      <c r="LSE85" s="70">
        <v>0</v>
      </c>
      <c r="LSF85" s="70">
        <v>0</v>
      </c>
      <c r="LSG85" s="70">
        <v>0</v>
      </c>
      <c r="LSH85" s="70">
        <v>0</v>
      </c>
      <c r="LSI85" s="70">
        <v>0</v>
      </c>
      <c r="LSJ85" s="70">
        <v>0</v>
      </c>
      <c r="LSK85" s="70">
        <v>0</v>
      </c>
      <c r="LSL85" s="70">
        <v>0</v>
      </c>
      <c r="LSM85" s="70">
        <v>0</v>
      </c>
      <c r="LSN85" s="70">
        <v>0</v>
      </c>
      <c r="LSO85" s="70">
        <v>0</v>
      </c>
      <c r="LSP85" s="70">
        <v>0</v>
      </c>
      <c r="LSQ85" s="70">
        <v>0</v>
      </c>
      <c r="LSR85" s="70">
        <v>0</v>
      </c>
      <c r="LSS85" s="70">
        <v>0</v>
      </c>
      <c r="LST85" s="70">
        <v>0</v>
      </c>
      <c r="LSU85" s="70">
        <v>0</v>
      </c>
      <c r="LSV85" s="70">
        <v>0</v>
      </c>
      <c r="LSW85" s="70">
        <v>0</v>
      </c>
      <c r="LSX85" s="70">
        <v>0</v>
      </c>
      <c r="LSY85" s="70">
        <v>0</v>
      </c>
      <c r="LSZ85" s="70">
        <v>0</v>
      </c>
      <c r="LTA85" s="70">
        <v>0</v>
      </c>
      <c r="LTB85" s="70">
        <v>0</v>
      </c>
      <c r="LTC85" s="70">
        <v>0</v>
      </c>
      <c r="LTD85" s="70">
        <v>0</v>
      </c>
      <c r="LTE85" s="70">
        <v>0</v>
      </c>
      <c r="LTF85" s="70">
        <v>0</v>
      </c>
      <c r="LTG85" s="70">
        <v>0</v>
      </c>
      <c r="LTH85" s="70">
        <v>0</v>
      </c>
      <c r="LTI85" s="70">
        <v>0</v>
      </c>
      <c r="LTJ85" s="70">
        <v>0</v>
      </c>
      <c r="LTK85" s="70">
        <v>0</v>
      </c>
      <c r="LTL85" s="70">
        <v>0</v>
      </c>
      <c r="LTM85" s="70">
        <v>0</v>
      </c>
      <c r="LTN85" s="70">
        <v>0</v>
      </c>
      <c r="LTO85" s="70">
        <v>0</v>
      </c>
      <c r="LTP85" s="70">
        <v>0</v>
      </c>
      <c r="LTQ85" s="70">
        <v>0</v>
      </c>
      <c r="LTR85" s="70">
        <v>0</v>
      </c>
      <c r="LTS85" s="70">
        <v>0</v>
      </c>
      <c r="LTT85" s="70">
        <v>0</v>
      </c>
      <c r="LTU85" s="70">
        <v>0</v>
      </c>
      <c r="LTV85" s="70">
        <v>0</v>
      </c>
      <c r="LTW85" s="70">
        <v>0</v>
      </c>
      <c r="LTX85" s="70">
        <v>0</v>
      </c>
      <c r="LTY85" s="70">
        <v>0</v>
      </c>
      <c r="LTZ85" s="70">
        <v>0</v>
      </c>
      <c r="LUA85" s="70">
        <v>0</v>
      </c>
      <c r="LUB85" s="70">
        <v>0</v>
      </c>
      <c r="LUC85" s="70">
        <v>0</v>
      </c>
      <c r="LUD85" s="70">
        <v>0</v>
      </c>
      <c r="LUE85" s="70">
        <v>0</v>
      </c>
      <c r="LUF85" s="70">
        <v>0</v>
      </c>
      <c r="LUG85" s="70">
        <v>0</v>
      </c>
      <c r="LUH85" s="70">
        <v>0</v>
      </c>
      <c r="LUI85" s="70">
        <v>0</v>
      </c>
      <c r="LUJ85" s="70">
        <v>0</v>
      </c>
      <c r="LUK85" s="70">
        <v>0</v>
      </c>
      <c r="LUL85" s="70">
        <v>0</v>
      </c>
      <c r="LUM85" s="70">
        <v>0</v>
      </c>
      <c r="LUN85" s="70">
        <v>0</v>
      </c>
      <c r="LUO85" s="70">
        <v>0</v>
      </c>
      <c r="LUP85" s="70">
        <v>0</v>
      </c>
      <c r="LUQ85" s="70">
        <v>0</v>
      </c>
      <c r="LUR85" s="70">
        <v>0</v>
      </c>
      <c r="LUS85" s="70">
        <v>0</v>
      </c>
      <c r="LUT85" s="70">
        <v>0</v>
      </c>
      <c r="LUU85" s="70">
        <v>0</v>
      </c>
      <c r="LUV85" s="70">
        <v>0</v>
      </c>
      <c r="LUW85" s="70">
        <v>0</v>
      </c>
      <c r="LUX85" s="70">
        <v>0</v>
      </c>
      <c r="LUY85" s="70">
        <v>0</v>
      </c>
      <c r="LUZ85" s="70">
        <v>0</v>
      </c>
      <c r="LVA85" s="70">
        <v>0</v>
      </c>
      <c r="LVB85" s="70">
        <v>0</v>
      </c>
      <c r="LVC85" s="70">
        <v>0</v>
      </c>
      <c r="LVD85" s="70">
        <v>0</v>
      </c>
      <c r="LVE85" s="70">
        <v>0</v>
      </c>
      <c r="LVF85" s="70">
        <v>0</v>
      </c>
      <c r="LVG85" s="70">
        <v>0</v>
      </c>
      <c r="LVH85" s="70">
        <v>0</v>
      </c>
      <c r="LVI85" s="70">
        <v>0</v>
      </c>
      <c r="LVJ85" s="70">
        <v>0</v>
      </c>
      <c r="LVK85" s="70">
        <v>0</v>
      </c>
      <c r="LVL85" s="70">
        <v>0</v>
      </c>
      <c r="LVM85" s="70">
        <v>0</v>
      </c>
      <c r="LVN85" s="70">
        <v>0</v>
      </c>
      <c r="LVO85" s="70">
        <v>0</v>
      </c>
      <c r="LVP85" s="70">
        <v>0</v>
      </c>
      <c r="LVQ85" s="70">
        <v>0</v>
      </c>
      <c r="LVR85" s="70">
        <v>0</v>
      </c>
      <c r="LVS85" s="70">
        <v>0</v>
      </c>
      <c r="LVT85" s="70">
        <v>0</v>
      </c>
      <c r="LVU85" s="70">
        <v>0</v>
      </c>
      <c r="LVV85" s="70">
        <v>0</v>
      </c>
      <c r="LVW85" s="70">
        <v>0</v>
      </c>
      <c r="LVX85" s="70">
        <v>0</v>
      </c>
      <c r="LVY85" s="70">
        <v>0</v>
      </c>
      <c r="LVZ85" s="70">
        <v>0</v>
      </c>
      <c r="LWA85" s="70">
        <v>0</v>
      </c>
      <c r="LWB85" s="70">
        <v>0</v>
      </c>
      <c r="LWC85" s="70">
        <v>0</v>
      </c>
      <c r="LWD85" s="70">
        <v>0</v>
      </c>
      <c r="LWE85" s="70">
        <v>0</v>
      </c>
      <c r="LWF85" s="70">
        <v>0</v>
      </c>
      <c r="LWG85" s="70">
        <v>0</v>
      </c>
      <c r="LWH85" s="70">
        <v>0</v>
      </c>
      <c r="LWI85" s="70">
        <v>0</v>
      </c>
      <c r="LWJ85" s="70">
        <v>0</v>
      </c>
      <c r="LWK85" s="70">
        <v>0</v>
      </c>
      <c r="LWL85" s="70">
        <v>0</v>
      </c>
      <c r="LWM85" s="70">
        <v>0</v>
      </c>
      <c r="LWN85" s="70">
        <v>0</v>
      </c>
      <c r="LWO85" s="70">
        <v>0</v>
      </c>
      <c r="LWP85" s="70">
        <v>0</v>
      </c>
      <c r="LWQ85" s="70">
        <v>0</v>
      </c>
      <c r="LWR85" s="70">
        <v>0</v>
      </c>
      <c r="LWS85" s="70">
        <v>0</v>
      </c>
      <c r="LWT85" s="70">
        <v>0</v>
      </c>
      <c r="LWU85" s="70">
        <v>0</v>
      </c>
      <c r="LWV85" s="70">
        <v>0</v>
      </c>
      <c r="LWW85" s="70">
        <v>0</v>
      </c>
      <c r="LWX85" s="70">
        <v>0</v>
      </c>
      <c r="LWY85" s="70">
        <v>0</v>
      </c>
      <c r="LWZ85" s="70">
        <v>0</v>
      </c>
      <c r="LXA85" s="70">
        <v>0</v>
      </c>
      <c r="LXB85" s="70">
        <v>0</v>
      </c>
      <c r="LXC85" s="70">
        <v>0</v>
      </c>
      <c r="LXD85" s="70">
        <v>0</v>
      </c>
      <c r="LXE85" s="70">
        <v>0</v>
      </c>
      <c r="LXF85" s="70">
        <v>0</v>
      </c>
      <c r="LXG85" s="70">
        <v>0</v>
      </c>
      <c r="LXH85" s="70">
        <v>0</v>
      </c>
      <c r="LXI85" s="70">
        <v>0</v>
      </c>
      <c r="LXJ85" s="70">
        <v>0</v>
      </c>
      <c r="LXK85" s="70">
        <v>0</v>
      </c>
      <c r="LXL85" s="70">
        <v>0</v>
      </c>
      <c r="LXM85" s="70">
        <v>0</v>
      </c>
      <c r="LXN85" s="70">
        <v>0</v>
      </c>
      <c r="LXO85" s="70">
        <v>0</v>
      </c>
      <c r="LXP85" s="70">
        <v>0</v>
      </c>
      <c r="LXQ85" s="70">
        <v>0</v>
      </c>
      <c r="LXR85" s="70">
        <v>0</v>
      </c>
      <c r="LXS85" s="70">
        <v>0</v>
      </c>
      <c r="LXT85" s="70">
        <v>0</v>
      </c>
      <c r="LXU85" s="70">
        <v>0</v>
      </c>
      <c r="LXV85" s="70">
        <v>0</v>
      </c>
      <c r="LXW85" s="70">
        <v>0</v>
      </c>
      <c r="LXX85" s="70">
        <v>0</v>
      </c>
      <c r="LXY85" s="70">
        <v>0</v>
      </c>
      <c r="LXZ85" s="70">
        <v>0</v>
      </c>
      <c r="LYA85" s="70">
        <v>0</v>
      </c>
      <c r="LYB85" s="70">
        <v>0</v>
      </c>
      <c r="LYC85" s="70">
        <v>0</v>
      </c>
      <c r="LYD85" s="70">
        <v>0</v>
      </c>
      <c r="LYE85" s="70">
        <v>0</v>
      </c>
      <c r="LYF85" s="70">
        <v>0</v>
      </c>
      <c r="LYG85" s="70">
        <v>0</v>
      </c>
      <c r="LYH85" s="70">
        <v>0</v>
      </c>
      <c r="LYI85" s="70">
        <v>0</v>
      </c>
      <c r="LYJ85" s="70">
        <v>0</v>
      </c>
      <c r="LYK85" s="70">
        <v>0</v>
      </c>
      <c r="LYL85" s="70">
        <v>0</v>
      </c>
      <c r="LYM85" s="70">
        <v>0</v>
      </c>
      <c r="LYN85" s="70">
        <v>0</v>
      </c>
      <c r="LYO85" s="70">
        <v>0</v>
      </c>
      <c r="LYP85" s="70">
        <v>0</v>
      </c>
      <c r="LYQ85" s="70">
        <v>0</v>
      </c>
      <c r="LYR85" s="70">
        <v>0</v>
      </c>
      <c r="LYS85" s="70">
        <v>0</v>
      </c>
      <c r="LYT85" s="70">
        <v>0</v>
      </c>
      <c r="LYU85" s="70">
        <v>0</v>
      </c>
      <c r="LYV85" s="70">
        <v>0</v>
      </c>
      <c r="LYW85" s="70">
        <v>0</v>
      </c>
      <c r="LYX85" s="70">
        <v>0</v>
      </c>
      <c r="LYY85" s="70">
        <v>0</v>
      </c>
      <c r="LYZ85" s="70">
        <v>0</v>
      </c>
      <c r="LZA85" s="70">
        <v>0</v>
      </c>
      <c r="LZB85" s="70">
        <v>0</v>
      </c>
      <c r="LZC85" s="70">
        <v>0</v>
      </c>
      <c r="LZD85" s="70">
        <v>0</v>
      </c>
      <c r="LZE85" s="70">
        <v>0</v>
      </c>
      <c r="LZF85" s="70">
        <v>0</v>
      </c>
      <c r="LZG85" s="70">
        <v>0</v>
      </c>
      <c r="LZH85" s="70">
        <v>0</v>
      </c>
      <c r="LZI85" s="70">
        <v>0</v>
      </c>
      <c r="LZJ85" s="70">
        <v>0</v>
      </c>
      <c r="LZK85" s="70">
        <v>0</v>
      </c>
      <c r="LZL85" s="70">
        <v>0</v>
      </c>
      <c r="LZM85" s="70">
        <v>0</v>
      </c>
      <c r="LZN85" s="70">
        <v>0</v>
      </c>
      <c r="LZO85" s="70">
        <v>0</v>
      </c>
      <c r="LZP85" s="70">
        <v>0</v>
      </c>
      <c r="LZQ85" s="70">
        <v>0</v>
      </c>
      <c r="LZR85" s="70">
        <v>0</v>
      </c>
      <c r="LZS85" s="70">
        <v>0</v>
      </c>
      <c r="LZT85" s="70">
        <v>0</v>
      </c>
      <c r="LZU85" s="70">
        <v>0</v>
      </c>
      <c r="LZV85" s="70">
        <v>0</v>
      </c>
      <c r="LZW85" s="70">
        <v>0</v>
      </c>
      <c r="LZX85" s="70">
        <v>0</v>
      </c>
      <c r="LZY85" s="70">
        <v>0</v>
      </c>
      <c r="LZZ85" s="70">
        <v>0</v>
      </c>
      <c r="MAA85" s="70">
        <v>0</v>
      </c>
      <c r="MAB85" s="70">
        <v>0</v>
      </c>
      <c r="MAC85" s="70">
        <v>0</v>
      </c>
      <c r="MAD85" s="70">
        <v>0</v>
      </c>
      <c r="MAE85" s="70">
        <v>0</v>
      </c>
      <c r="MAF85" s="70">
        <v>0</v>
      </c>
      <c r="MAG85" s="70">
        <v>0</v>
      </c>
      <c r="MAH85" s="70">
        <v>0</v>
      </c>
      <c r="MAI85" s="70">
        <v>0</v>
      </c>
      <c r="MAJ85" s="70">
        <v>0</v>
      </c>
      <c r="MAK85" s="70">
        <v>0</v>
      </c>
      <c r="MAL85" s="70">
        <v>0</v>
      </c>
      <c r="MAM85" s="70">
        <v>0</v>
      </c>
      <c r="MAN85" s="70">
        <v>0</v>
      </c>
      <c r="MAO85" s="70">
        <v>0</v>
      </c>
      <c r="MAP85" s="70">
        <v>0</v>
      </c>
      <c r="MAQ85" s="70">
        <v>0</v>
      </c>
      <c r="MAR85" s="70">
        <v>0</v>
      </c>
      <c r="MAS85" s="70">
        <v>0</v>
      </c>
      <c r="MAT85" s="70">
        <v>0</v>
      </c>
      <c r="MAU85" s="70">
        <v>0</v>
      </c>
      <c r="MAV85" s="70">
        <v>0</v>
      </c>
      <c r="MAW85" s="70">
        <v>0</v>
      </c>
      <c r="MAX85" s="70">
        <v>0</v>
      </c>
      <c r="MAY85" s="70">
        <v>0</v>
      </c>
      <c r="MAZ85" s="70">
        <v>0</v>
      </c>
      <c r="MBA85" s="70">
        <v>0</v>
      </c>
      <c r="MBB85" s="70">
        <v>0</v>
      </c>
      <c r="MBC85" s="70">
        <v>0</v>
      </c>
      <c r="MBD85" s="70">
        <v>0</v>
      </c>
      <c r="MBE85" s="70">
        <v>0</v>
      </c>
      <c r="MBF85" s="70">
        <v>0</v>
      </c>
      <c r="MBG85" s="70">
        <v>0</v>
      </c>
      <c r="MBH85" s="70">
        <v>0</v>
      </c>
      <c r="MBI85" s="70">
        <v>0</v>
      </c>
      <c r="MBJ85" s="70">
        <v>0</v>
      </c>
      <c r="MBK85" s="70">
        <v>0</v>
      </c>
      <c r="MBL85" s="70">
        <v>0</v>
      </c>
      <c r="MBM85" s="70">
        <v>0</v>
      </c>
      <c r="MBN85" s="70">
        <v>0</v>
      </c>
      <c r="MBO85" s="70">
        <v>0</v>
      </c>
      <c r="MBP85" s="70">
        <v>0</v>
      </c>
      <c r="MBQ85" s="70">
        <v>0</v>
      </c>
      <c r="MBR85" s="70">
        <v>0</v>
      </c>
      <c r="MBS85" s="70">
        <v>0</v>
      </c>
      <c r="MBT85" s="70">
        <v>0</v>
      </c>
      <c r="MBU85" s="70">
        <v>0</v>
      </c>
      <c r="MBV85" s="70">
        <v>0</v>
      </c>
      <c r="MBW85" s="70">
        <v>0</v>
      </c>
      <c r="MBX85" s="70">
        <v>0</v>
      </c>
      <c r="MBY85" s="70">
        <v>0</v>
      </c>
      <c r="MBZ85" s="70">
        <v>0</v>
      </c>
      <c r="MCA85" s="70">
        <v>0</v>
      </c>
      <c r="MCB85" s="70">
        <v>0</v>
      </c>
      <c r="MCC85" s="70">
        <v>0</v>
      </c>
      <c r="MCD85" s="70">
        <v>0</v>
      </c>
      <c r="MCE85" s="70">
        <v>0</v>
      </c>
      <c r="MCF85" s="70">
        <v>0</v>
      </c>
      <c r="MCG85" s="70">
        <v>0</v>
      </c>
      <c r="MCH85" s="70">
        <v>0</v>
      </c>
      <c r="MCI85" s="70">
        <v>0</v>
      </c>
      <c r="MCJ85" s="70">
        <v>0</v>
      </c>
      <c r="MCK85" s="70">
        <v>0</v>
      </c>
      <c r="MCL85" s="70">
        <v>0</v>
      </c>
      <c r="MCM85" s="70">
        <v>0</v>
      </c>
      <c r="MCN85" s="70">
        <v>0</v>
      </c>
      <c r="MCO85" s="70">
        <v>0</v>
      </c>
      <c r="MCP85" s="70">
        <v>0</v>
      </c>
      <c r="MCQ85" s="70">
        <v>0</v>
      </c>
      <c r="MCR85" s="70">
        <v>0</v>
      </c>
      <c r="MCS85" s="70">
        <v>0</v>
      </c>
      <c r="MCT85" s="70">
        <v>0</v>
      </c>
      <c r="MCU85" s="70">
        <v>0</v>
      </c>
      <c r="MCV85" s="70">
        <v>0</v>
      </c>
      <c r="MCW85" s="70">
        <v>0</v>
      </c>
      <c r="MCX85" s="70">
        <v>0</v>
      </c>
      <c r="MCY85" s="70">
        <v>0</v>
      </c>
      <c r="MCZ85" s="70">
        <v>0</v>
      </c>
      <c r="MDA85" s="70">
        <v>0</v>
      </c>
      <c r="MDB85" s="70">
        <v>0</v>
      </c>
      <c r="MDC85" s="70">
        <v>0</v>
      </c>
      <c r="MDD85" s="70">
        <v>0</v>
      </c>
      <c r="MDE85" s="70">
        <v>0</v>
      </c>
      <c r="MDF85" s="70">
        <v>0</v>
      </c>
      <c r="MDG85" s="70">
        <v>0</v>
      </c>
      <c r="MDH85" s="70">
        <v>0</v>
      </c>
      <c r="MDI85" s="70">
        <v>0</v>
      </c>
      <c r="MDJ85" s="70">
        <v>0</v>
      </c>
      <c r="MDK85" s="70">
        <v>0</v>
      </c>
      <c r="MDL85" s="70">
        <v>0</v>
      </c>
      <c r="MDM85" s="70">
        <v>0</v>
      </c>
      <c r="MDN85" s="70">
        <v>0</v>
      </c>
      <c r="MDO85" s="70">
        <v>0</v>
      </c>
      <c r="MDP85" s="70">
        <v>0</v>
      </c>
      <c r="MDQ85" s="70">
        <v>0</v>
      </c>
      <c r="MDR85" s="70">
        <v>0</v>
      </c>
      <c r="MDS85" s="70">
        <v>0</v>
      </c>
      <c r="MDT85" s="70">
        <v>0</v>
      </c>
      <c r="MDU85" s="70">
        <v>0</v>
      </c>
      <c r="MDV85" s="70">
        <v>0</v>
      </c>
      <c r="MDW85" s="70">
        <v>0</v>
      </c>
      <c r="MDX85" s="70">
        <v>0</v>
      </c>
      <c r="MDY85" s="70">
        <v>0</v>
      </c>
      <c r="MDZ85" s="70">
        <v>0</v>
      </c>
      <c r="MEA85" s="70">
        <v>0</v>
      </c>
      <c r="MEB85" s="70">
        <v>0</v>
      </c>
      <c r="MEC85" s="70">
        <v>0</v>
      </c>
      <c r="MED85" s="70">
        <v>0</v>
      </c>
      <c r="MEE85" s="70">
        <v>0</v>
      </c>
      <c r="MEF85" s="70">
        <v>0</v>
      </c>
      <c r="MEG85" s="70">
        <v>0</v>
      </c>
      <c r="MEH85" s="70">
        <v>0</v>
      </c>
      <c r="MEI85" s="70">
        <v>0</v>
      </c>
      <c r="MEJ85" s="70">
        <v>0</v>
      </c>
      <c r="MEK85" s="70">
        <v>0</v>
      </c>
      <c r="MEL85" s="70">
        <v>0</v>
      </c>
      <c r="MEM85" s="70">
        <v>0</v>
      </c>
      <c r="MEN85" s="70">
        <v>0</v>
      </c>
      <c r="MEO85" s="70">
        <v>0</v>
      </c>
      <c r="MEP85" s="70">
        <v>0</v>
      </c>
      <c r="MEQ85" s="70">
        <v>0</v>
      </c>
      <c r="MER85" s="70">
        <v>0</v>
      </c>
      <c r="MES85" s="70">
        <v>0</v>
      </c>
      <c r="MET85" s="70">
        <v>0</v>
      </c>
      <c r="MEU85" s="70">
        <v>0</v>
      </c>
      <c r="MEV85" s="70">
        <v>0</v>
      </c>
      <c r="MEW85" s="70">
        <v>0</v>
      </c>
      <c r="MEX85" s="70">
        <v>0</v>
      </c>
      <c r="MEY85" s="70">
        <v>0</v>
      </c>
      <c r="MEZ85" s="70">
        <v>0</v>
      </c>
      <c r="MFA85" s="70">
        <v>0</v>
      </c>
      <c r="MFB85" s="70">
        <v>0</v>
      </c>
      <c r="MFC85" s="70">
        <v>0</v>
      </c>
      <c r="MFD85" s="70">
        <v>0</v>
      </c>
      <c r="MFE85" s="70">
        <v>0</v>
      </c>
      <c r="MFF85" s="70">
        <v>0</v>
      </c>
      <c r="MFG85" s="70">
        <v>0</v>
      </c>
      <c r="MFH85" s="70">
        <v>0</v>
      </c>
      <c r="MFI85" s="70">
        <v>0</v>
      </c>
      <c r="MFJ85" s="70">
        <v>0</v>
      </c>
      <c r="MFK85" s="70">
        <v>0</v>
      </c>
      <c r="MFL85" s="70">
        <v>0</v>
      </c>
      <c r="MFM85" s="70">
        <v>0</v>
      </c>
      <c r="MFN85" s="70">
        <v>0</v>
      </c>
      <c r="MFO85" s="70">
        <v>0</v>
      </c>
      <c r="MFP85" s="70">
        <v>0</v>
      </c>
      <c r="MFQ85" s="70">
        <v>0</v>
      </c>
      <c r="MFR85" s="70">
        <v>0</v>
      </c>
      <c r="MFS85" s="70">
        <v>0</v>
      </c>
      <c r="MFT85" s="70">
        <v>0</v>
      </c>
      <c r="MFU85" s="70">
        <v>0</v>
      </c>
      <c r="MFV85" s="70">
        <v>0</v>
      </c>
      <c r="MFW85" s="70">
        <v>0</v>
      </c>
      <c r="MFX85" s="70">
        <v>0</v>
      </c>
      <c r="MFY85" s="70">
        <v>0</v>
      </c>
      <c r="MFZ85" s="70">
        <v>0</v>
      </c>
      <c r="MGA85" s="70">
        <v>0</v>
      </c>
      <c r="MGB85" s="70">
        <v>0</v>
      </c>
      <c r="MGC85" s="70">
        <v>0</v>
      </c>
      <c r="MGD85" s="70">
        <v>0</v>
      </c>
      <c r="MGE85" s="70">
        <v>0</v>
      </c>
      <c r="MGF85" s="70">
        <v>0</v>
      </c>
      <c r="MGG85" s="70">
        <v>0</v>
      </c>
      <c r="MGH85" s="70">
        <v>0</v>
      </c>
      <c r="MGI85" s="70">
        <v>0</v>
      </c>
      <c r="MGJ85" s="70">
        <v>0</v>
      </c>
      <c r="MGK85" s="70">
        <v>0</v>
      </c>
      <c r="MGL85" s="70">
        <v>0</v>
      </c>
      <c r="MGM85" s="70">
        <v>0</v>
      </c>
      <c r="MGN85" s="70">
        <v>0</v>
      </c>
      <c r="MGO85" s="70">
        <v>0</v>
      </c>
      <c r="MGP85" s="70">
        <v>0</v>
      </c>
      <c r="MGQ85" s="70">
        <v>0</v>
      </c>
      <c r="MGR85" s="70">
        <v>0</v>
      </c>
      <c r="MGS85" s="70">
        <v>0</v>
      </c>
      <c r="MGT85" s="70">
        <v>0</v>
      </c>
      <c r="MGU85" s="70">
        <v>0</v>
      </c>
      <c r="MGV85" s="70">
        <v>0</v>
      </c>
      <c r="MGW85" s="70">
        <v>0</v>
      </c>
      <c r="MGX85" s="70">
        <v>0</v>
      </c>
      <c r="MGY85" s="70">
        <v>0</v>
      </c>
      <c r="MGZ85" s="70">
        <v>0</v>
      </c>
      <c r="MHA85" s="70">
        <v>0</v>
      </c>
      <c r="MHB85" s="70">
        <v>0</v>
      </c>
      <c r="MHC85" s="70">
        <v>0</v>
      </c>
      <c r="MHD85" s="70">
        <v>0</v>
      </c>
      <c r="MHE85" s="70">
        <v>0</v>
      </c>
      <c r="MHF85" s="70">
        <v>0</v>
      </c>
      <c r="MHG85" s="70">
        <v>0</v>
      </c>
      <c r="MHH85" s="70">
        <v>0</v>
      </c>
      <c r="MHI85" s="70">
        <v>0</v>
      </c>
      <c r="MHJ85" s="70">
        <v>0</v>
      </c>
      <c r="MHK85" s="70">
        <v>0</v>
      </c>
      <c r="MHL85" s="70">
        <v>0</v>
      </c>
      <c r="MHM85" s="70">
        <v>0</v>
      </c>
      <c r="MHN85" s="70">
        <v>0</v>
      </c>
      <c r="MHO85" s="70">
        <v>0</v>
      </c>
      <c r="MHP85" s="70">
        <v>0</v>
      </c>
      <c r="MHQ85" s="70">
        <v>0</v>
      </c>
      <c r="MHR85" s="70">
        <v>0</v>
      </c>
      <c r="MHS85" s="70">
        <v>0</v>
      </c>
      <c r="MHT85" s="70">
        <v>0</v>
      </c>
      <c r="MHU85" s="70">
        <v>0</v>
      </c>
      <c r="MHV85" s="70">
        <v>0</v>
      </c>
      <c r="MHW85" s="70">
        <v>0</v>
      </c>
      <c r="MHX85" s="70">
        <v>0</v>
      </c>
      <c r="MHY85" s="70">
        <v>0</v>
      </c>
      <c r="MHZ85" s="70">
        <v>0</v>
      </c>
      <c r="MIA85" s="70">
        <v>0</v>
      </c>
      <c r="MIB85" s="70">
        <v>0</v>
      </c>
      <c r="MIC85" s="70">
        <v>0</v>
      </c>
      <c r="MID85" s="70">
        <v>0</v>
      </c>
      <c r="MIE85" s="70">
        <v>0</v>
      </c>
      <c r="MIF85" s="70">
        <v>0</v>
      </c>
      <c r="MIG85" s="70">
        <v>0</v>
      </c>
      <c r="MIH85" s="70">
        <v>0</v>
      </c>
      <c r="MII85" s="70">
        <v>0</v>
      </c>
      <c r="MIJ85" s="70">
        <v>0</v>
      </c>
      <c r="MIK85" s="70">
        <v>0</v>
      </c>
      <c r="MIL85" s="70">
        <v>0</v>
      </c>
      <c r="MIM85" s="70">
        <v>0</v>
      </c>
      <c r="MIN85" s="70">
        <v>0</v>
      </c>
      <c r="MIO85" s="70">
        <v>0</v>
      </c>
      <c r="MIP85" s="70">
        <v>0</v>
      </c>
      <c r="MIQ85" s="70">
        <v>0</v>
      </c>
      <c r="MIR85" s="70">
        <v>0</v>
      </c>
      <c r="MIS85" s="70">
        <v>0</v>
      </c>
      <c r="MIT85" s="70">
        <v>0</v>
      </c>
      <c r="MIU85" s="70">
        <v>0</v>
      </c>
      <c r="MIV85" s="70">
        <v>0</v>
      </c>
      <c r="MIW85" s="70">
        <v>0</v>
      </c>
      <c r="MIX85" s="70">
        <v>0</v>
      </c>
      <c r="MIY85" s="70">
        <v>0</v>
      </c>
      <c r="MIZ85" s="70">
        <v>0</v>
      </c>
      <c r="MJA85" s="70">
        <v>0</v>
      </c>
      <c r="MJB85" s="70">
        <v>0</v>
      </c>
      <c r="MJC85" s="70">
        <v>0</v>
      </c>
      <c r="MJD85" s="70">
        <v>0</v>
      </c>
      <c r="MJE85" s="70">
        <v>0</v>
      </c>
      <c r="MJF85" s="70">
        <v>0</v>
      </c>
      <c r="MJG85" s="70">
        <v>0</v>
      </c>
      <c r="MJH85" s="70">
        <v>0</v>
      </c>
      <c r="MJI85" s="70">
        <v>0</v>
      </c>
      <c r="MJJ85" s="70">
        <v>0</v>
      </c>
      <c r="MJK85" s="70">
        <v>0</v>
      </c>
      <c r="MJL85" s="70">
        <v>0</v>
      </c>
      <c r="MJM85" s="70">
        <v>0</v>
      </c>
      <c r="MJN85" s="70">
        <v>0</v>
      </c>
      <c r="MJO85" s="70">
        <v>0</v>
      </c>
      <c r="MJP85" s="70">
        <v>0</v>
      </c>
      <c r="MJQ85" s="70">
        <v>0</v>
      </c>
      <c r="MJR85" s="70">
        <v>0</v>
      </c>
      <c r="MJS85" s="70">
        <v>0</v>
      </c>
      <c r="MJT85" s="70">
        <v>0</v>
      </c>
      <c r="MJU85" s="70">
        <v>0</v>
      </c>
      <c r="MJV85" s="70">
        <v>0</v>
      </c>
      <c r="MJW85" s="70">
        <v>0</v>
      </c>
      <c r="MJX85" s="70">
        <v>0</v>
      </c>
      <c r="MJY85" s="70">
        <v>0</v>
      </c>
      <c r="MJZ85" s="70">
        <v>0</v>
      </c>
      <c r="MKA85" s="70">
        <v>0</v>
      </c>
      <c r="MKB85" s="70">
        <v>0</v>
      </c>
      <c r="MKC85" s="70">
        <v>0</v>
      </c>
      <c r="MKD85" s="70">
        <v>0</v>
      </c>
      <c r="MKE85" s="70">
        <v>0</v>
      </c>
      <c r="MKF85" s="70">
        <v>0</v>
      </c>
      <c r="MKG85" s="70">
        <v>0</v>
      </c>
      <c r="MKH85" s="70">
        <v>0</v>
      </c>
      <c r="MKI85" s="70">
        <v>0</v>
      </c>
      <c r="MKJ85" s="70">
        <v>0</v>
      </c>
      <c r="MKK85" s="70">
        <v>0</v>
      </c>
      <c r="MKL85" s="70">
        <v>0</v>
      </c>
      <c r="MKM85" s="70">
        <v>0</v>
      </c>
      <c r="MKN85" s="70">
        <v>0</v>
      </c>
      <c r="MKO85" s="70">
        <v>0</v>
      </c>
      <c r="MKP85" s="70">
        <v>0</v>
      </c>
      <c r="MKQ85" s="70">
        <v>0</v>
      </c>
      <c r="MKR85" s="70">
        <v>0</v>
      </c>
      <c r="MKS85" s="70">
        <v>0</v>
      </c>
      <c r="MKT85" s="70">
        <v>0</v>
      </c>
      <c r="MKU85" s="70">
        <v>0</v>
      </c>
      <c r="MKV85" s="70">
        <v>0</v>
      </c>
      <c r="MKW85" s="70">
        <v>0</v>
      </c>
      <c r="MKX85" s="70">
        <v>0</v>
      </c>
      <c r="MKY85" s="70">
        <v>0</v>
      </c>
      <c r="MKZ85" s="70">
        <v>0</v>
      </c>
      <c r="MLA85" s="70">
        <v>0</v>
      </c>
      <c r="MLB85" s="70">
        <v>0</v>
      </c>
      <c r="MLC85" s="70">
        <v>0</v>
      </c>
      <c r="MLD85" s="70">
        <v>0</v>
      </c>
      <c r="MLE85" s="70">
        <v>0</v>
      </c>
      <c r="MLF85" s="70">
        <v>0</v>
      </c>
      <c r="MLG85" s="70">
        <v>0</v>
      </c>
      <c r="MLH85" s="70">
        <v>0</v>
      </c>
      <c r="MLI85" s="70">
        <v>0</v>
      </c>
      <c r="MLJ85" s="70">
        <v>0</v>
      </c>
      <c r="MLK85" s="70">
        <v>0</v>
      </c>
      <c r="MLL85" s="70">
        <v>0</v>
      </c>
      <c r="MLM85" s="70">
        <v>0</v>
      </c>
      <c r="MLN85" s="70">
        <v>0</v>
      </c>
      <c r="MLO85" s="70">
        <v>0</v>
      </c>
      <c r="MLP85" s="70">
        <v>0</v>
      </c>
      <c r="MLQ85" s="70">
        <v>0</v>
      </c>
      <c r="MLR85" s="70">
        <v>0</v>
      </c>
      <c r="MLS85" s="70">
        <v>0</v>
      </c>
      <c r="MLT85" s="70">
        <v>0</v>
      </c>
      <c r="MLU85" s="70">
        <v>0</v>
      </c>
      <c r="MLV85" s="70">
        <v>0</v>
      </c>
      <c r="MLW85" s="70">
        <v>0</v>
      </c>
      <c r="MLX85" s="70">
        <v>0</v>
      </c>
      <c r="MLY85" s="70">
        <v>0</v>
      </c>
      <c r="MLZ85" s="70">
        <v>0</v>
      </c>
      <c r="MMA85" s="70">
        <v>0</v>
      </c>
      <c r="MMB85" s="70">
        <v>0</v>
      </c>
      <c r="MMC85" s="70">
        <v>0</v>
      </c>
      <c r="MMD85" s="70">
        <v>0</v>
      </c>
      <c r="MME85" s="70">
        <v>0</v>
      </c>
      <c r="MMF85" s="70">
        <v>0</v>
      </c>
      <c r="MMG85" s="70">
        <v>0</v>
      </c>
      <c r="MMH85" s="70">
        <v>0</v>
      </c>
      <c r="MMI85" s="70">
        <v>0</v>
      </c>
      <c r="MMJ85" s="70">
        <v>0</v>
      </c>
      <c r="MMK85" s="70">
        <v>0</v>
      </c>
      <c r="MML85" s="70">
        <v>0</v>
      </c>
      <c r="MMM85" s="70">
        <v>0</v>
      </c>
      <c r="MMN85" s="70">
        <v>0</v>
      </c>
      <c r="MMO85" s="70">
        <v>0</v>
      </c>
      <c r="MMP85" s="70">
        <v>0</v>
      </c>
      <c r="MMQ85" s="70">
        <v>0</v>
      </c>
      <c r="MMR85" s="70">
        <v>0</v>
      </c>
      <c r="MMS85" s="70">
        <v>0</v>
      </c>
      <c r="MMT85" s="70">
        <v>0</v>
      </c>
      <c r="MMU85" s="70">
        <v>0</v>
      </c>
      <c r="MMV85" s="70">
        <v>0</v>
      </c>
      <c r="MMW85" s="70">
        <v>0</v>
      </c>
      <c r="MMX85" s="70">
        <v>0</v>
      </c>
      <c r="MMY85" s="70">
        <v>0</v>
      </c>
      <c r="MMZ85" s="70">
        <v>0</v>
      </c>
      <c r="MNA85" s="70">
        <v>0</v>
      </c>
      <c r="MNB85" s="70">
        <v>0</v>
      </c>
      <c r="MNC85" s="70">
        <v>0</v>
      </c>
      <c r="MND85" s="70">
        <v>0</v>
      </c>
      <c r="MNE85" s="70">
        <v>0</v>
      </c>
      <c r="MNF85" s="70">
        <v>0</v>
      </c>
      <c r="MNG85" s="70">
        <v>0</v>
      </c>
      <c r="MNH85" s="70">
        <v>0</v>
      </c>
      <c r="MNI85" s="70">
        <v>0</v>
      </c>
      <c r="MNJ85" s="70">
        <v>0</v>
      </c>
      <c r="MNK85" s="70">
        <v>0</v>
      </c>
      <c r="MNL85" s="70">
        <v>0</v>
      </c>
      <c r="MNM85" s="70">
        <v>0</v>
      </c>
      <c r="MNN85" s="70">
        <v>0</v>
      </c>
      <c r="MNO85" s="70">
        <v>0</v>
      </c>
      <c r="MNP85" s="70">
        <v>0</v>
      </c>
      <c r="MNQ85" s="70">
        <v>0</v>
      </c>
      <c r="MNR85" s="70">
        <v>0</v>
      </c>
      <c r="MNS85" s="70">
        <v>0</v>
      </c>
      <c r="MNT85" s="70">
        <v>0</v>
      </c>
      <c r="MNU85" s="70">
        <v>0</v>
      </c>
      <c r="MNV85" s="70">
        <v>0</v>
      </c>
      <c r="MNW85" s="70">
        <v>0</v>
      </c>
      <c r="MNX85" s="70">
        <v>0</v>
      </c>
      <c r="MNY85" s="70">
        <v>0</v>
      </c>
      <c r="MNZ85" s="70">
        <v>0</v>
      </c>
      <c r="MOA85" s="70">
        <v>0</v>
      </c>
      <c r="MOB85" s="70">
        <v>0</v>
      </c>
      <c r="MOC85" s="70">
        <v>0</v>
      </c>
      <c r="MOD85" s="70">
        <v>0</v>
      </c>
      <c r="MOE85" s="70">
        <v>0</v>
      </c>
      <c r="MOF85" s="70">
        <v>0</v>
      </c>
      <c r="MOG85" s="70">
        <v>0</v>
      </c>
      <c r="MOH85" s="70">
        <v>0</v>
      </c>
      <c r="MOI85" s="70">
        <v>0</v>
      </c>
      <c r="MOJ85" s="70">
        <v>0</v>
      </c>
      <c r="MOK85" s="70">
        <v>0</v>
      </c>
      <c r="MOL85" s="70">
        <v>0</v>
      </c>
      <c r="MOM85" s="70">
        <v>0</v>
      </c>
      <c r="MON85" s="70">
        <v>0</v>
      </c>
      <c r="MOO85" s="70">
        <v>0</v>
      </c>
      <c r="MOP85" s="70">
        <v>0</v>
      </c>
      <c r="MOQ85" s="70">
        <v>0</v>
      </c>
      <c r="MOR85" s="70">
        <v>0</v>
      </c>
      <c r="MOS85" s="70">
        <v>0</v>
      </c>
      <c r="MOT85" s="70">
        <v>0</v>
      </c>
      <c r="MOU85" s="70">
        <v>0</v>
      </c>
      <c r="MOV85" s="70">
        <v>0</v>
      </c>
      <c r="MOW85" s="70">
        <v>0</v>
      </c>
      <c r="MOX85" s="70">
        <v>0</v>
      </c>
      <c r="MOY85" s="70">
        <v>0</v>
      </c>
      <c r="MOZ85" s="70">
        <v>0</v>
      </c>
      <c r="MPA85" s="70">
        <v>0</v>
      </c>
      <c r="MPB85" s="70">
        <v>0</v>
      </c>
      <c r="MPC85" s="70">
        <v>0</v>
      </c>
      <c r="MPD85" s="70">
        <v>0</v>
      </c>
      <c r="MPE85" s="70">
        <v>0</v>
      </c>
      <c r="MPF85" s="70">
        <v>0</v>
      </c>
      <c r="MPG85" s="70">
        <v>0</v>
      </c>
      <c r="MPH85" s="70">
        <v>0</v>
      </c>
      <c r="MPI85" s="70">
        <v>0</v>
      </c>
      <c r="MPJ85" s="70">
        <v>0</v>
      </c>
      <c r="MPK85" s="70">
        <v>0</v>
      </c>
      <c r="MPL85" s="70">
        <v>0</v>
      </c>
      <c r="MPM85" s="70">
        <v>0</v>
      </c>
      <c r="MPN85" s="70">
        <v>0</v>
      </c>
      <c r="MPO85" s="70">
        <v>0</v>
      </c>
      <c r="MPP85" s="70">
        <v>0</v>
      </c>
      <c r="MPQ85" s="70">
        <v>0</v>
      </c>
      <c r="MPR85" s="70">
        <v>0</v>
      </c>
      <c r="MPS85" s="70">
        <v>0</v>
      </c>
      <c r="MPT85" s="70">
        <v>0</v>
      </c>
      <c r="MPU85" s="70">
        <v>0</v>
      </c>
      <c r="MPV85" s="70">
        <v>0</v>
      </c>
      <c r="MPW85" s="70">
        <v>0</v>
      </c>
      <c r="MPX85" s="70">
        <v>0</v>
      </c>
      <c r="MPY85" s="70">
        <v>0</v>
      </c>
      <c r="MPZ85" s="70">
        <v>0</v>
      </c>
      <c r="MQA85" s="70">
        <v>0</v>
      </c>
      <c r="MQB85" s="70">
        <v>0</v>
      </c>
      <c r="MQC85" s="70">
        <v>0</v>
      </c>
      <c r="MQD85" s="70">
        <v>0</v>
      </c>
      <c r="MQE85" s="70">
        <v>0</v>
      </c>
      <c r="MQF85" s="70">
        <v>0</v>
      </c>
      <c r="MQG85" s="70">
        <v>0</v>
      </c>
      <c r="MQH85" s="70">
        <v>0</v>
      </c>
      <c r="MQI85" s="70">
        <v>0</v>
      </c>
      <c r="MQJ85" s="70">
        <v>0</v>
      </c>
      <c r="MQK85" s="70">
        <v>0</v>
      </c>
      <c r="MQL85" s="70">
        <v>0</v>
      </c>
      <c r="MQM85" s="70">
        <v>0</v>
      </c>
      <c r="MQN85" s="70">
        <v>0</v>
      </c>
      <c r="MQO85" s="70">
        <v>0</v>
      </c>
      <c r="MQP85" s="70">
        <v>0</v>
      </c>
      <c r="MQQ85" s="70">
        <v>0</v>
      </c>
      <c r="MQR85" s="70">
        <v>0</v>
      </c>
      <c r="MQS85" s="70">
        <v>0</v>
      </c>
      <c r="MQT85" s="70">
        <v>0</v>
      </c>
      <c r="MQU85" s="70">
        <v>0</v>
      </c>
      <c r="MQV85" s="70">
        <v>0</v>
      </c>
      <c r="MQW85" s="70">
        <v>0</v>
      </c>
      <c r="MQX85" s="70">
        <v>0</v>
      </c>
      <c r="MQY85" s="70">
        <v>0</v>
      </c>
      <c r="MQZ85" s="70">
        <v>0</v>
      </c>
      <c r="MRA85" s="70">
        <v>0</v>
      </c>
      <c r="MRB85" s="70">
        <v>0</v>
      </c>
      <c r="MRC85" s="70">
        <v>0</v>
      </c>
      <c r="MRD85" s="70">
        <v>0</v>
      </c>
      <c r="MRE85" s="70">
        <v>0</v>
      </c>
      <c r="MRF85" s="70">
        <v>0</v>
      </c>
      <c r="MRG85" s="70">
        <v>0</v>
      </c>
      <c r="MRH85" s="70">
        <v>0</v>
      </c>
      <c r="MRI85" s="70">
        <v>0</v>
      </c>
      <c r="MRJ85" s="70">
        <v>0</v>
      </c>
      <c r="MRK85" s="70">
        <v>0</v>
      </c>
      <c r="MRL85" s="70">
        <v>0</v>
      </c>
      <c r="MRM85" s="70">
        <v>0</v>
      </c>
      <c r="MRN85" s="70">
        <v>0</v>
      </c>
      <c r="MRO85" s="70">
        <v>0</v>
      </c>
      <c r="MRP85" s="70">
        <v>0</v>
      </c>
      <c r="MRQ85" s="70">
        <v>0</v>
      </c>
      <c r="MRR85" s="70">
        <v>0</v>
      </c>
      <c r="MRS85" s="70">
        <v>0</v>
      </c>
      <c r="MRT85" s="70">
        <v>0</v>
      </c>
      <c r="MRU85" s="70">
        <v>0</v>
      </c>
      <c r="MRV85" s="70">
        <v>0</v>
      </c>
      <c r="MRW85" s="70">
        <v>0</v>
      </c>
      <c r="MRX85" s="70">
        <v>0</v>
      </c>
      <c r="MRY85" s="70">
        <v>0</v>
      </c>
      <c r="MRZ85" s="70">
        <v>0</v>
      </c>
      <c r="MSA85" s="70">
        <v>0</v>
      </c>
      <c r="MSB85" s="70">
        <v>0</v>
      </c>
      <c r="MSC85" s="70">
        <v>0</v>
      </c>
      <c r="MSD85" s="70">
        <v>0</v>
      </c>
      <c r="MSE85" s="70">
        <v>0</v>
      </c>
      <c r="MSF85" s="70">
        <v>0</v>
      </c>
      <c r="MSG85" s="70">
        <v>0</v>
      </c>
      <c r="MSH85" s="70">
        <v>0</v>
      </c>
      <c r="MSI85" s="70">
        <v>0</v>
      </c>
      <c r="MSJ85" s="70">
        <v>0</v>
      </c>
      <c r="MSK85" s="70">
        <v>0</v>
      </c>
      <c r="MSL85" s="70">
        <v>0</v>
      </c>
      <c r="MSM85" s="70">
        <v>0</v>
      </c>
      <c r="MSN85" s="70">
        <v>0</v>
      </c>
      <c r="MSO85" s="70">
        <v>0</v>
      </c>
      <c r="MSP85" s="70">
        <v>0</v>
      </c>
      <c r="MSQ85" s="70">
        <v>0</v>
      </c>
      <c r="MSR85" s="70">
        <v>0</v>
      </c>
      <c r="MSS85" s="70">
        <v>0</v>
      </c>
      <c r="MST85" s="70">
        <v>0</v>
      </c>
      <c r="MSU85" s="70">
        <v>0</v>
      </c>
      <c r="MSV85" s="70">
        <v>0</v>
      </c>
      <c r="MSW85" s="70">
        <v>0</v>
      </c>
      <c r="MSX85" s="70">
        <v>0</v>
      </c>
      <c r="MSY85" s="70">
        <v>0</v>
      </c>
      <c r="MSZ85" s="70">
        <v>0</v>
      </c>
      <c r="MTA85" s="70">
        <v>0</v>
      </c>
      <c r="MTB85" s="70">
        <v>0</v>
      </c>
      <c r="MTC85" s="70">
        <v>0</v>
      </c>
      <c r="MTD85" s="70">
        <v>0</v>
      </c>
      <c r="MTE85" s="70">
        <v>0</v>
      </c>
      <c r="MTF85" s="70">
        <v>0</v>
      </c>
      <c r="MTG85" s="70">
        <v>0</v>
      </c>
      <c r="MTH85" s="70">
        <v>0</v>
      </c>
      <c r="MTI85" s="70">
        <v>0</v>
      </c>
      <c r="MTJ85" s="70">
        <v>0</v>
      </c>
      <c r="MTK85" s="70">
        <v>0</v>
      </c>
      <c r="MTL85" s="70">
        <v>0</v>
      </c>
      <c r="MTM85" s="70">
        <v>0</v>
      </c>
      <c r="MTN85" s="70">
        <v>0</v>
      </c>
      <c r="MTO85" s="70">
        <v>0</v>
      </c>
      <c r="MTP85" s="70">
        <v>0</v>
      </c>
      <c r="MTQ85" s="70">
        <v>0</v>
      </c>
      <c r="MTR85" s="70">
        <v>0</v>
      </c>
      <c r="MTS85" s="70">
        <v>0</v>
      </c>
      <c r="MTT85" s="70">
        <v>0</v>
      </c>
      <c r="MTU85" s="70">
        <v>0</v>
      </c>
      <c r="MTV85" s="70">
        <v>0</v>
      </c>
      <c r="MTW85" s="70">
        <v>0</v>
      </c>
      <c r="MTX85" s="70">
        <v>0</v>
      </c>
      <c r="MTY85" s="70">
        <v>0</v>
      </c>
      <c r="MTZ85" s="70">
        <v>0</v>
      </c>
      <c r="MUA85" s="70">
        <v>0</v>
      </c>
      <c r="MUB85" s="70">
        <v>0</v>
      </c>
      <c r="MUC85" s="70">
        <v>0</v>
      </c>
      <c r="MUD85" s="70">
        <v>0</v>
      </c>
      <c r="MUE85" s="70">
        <v>0</v>
      </c>
      <c r="MUF85" s="70">
        <v>0</v>
      </c>
      <c r="MUG85" s="70">
        <v>0</v>
      </c>
      <c r="MUH85" s="70">
        <v>0</v>
      </c>
      <c r="MUI85" s="70">
        <v>0</v>
      </c>
      <c r="MUJ85" s="70">
        <v>0</v>
      </c>
      <c r="MUK85" s="70">
        <v>0</v>
      </c>
      <c r="MUL85" s="70">
        <v>0</v>
      </c>
      <c r="MUM85" s="70">
        <v>0</v>
      </c>
      <c r="MUN85" s="70">
        <v>0</v>
      </c>
      <c r="MUO85" s="70">
        <v>0</v>
      </c>
      <c r="MUP85" s="70">
        <v>0</v>
      </c>
      <c r="MUQ85" s="70">
        <v>0</v>
      </c>
      <c r="MUR85" s="70">
        <v>0</v>
      </c>
      <c r="MUS85" s="70">
        <v>0</v>
      </c>
      <c r="MUT85" s="70">
        <v>0</v>
      </c>
      <c r="MUU85" s="70">
        <v>0</v>
      </c>
      <c r="MUV85" s="70">
        <v>0</v>
      </c>
      <c r="MUW85" s="70">
        <v>0</v>
      </c>
      <c r="MUX85" s="70">
        <v>0</v>
      </c>
      <c r="MUY85" s="70">
        <v>0</v>
      </c>
      <c r="MUZ85" s="70">
        <v>0</v>
      </c>
      <c r="MVA85" s="70">
        <v>0</v>
      </c>
      <c r="MVB85" s="70">
        <v>0</v>
      </c>
      <c r="MVC85" s="70">
        <v>0</v>
      </c>
      <c r="MVD85" s="70">
        <v>0</v>
      </c>
      <c r="MVE85" s="70">
        <v>0</v>
      </c>
      <c r="MVF85" s="70">
        <v>0</v>
      </c>
      <c r="MVG85" s="70">
        <v>0</v>
      </c>
      <c r="MVH85" s="70">
        <v>0</v>
      </c>
      <c r="MVI85" s="70">
        <v>0</v>
      </c>
      <c r="MVJ85" s="70">
        <v>0</v>
      </c>
      <c r="MVK85" s="70">
        <v>0</v>
      </c>
      <c r="MVL85" s="70">
        <v>0</v>
      </c>
      <c r="MVM85" s="70">
        <v>0</v>
      </c>
      <c r="MVN85" s="70">
        <v>0</v>
      </c>
      <c r="MVO85" s="70">
        <v>0</v>
      </c>
      <c r="MVP85" s="70">
        <v>0</v>
      </c>
      <c r="MVQ85" s="70">
        <v>0</v>
      </c>
      <c r="MVR85" s="70">
        <v>0</v>
      </c>
      <c r="MVS85" s="70">
        <v>0</v>
      </c>
      <c r="MVT85" s="70">
        <v>0</v>
      </c>
      <c r="MVU85" s="70">
        <v>0</v>
      </c>
      <c r="MVV85" s="70">
        <v>0</v>
      </c>
      <c r="MVW85" s="70">
        <v>0</v>
      </c>
      <c r="MVX85" s="70">
        <v>0</v>
      </c>
      <c r="MVY85" s="70">
        <v>0</v>
      </c>
      <c r="MVZ85" s="70">
        <v>0</v>
      </c>
      <c r="MWA85" s="70">
        <v>0</v>
      </c>
      <c r="MWB85" s="70">
        <v>0</v>
      </c>
      <c r="MWC85" s="70">
        <v>0</v>
      </c>
      <c r="MWD85" s="70">
        <v>0</v>
      </c>
      <c r="MWE85" s="70">
        <v>0</v>
      </c>
      <c r="MWF85" s="70">
        <v>0</v>
      </c>
      <c r="MWG85" s="70">
        <v>0</v>
      </c>
      <c r="MWH85" s="70">
        <v>0</v>
      </c>
      <c r="MWI85" s="70">
        <v>0</v>
      </c>
      <c r="MWJ85" s="70">
        <v>0</v>
      </c>
      <c r="MWK85" s="70">
        <v>0</v>
      </c>
      <c r="MWL85" s="70">
        <v>0</v>
      </c>
      <c r="MWM85" s="70">
        <v>0</v>
      </c>
      <c r="MWN85" s="70">
        <v>0</v>
      </c>
      <c r="MWO85" s="70">
        <v>0</v>
      </c>
      <c r="MWP85" s="70">
        <v>0</v>
      </c>
      <c r="MWQ85" s="70">
        <v>0</v>
      </c>
      <c r="MWR85" s="70">
        <v>0</v>
      </c>
      <c r="MWS85" s="70">
        <v>0</v>
      </c>
      <c r="MWT85" s="70">
        <v>0</v>
      </c>
      <c r="MWU85" s="70">
        <v>0</v>
      </c>
      <c r="MWV85" s="70">
        <v>0</v>
      </c>
      <c r="MWW85" s="70">
        <v>0</v>
      </c>
      <c r="MWX85" s="70">
        <v>0</v>
      </c>
      <c r="MWY85" s="70">
        <v>0</v>
      </c>
      <c r="MWZ85" s="70">
        <v>0</v>
      </c>
      <c r="MXA85" s="70">
        <v>0</v>
      </c>
      <c r="MXB85" s="70">
        <v>0</v>
      </c>
      <c r="MXC85" s="70">
        <v>0</v>
      </c>
      <c r="MXD85" s="70">
        <v>0</v>
      </c>
      <c r="MXE85" s="70">
        <v>0</v>
      </c>
      <c r="MXF85" s="70">
        <v>0</v>
      </c>
      <c r="MXG85" s="70">
        <v>0</v>
      </c>
      <c r="MXH85" s="70">
        <v>0</v>
      </c>
      <c r="MXI85" s="70">
        <v>0</v>
      </c>
      <c r="MXJ85" s="70">
        <v>0</v>
      </c>
      <c r="MXK85" s="70">
        <v>0</v>
      </c>
      <c r="MXL85" s="70">
        <v>0</v>
      </c>
      <c r="MXM85" s="70">
        <v>0</v>
      </c>
      <c r="MXN85" s="70">
        <v>0</v>
      </c>
      <c r="MXO85" s="70">
        <v>0</v>
      </c>
      <c r="MXP85" s="70">
        <v>0</v>
      </c>
      <c r="MXQ85" s="70">
        <v>0</v>
      </c>
      <c r="MXR85" s="70">
        <v>0</v>
      </c>
      <c r="MXS85" s="70">
        <v>0</v>
      </c>
      <c r="MXT85" s="70">
        <v>0</v>
      </c>
      <c r="MXU85" s="70">
        <v>0</v>
      </c>
      <c r="MXV85" s="70">
        <v>0</v>
      </c>
      <c r="MXW85" s="70">
        <v>0</v>
      </c>
      <c r="MXX85" s="70">
        <v>0</v>
      </c>
      <c r="MXY85" s="70">
        <v>0</v>
      </c>
      <c r="MXZ85" s="70">
        <v>0</v>
      </c>
      <c r="MYA85" s="70">
        <v>0</v>
      </c>
      <c r="MYB85" s="70">
        <v>0</v>
      </c>
      <c r="MYC85" s="70">
        <v>0</v>
      </c>
      <c r="MYD85" s="70">
        <v>0</v>
      </c>
      <c r="MYE85" s="70">
        <v>0</v>
      </c>
      <c r="MYF85" s="70">
        <v>0</v>
      </c>
      <c r="MYG85" s="70">
        <v>0</v>
      </c>
      <c r="MYH85" s="70">
        <v>0</v>
      </c>
      <c r="MYI85" s="70">
        <v>0</v>
      </c>
      <c r="MYJ85" s="70">
        <v>0</v>
      </c>
      <c r="MYK85" s="70">
        <v>0</v>
      </c>
      <c r="MYL85" s="70">
        <v>0</v>
      </c>
      <c r="MYM85" s="70">
        <v>0</v>
      </c>
      <c r="MYN85" s="70">
        <v>0</v>
      </c>
      <c r="MYO85" s="70">
        <v>0</v>
      </c>
      <c r="MYP85" s="70">
        <v>0</v>
      </c>
      <c r="MYQ85" s="70">
        <v>0</v>
      </c>
      <c r="MYR85" s="70">
        <v>0</v>
      </c>
      <c r="MYS85" s="70">
        <v>0</v>
      </c>
      <c r="MYT85" s="70">
        <v>0</v>
      </c>
      <c r="MYU85" s="70">
        <v>0</v>
      </c>
      <c r="MYV85" s="70">
        <v>0</v>
      </c>
      <c r="MYW85" s="70">
        <v>0</v>
      </c>
      <c r="MYX85" s="70">
        <v>0</v>
      </c>
      <c r="MYY85" s="70">
        <v>0</v>
      </c>
      <c r="MYZ85" s="70">
        <v>0</v>
      </c>
      <c r="MZA85" s="70">
        <v>0</v>
      </c>
      <c r="MZB85" s="70">
        <v>0</v>
      </c>
      <c r="MZC85" s="70">
        <v>0</v>
      </c>
      <c r="MZD85" s="70">
        <v>0</v>
      </c>
      <c r="MZE85" s="70">
        <v>0</v>
      </c>
      <c r="MZF85" s="70">
        <v>0</v>
      </c>
      <c r="MZG85" s="70">
        <v>0</v>
      </c>
      <c r="MZH85" s="70">
        <v>0</v>
      </c>
      <c r="MZI85" s="70">
        <v>0</v>
      </c>
      <c r="MZJ85" s="70">
        <v>0</v>
      </c>
      <c r="MZK85" s="70">
        <v>0</v>
      </c>
      <c r="MZL85" s="70">
        <v>0</v>
      </c>
      <c r="MZM85" s="70">
        <v>0</v>
      </c>
      <c r="MZN85" s="70">
        <v>0</v>
      </c>
      <c r="MZO85" s="70">
        <v>0</v>
      </c>
      <c r="MZP85" s="70">
        <v>0</v>
      </c>
      <c r="MZQ85" s="70">
        <v>0</v>
      </c>
      <c r="MZR85" s="70">
        <v>0</v>
      </c>
      <c r="MZS85" s="70">
        <v>0</v>
      </c>
      <c r="MZT85" s="70">
        <v>0</v>
      </c>
      <c r="MZU85" s="70">
        <v>0</v>
      </c>
      <c r="MZV85" s="70">
        <v>0</v>
      </c>
      <c r="MZW85" s="70">
        <v>0</v>
      </c>
      <c r="MZX85" s="70">
        <v>0</v>
      </c>
      <c r="MZY85" s="70">
        <v>0</v>
      </c>
      <c r="MZZ85" s="70">
        <v>0</v>
      </c>
      <c r="NAA85" s="70">
        <v>0</v>
      </c>
      <c r="NAB85" s="70">
        <v>0</v>
      </c>
      <c r="NAC85" s="70">
        <v>0</v>
      </c>
      <c r="NAD85" s="70">
        <v>0</v>
      </c>
      <c r="NAE85" s="70">
        <v>0</v>
      </c>
      <c r="NAF85" s="70">
        <v>0</v>
      </c>
      <c r="NAG85" s="70">
        <v>0</v>
      </c>
      <c r="NAH85" s="70">
        <v>0</v>
      </c>
      <c r="NAI85" s="70">
        <v>0</v>
      </c>
      <c r="NAJ85" s="70">
        <v>0</v>
      </c>
      <c r="NAK85" s="70">
        <v>0</v>
      </c>
      <c r="NAL85" s="70">
        <v>0</v>
      </c>
      <c r="NAM85" s="70">
        <v>0</v>
      </c>
      <c r="NAN85" s="70">
        <v>0</v>
      </c>
      <c r="NAO85" s="70">
        <v>0</v>
      </c>
      <c r="NAP85" s="70">
        <v>0</v>
      </c>
      <c r="NAQ85" s="70">
        <v>0</v>
      </c>
      <c r="NAR85" s="70">
        <v>0</v>
      </c>
      <c r="NAS85" s="70">
        <v>0</v>
      </c>
      <c r="NAT85" s="70">
        <v>0</v>
      </c>
      <c r="NAU85" s="70">
        <v>0</v>
      </c>
      <c r="NAV85" s="70">
        <v>0</v>
      </c>
      <c r="NAW85" s="70">
        <v>0</v>
      </c>
      <c r="NAX85" s="70">
        <v>0</v>
      </c>
      <c r="NAY85" s="70">
        <v>0</v>
      </c>
      <c r="NAZ85" s="70">
        <v>0</v>
      </c>
      <c r="NBA85" s="70">
        <v>0</v>
      </c>
      <c r="NBB85" s="70">
        <v>0</v>
      </c>
      <c r="NBC85" s="70">
        <v>0</v>
      </c>
      <c r="NBD85" s="70">
        <v>0</v>
      </c>
      <c r="NBE85" s="70">
        <v>0</v>
      </c>
      <c r="NBF85" s="70">
        <v>0</v>
      </c>
      <c r="NBG85" s="70">
        <v>0</v>
      </c>
      <c r="NBH85" s="70">
        <v>0</v>
      </c>
      <c r="NBI85" s="70">
        <v>0</v>
      </c>
      <c r="NBJ85" s="70">
        <v>0</v>
      </c>
      <c r="NBK85" s="70">
        <v>0</v>
      </c>
      <c r="NBL85" s="70">
        <v>0</v>
      </c>
      <c r="NBM85" s="70">
        <v>0</v>
      </c>
      <c r="NBN85" s="70">
        <v>0</v>
      </c>
      <c r="NBO85" s="70">
        <v>0</v>
      </c>
      <c r="NBP85" s="70">
        <v>0</v>
      </c>
      <c r="NBQ85" s="70">
        <v>0</v>
      </c>
      <c r="NBR85" s="70">
        <v>0</v>
      </c>
      <c r="NBS85" s="70">
        <v>0</v>
      </c>
      <c r="NBT85" s="70">
        <v>0</v>
      </c>
      <c r="NBU85" s="70">
        <v>0</v>
      </c>
      <c r="NBV85" s="70">
        <v>0</v>
      </c>
      <c r="NBW85" s="70">
        <v>0</v>
      </c>
      <c r="NBX85" s="70">
        <v>0</v>
      </c>
      <c r="NBY85" s="70">
        <v>0</v>
      </c>
      <c r="NBZ85" s="70">
        <v>0</v>
      </c>
      <c r="NCA85" s="70">
        <v>0</v>
      </c>
      <c r="NCB85" s="70">
        <v>0</v>
      </c>
      <c r="NCC85" s="70">
        <v>0</v>
      </c>
      <c r="NCD85" s="70">
        <v>0</v>
      </c>
      <c r="NCE85" s="70">
        <v>0</v>
      </c>
      <c r="NCF85" s="70">
        <v>0</v>
      </c>
      <c r="NCG85" s="70">
        <v>0</v>
      </c>
      <c r="NCH85" s="70">
        <v>0</v>
      </c>
      <c r="NCI85" s="70">
        <v>0</v>
      </c>
      <c r="NCJ85" s="70">
        <v>0</v>
      </c>
      <c r="NCK85" s="70">
        <v>0</v>
      </c>
      <c r="NCL85" s="70">
        <v>0</v>
      </c>
      <c r="NCM85" s="70">
        <v>0</v>
      </c>
      <c r="NCN85" s="70">
        <v>0</v>
      </c>
      <c r="NCO85" s="70">
        <v>0</v>
      </c>
      <c r="NCP85" s="70">
        <v>0</v>
      </c>
      <c r="NCQ85" s="70">
        <v>0</v>
      </c>
      <c r="NCR85" s="70">
        <v>0</v>
      </c>
      <c r="NCS85" s="70">
        <v>0</v>
      </c>
      <c r="NCT85" s="70">
        <v>0</v>
      </c>
      <c r="NCU85" s="70">
        <v>0</v>
      </c>
      <c r="NCV85" s="70">
        <v>0</v>
      </c>
      <c r="NCW85" s="70">
        <v>0</v>
      </c>
      <c r="NCX85" s="70">
        <v>0</v>
      </c>
      <c r="NCY85" s="70">
        <v>0</v>
      </c>
      <c r="NCZ85" s="70">
        <v>0</v>
      </c>
      <c r="NDA85" s="70">
        <v>0</v>
      </c>
      <c r="NDB85" s="70">
        <v>0</v>
      </c>
      <c r="NDC85" s="70">
        <v>0</v>
      </c>
      <c r="NDD85" s="70">
        <v>0</v>
      </c>
      <c r="NDE85" s="70">
        <v>0</v>
      </c>
      <c r="NDF85" s="70">
        <v>0</v>
      </c>
      <c r="NDG85" s="70">
        <v>0</v>
      </c>
      <c r="NDH85" s="70">
        <v>0</v>
      </c>
      <c r="NDI85" s="70">
        <v>0</v>
      </c>
      <c r="NDJ85" s="70">
        <v>0</v>
      </c>
      <c r="NDK85" s="70">
        <v>0</v>
      </c>
      <c r="NDL85" s="70">
        <v>0</v>
      </c>
      <c r="NDM85" s="70">
        <v>0</v>
      </c>
      <c r="NDN85" s="70">
        <v>0</v>
      </c>
      <c r="NDO85" s="70">
        <v>0</v>
      </c>
      <c r="NDP85" s="70">
        <v>0</v>
      </c>
      <c r="NDQ85" s="70">
        <v>0</v>
      </c>
      <c r="NDR85" s="70">
        <v>0</v>
      </c>
      <c r="NDS85" s="70">
        <v>0</v>
      </c>
      <c r="NDT85" s="70">
        <v>0</v>
      </c>
      <c r="NDU85" s="70">
        <v>0</v>
      </c>
      <c r="NDV85" s="70">
        <v>0</v>
      </c>
      <c r="NDW85" s="70">
        <v>0</v>
      </c>
      <c r="NDX85" s="70">
        <v>0</v>
      </c>
      <c r="NDY85" s="70">
        <v>0</v>
      </c>
      <c r="NDZ85" s="70">
        <v>0</v>
      </c>
      <c r="NEA85" s="70">
        <v>0</v>
      </c>
      <c r="NEB85" s="70">
        <v>0</v>
      </c>
      <c r="NEC85" s="70">
        <v>0</v>
      </c>
      <c r="NED85" s="70">
        <v>0</v>
      </c>
      <c r="NEE85" s="70">
        <v>0</v>
      </c>
      <c r="NEF85" s="70">
        <v>0</v>
      </c>
      <c r="NEG85" s="70">
        <v>0</v>
      </c>
      <c r="NEH85" s="70">
        <v>0</v>
      </c>
      <c r="NEI85" s="70">
        <v>0</v>
      </c>
      <c r="NEJ85" s="70">
        <v>0</v>
      </c>
      <c r="NEK85" s="70">
        <v>0</v>
      </c>
      <c r="NEL85" s="70">
        <v>0</v>
      </c>
      <c r="NEM85" s="70">
        <v>0</v>
      </c>
      <c r="NEN85" s="70">
        <v>0</v>
      </c>
      <c r="NEO85" s="70">
        <v>0</v>
      </c>
      <c r="NEP85" s="70">
        <v>0</v>
      </c>
      <c r="NEQ85" s="70">
        <v>0</v>
      </c>
      <c r="NER85" s="70">
        <v>0</v>
      </c>
      <c r="NES85" s="70">
        <v>0</v>
      </c>
      <c r="NET85" s="70">
        <v>0</v>
      </c>
      <c r="NEU85" s="70">
        <v>0</v>
      </c>
      <c r="NEV85" s="70">
        <v>0</v>
      </c>
      <c r="NEW85" s="70">
        <v>0</v>
      </c>
      <c r="NEX85" s="70">
        <v>0</v>
      </c>
      <c r="NEY85" s="70">
        <v>0</v>
      </c>
      <c r="NEZ85" s="70">
        <v>0</v>
      </c>
      <c r="NFA85" s="70">
        <v>0</v>
      </c>
      <c r="NFB85" s="70">
        <v>0</v>
      </c>
      <c r="NFC85" s="70">
        <v>0</v>
      </c>
      <c r="NFD85" s="70">
        <v>0</v>
      </c>
      <c r="NFE85" s="70">
        <v>0</v>
      </c>
      <c r="NFF85" s="70">
        <v>0</v>
      </c>
      <c r="NFG85" s="70">
        <v>0</v>
      </c>
      <c r="NFH85" s="70">
        <v>0</v>
      </c>
      <c r="NFI85" s="70">
        <v>0</v>
      </c>
      <c r="NFJ85" s="70">
        <v>0</v>
      </c>
      <c r="NFK85" s="70">
        <v>0</v>
      </c>
      <c r="NFL85" s="70">
        <v>0</v>
      </c>
      <c r="NFM85" s="70">
        <v>0</v>
      </c>
      <c r="NFN85" s="70">
        <v>0</v>
      </c>
      <c r="NFO85" s="70">
        <v>0</v>
      </c>
      <c r="NFP85" s="70">
        <v>0</v>
      </c>
      <c r="NFQ85" s="70">
        <v>0</v>
      </c>
      <c r="NFR85" s="70">
        <v>0</v>
      </c>
      <c r="NFS85" s="70">
        <v>0</v>
      </c>
      <c r="NFT85" s="70">
        <v>0</v>
      </c>
      <c r="NFU85" s="70">
        <v>0</v>
      </c>
      <c r="NFV85" s="70">
        <v>0</v>
      </c>
      <c r="NFW85" s="70">
        <v>0</v>
      </c>
      <c r="NFX85" s="70">
        <v>0</v>
      </c>
      <c r="NFY85" s="70">
        <v>0</v>
      </c>
      <c r="NFZ85" s="70">
        <v>0</v>
      </c>
      <c r="NGA85" s="70">
        <v>0</v>
      </c>
      <c r="NGB85" s="70">
        <v>0</v>
      </c>
      <c r="NGC85" s="70">
        <v>0</v>
      </c>
      <c r="NGD85" s="70">
        <v>0</v>
      </c>
      <c r="NGE85" s="70">
        <v>0</v>
      </c>
      <c r="NGF85" s="70">
        <v>0</v>
      </c>
      <c r="NGG85" s="70">
        <v>0</v>
      </c>
      <c r="NGH85" s="70">
        <v>0</v>
      </c>
      <c r="NGI85" s="70">
        <v>0</v>
      </c>
      <c r="NGJ85" s="70">
        <v>0</v>
      </c>
      <c r="NGK85" s="70">
        <v>0</v>
      </c>
      <c r="NGL85" s="70">
        <v>0</v>
      </c>
      <c r="NGM85" s="70">
        <v>0</v>
      </c>
      <c r="NGN85" s="70">
        <v>0</v>
      </c>
      <c r="NGO85" s="70">
        <v>0</v>
      </c>
      <c r="NGP85" s="70">
        <v>0</v>
      </c>
      <c r="NGQ85" s="70">
        <v>0</v>
      </c>
      <c r="NGR85" s="70">
        <v>0</v>
      </c>
      <c r="NGS85" s="70">
        <v>0</v>
      </c>
      <c r="NGT85" s="70">
        <v>0</v>
      </c>
      <c r="NGU85" s="70">
        <v>0</v>
      </c>
      <c r="NGV85" s="70">
        <v>0</v>
      </c>
      <c r="NGW85" s="70">
        <v>0</v>
      </c>
      <c r="NGX85" s="70">
        <v>0</v>
      </c>
      <c r="NGY85" s="70">
        <v>0</v>
      </c>
      <c r="NGZ85" s="70">
        <v>0</v>
      </c>
      <c r="NHA85" s="70">
        <v>0</v>
      </c>
      <c r="NHB85" s="70">
        <v>0</v>
      </c>
      <c r="NHC85" s="70">
        <v>0</v>
      </c>
      <c r="NHD85" s="70">
        <v>0</v>
      </c>
      <c r="NHE85" s="70">
        <v>0</v>
      </c>
      <c r="NHF85" s="70">
        <v>0</v>
      </c>
      <c r="NHG85" s="70">
        <v>0</v>
      </c>
      <c r="NHH85" s="70">
        <v>0</v>
      </c>
      <c r="NHI85" s="70">
        <v>0</v>
      </c>
      <c r="NHJ85" s="70">
        <v>0</v>
      </c>
      <c r="NHK85" s="70">
        <v>0</v>
      </c>
      <c r="NHL85" s="70">
        <v>0</v>
      </c>
      <c r="NHM85" s="70">
        <v>0</v>
      </c>
      <c r="NHN85" s="70">
        <v>0</v>
      </c>
      <c r="NHO85" s="70">
        <v>0</v>
      </c>
      <c r="NHP85" s="70">
        <v>0</v>
      </c>
      <c r="NHQ85" s="70">
        <v>0</v>
      </c>
      <c r="NHR85" s="70">
        <v>0</v>
      </c>
      <c r="NHS85" s="70">
        <v>0</v>
      </c>
      <c r="NHT85" s="70">
        <v>0</v>
      </c>
      <c r="NHU85" s="70">
        <v>0</v>
      </c>
      <c r="NHV85" s="70">
        <v>0</v>
      </c>
      <c r="NHW85" s="70">
        <v>0</v>
      </c>
      <c r="NHX85" s="70">
        <v>0</v>
      </c>
      <c r="NHY85" s="70">
        <v>0</v>
      </c>
      <c r="NHZ85" s="70">
        <v>0</v>
      </c>
      <c r="NIA85" s="70">
        <v>0</v>
      </c>
      <c r="NIB85" s="70">
        <v>0</v>
      </c>
      <c r="NIC85" s="70">
        <v>0</v>
      </c>
      <c r="NID85" s="70">
        <v>0</v>
      </c>
      <c r="NIE85" s="70">
        <v>0</v>
      </c>
      <c r="NIF85" s="70">
        <v>0</v>
      </c>
      <c r="NIG85" s="70">
        <v>0</v>
      </c>
      <c r="NIH85" s="70">
        <v>0</v>
      </c>
      <c r="NII85" s="70">
        <v>0</v>
      </c>
      <c r="NIJ85" s="70">
        <v>0</v>
      </c>
      <c r="NIK85" s="70">
        <v>0</v>
      </c>
      <c r="NIL85" s="70">
        <v>0</v>
      </c>
      <c r="NIM85" s="70">
        <v>0</v>
      </c>
      <c r="NIN85" s="70">
        <v>0</v>
      </c>
      <c r="NIO85" s="70">
        <v>0</v>
      </c>
      <c r="NIP85" s="70">
        <v>0</v>
      </c>
      <c r="NIQ85" s="70">
        <v>0</v>
      </c>
      <c r="NIR85" s="70">
        <v>0</v>
      </c>
      <c r="NIS85" s="70">
        <v>0</v>
      </c>
      <c r="NIT85" s="70">
        <v>0</v>
      </c>
      <c r="NIU85" s="70">
        <v>0</v>
      </c>
      <c r="NIV85" s="70">
        <v>0</v>
      </c>
      <c r="NIW85" s="70">
        <v>0</v>
      </c>
      <c r="NIX85" s="70">
        <v>0</v>
      </c>
      <c r="NIY85" s="70">
        <v>0</v>
      </c>
      <c r="NIZ85" s="70">
        <v>0</v>
      </c>
      <c r="NJA85" s="70">
        <v>0</v>
      </c>
      <c r="NJB85" s="70">
        <v>0</v>
      </c>
      <c r="NJC85" s="70">
        <v>0</v>
      </c>
      <c r="NJD85" s="70">
        <v>0</v>
      </c>
      <c r="NJE85" s="70">
        <v>0</v>
      </c>
      <c r="NJF85" s="70">
        <v>0</v>
      </c>
      <c r="NJG85" s="70">
        <v>0</v>
      </c>
      <c r="NJH85" s="70">
        <v>0</v>
      </c>
      <c r="NJI85" s="70">
        <v>0</v>
      </c>
      <c r="NJJ85" s="70">
        <v>0</v>
      </c>
      <c r="NJK85" s="70">
        <v>0</v>
      </c>
      <c r="NJL85" s="70">
        <v>0</v>
      </c>
      <c r="NJM85" s="70">
        <v>0</v>
      </c>
      <c r="NJN85" s="70">
        <v>0</v>
      </c>
      <c r="NJO85" s="70">
        <v>0</v>
      </c>
      <c r="NJP85" s="70">
        <v>0</v>
      </c>
      <c r="NJQ85" s="70">
        <v>0</v>
      </c>
      <c r="NJR85" s="70">
        <v>0</v>
      </c>
      <c r="NJS85" s="70">
        <v>0</v>
      </c>
      <c r="NJT85" s="70">
        <v>0</v>
      </c>
      <c r="NJU85" s="70">
        <v>0</v>
      </c>
      <c r="NJV85" s="70">
        <v>0</v>
      </c>
      <c r="NJW85" s="70">
        <v>0</v>
      </c>
      <c r="NJX85" s="70">
        <v>0</v>
      </c>
      <c r="NJY85" s="70">
        <v>0</v>
      </c>
      <c r="NJZ85" s="70">
        <v>0</v>
      </c>
      <c r="NKA85" s="70">
        <v>0</v>
      </c>
      <c r="NKB85" s="70">
        <v>0</v>
      </c>
      <c r="NKC85" s="70">
        <v>0</v>
      </c>
      <c r="NKD85" s="70">
        <v>0</v>
      </c>
      <c r="NKE85" s="70">
        <v>0</v>
      </c>
      <c r="NKF85" s="70">
        <v>0</v>
      </c>
      <c r="NKG85" s="70">
        <v>0</v>
      </c>
      <c r="NKH85" s="70">
        <v>0</v>
      </c>
      <c r="NKI85" s="70">
        <v>0</v>
      </c>
      <c r="NKJ85" s="70">
        <v>0</v>
      </c>
      <c r="NKK85" s="70">
        <v>0</v>
      </c>
      <c r="NKL85" s="70">
        <v>0</v>
      </c>
      <c r="NKM85" s="70">
        <v>0</v>
      </c>
      <c r="NKN85" s="70">
        <v>0</v>
      </c>
      <c r="NKO85" s="70">
        <v>0</v>
      </c>
      <c r="NKP85" s="70">
        <v>0</v>
      </c>
      <c r="NKQ85" s="70">
        <v>0</v>
      </c>
      <c r="NKR85" s="70">
        <v>0</v>
      </c>
      <c r="NKS85" s="70">
        <v>0</v>
      </c>
      <c r="NKT85" s="70">
        <v>0</v>
      </c>
      <c r="NKU85" s="70">
        <v>0</v>
      </c>
      <c r="NKV85" s="70">
        <v>0</v>
      </c>
      <c r="NKW85" s="70">
        <v>0</v>
      </c>
      <c r="NKX85" s="70">
        <v>0</v>
      </c>
      <c r="NKY85" s="70">
        <v>0</v>
      </c>
      <c r="NKZ85" s="70">
        <v>0</v>
      </c>
      <c r="NLA85" s="70">
        <v>0</v>
      </c>
      <c r="NLB85" s="70">
        <v>0</v>
      </c>
      <c r="NLC85" s="70">
        <v>0</v>
      </c>
      <c r="NLD85" s="70">
        <v>0</v>
      </c>
      <c r="NLE85" s="70">
        <v>0</v>
      </c>
      <c r="NLF85" s="70">
        <v>0</v>
      </c>
      <c r="NLG85" s="70">
        <v>0</v>
      </c>
      <c r="NLH85" s="70">
        <v>0</v>
      </c>
      <c r="NLI85" s="70">
        <v>0</v>
      </c>
      <c r="NLJ85" s="70">
        <v>0</v>
      </c>
      <c r="NLK85" s="70">
        <v>0</v>
      </c>
      <c r="NLL85" s="70">
        <v>0</v>
      </c>
      <c r="NLM85" s="70">
        <v>0</v>
      </c>
      <c r="NLN85" s="70">
        <v>0</v>
      </c>
      <c r="NLO85" s="70">
        <v>0</v>
      </c>
      <c r="NLP85" s="70">
        <v>0</v>
      </c>
      <c r="NLQ85" s="70">
        <v>0</v>
      </c>
      <c r="NLR85" s="70">
        <v>0</v>
      </c>
      <c r="NLS85" s="70">
        <v>0</v>
      </c>
      <c r="NLT85" s="70">
        <v>0</v>
      </c>
      <c r="NLU85" s="70">
        <v>0</v>
      </c>
      <c r="NLV85" s="70">
        <v>0</v>
      </c>
      <c r="NLW85" s="70">
        <v>0</v>
      </c>
      <c r="NLX85" s="70">
        <v>0</v>
      </c>
      <c r="NLY85" s="70">
        <v>0</v>
      </c>
      <c r="NLZ85" s="70">
        <v>0</v>
      </c>
      <c r="NMA85" s="70">
        <v>0</v>
      </c>
      <c r="NMB85" s="70">
        <v>0</v>
      </c>
      <c r="NMC85" s="70">
        <v>0</v>
      </c>
      <c r="NMD85" s="70">
        <v>0</v>
      </c>
      <c r="NME85" s="70">
        <v>0</v>
      </c>
      <c r="NMF85" s="70">
        <v>0</v>
      </c>
      <c r="NMG85" s="70">
        <v>0</v>
      </c>
      <c r="NMH85" s="70">
        <v>0</v>
      </c>
      <c r="NMI85" s="70">
        <v>0</v>
      </c>
      <c r="NMJ85" s="70">
        <v>0</v>
      </c>
      <c r="NMK85" s="70">
        <v>0</v>
      </c>
      <c r="NML85" s="70">
        <v>0</v>
      </c>
      <c r="NMM85" s="70">
        <v>0</v>
      </c>
      <c r="NMN85" s="70">
        <v>0</v>
      </c>
      <c r="NMO85" s="70">
        <v>0</v>
      </c>
      <c r="NMP85" s="70">
        <v>0</v>
      </c>
      <c r="NMQ85" s="70">
        <v>0</v>
      </c>
      <c r="NMR85" s="70">
        <v>0</v>
      </c>
      <c r="NMS85" s="70">
        <v>0</v>
      </c>
      <c r="NMT85" s="70">
        <v>0</v>
      </c>
      <c r="NMU85" s="70">
        <v>0</v>
      </c>
      <c r="NMV85" s="70">
        <v>0</v>
      </c>
      <c r="NMW85" s="70">
        <v>0</v>
      </c>
      <c r="NMX85" s="70">
        <v>0</v>
      </c>
      <c r="NMY85" s="70">
        <v>0</v>
      </c>
      <c r="NMZ85" s="70">
        <v>0</v>
      </c>
      <c r="NNA85" s="70">
        <v>0</v>
      </c>
      <c r="NNB85" s="70">
        <v>0</v>
      </c>
      <c r="NNC85" s="70">
        <v>0</v>
      </c>
      <c r="NND85" s="70">
        <v>0</v>
      </c>
      <c r="NNE85" s="70">
        <v>0</v>
      </c>
      <c r="NNF85" s="70">
        <v>0</v>
      </c>
      <c r="NNG85" s="70">
        <v>0</v>
      </c>
      <c r="NNH85" s="70">
        <v>0</v>
      </c>
      <c r="NNI85" s="70">
        <v>0</v>
      </c>
      <c r="NNJ85" s="70">
        <v>0</v>
      </c>
      <c r="NNK85" s="70">
        <v>0</v>
      </c>
      <c r="NNL85" s="70">
        <v>0</v>
      </c>
      <c r="NNM85" s="70">
        <v>0</v>
      </c>
      <c r="NNN85" s="70">
        <v>0</v>
      </c>
      <c r="NNO85" s="70">
        <v>0</v>
      </c>
      <c r="NNP85" s="70">
        <v>0</v>
      </c>
      <c r="NNQ85" s="70">
        <v>0</v>
      </c>
      <c r="NNR85" s="70">
        <v>0</v>
      </c>
      <c r="NNS85" s="70">
        <v>0</v>
      </c>
      <c r="NNT85" s="70">
        <v>0</v>
      </c>
      <c r="NNU85" s="70">
        <v>0</v>
      </c>
      <c r="NNV85" s="70">
        <v>0</v>
      </c>
      <c r="NNW85" s="70">
        <v>0</v>
      </c>
      <c r="NNX85" s="70">
        <v>0</v>
      </c>
      <c r="NNY85" s="70">
        <v>0</v>
      </c>
      <c r="NNZ85" s="70">
        <v>0</v>
      </c>
      <c r="NOA85" s="70">
        <v>0</v>
      </c>
      <c r="NOB85" s="70">
        <v>0</v>
      </c>
      <c r="NOC85" s="70">
        <v>0</v>
      </c>
      <c r="NOD85" s="70">
        <v>0</v>
      </c>
      <c r="NOE85" s="70">
        <v>0</v>
      </c>
      <c r="NOF85" s="70">
        <v>0</v>
      </c>
      <c r="NOG85" s="70">
        <v>0</v>
      </c>
      <c r="NOH85" s="70">
        <v>0</v>
      </c>
      <c r="NOI85" s="70">
        <v>0</v>
      </c>
      <c r="NOJ85" s="70">
        <v>0</v>
      </c>
      <c r="NOK85" s="70">
        <v>0</v>
      </c>
      <c r="NOL85" s="70">
        <v>0</v>
      </c>
      <c r="NOM85" s="70">
        <v>0</v>
      </c>
      <c r="NON85" s="70">
        <v>0</v>
      </c>
      <c r="NOO85" s="70">
        <v>0</v>
      </c>
      <c r="NOP85" s="70">
        <v>0</v>
      </c>
      <c r="NOQ85" s="70">
        <v>0</v>
      </c>
      <c r="NOR85" s="70">
        <v>0</v>
      </c>
      <c r="NOS85" s="70">
        <v>0</v>
      </c>
      <c r="NOT85" s="70">
        <v>0</v>
      </c>
      <c r="NOU85" s="70">
        <v>0</v>
      </c>
      <c r="NOV85" s="70">
        <v>0</v>
      </c>
      <c r="NOW85" s="70">
        <v>0</v>
      </c>
      <c r="NOX85" s="70">
        <v>0</v>
      </c>
      <c r="NOY85" s="70">
        <v>0</v>
      </c>
      <c r="NOZ85" s="70">
        <v>0</v>
      </c>
      <c r="NPA85" s="70">
        <v>0</v>
      </c>
      <c r="NPB85" s="70">
        <v>0</v>
      </c>
      <c r="NPC85" s="70">
        <v>0</v>
      </c>
      <c r="NPD85" s="70">
        <v>0</v>
      </c>
      <c r="NPE85" s="70">
        <v>0</v>
      </c>
      <c r="NPF85" s="70">
        <v>0</v>
      </c>
      <c r="NPG85" s="70">
        <v>0</v>
      </c>
      <c r="NPH85" s="70">
        <v>0</v>
      </c>
      <c r="NPI85" s="70">
        <v>0</v>
      </c>
      <c r="NPJ85" s="70">
        <v>0</v>
      </c>
      <c r="NPK85" s="70">
        <v>0</v>
      </c>
      <c r="NPL85" s="70">
        <v>0</v>
      </c>
      <c r="NPM85" s="70">
        <v>0</v>
      </c>
      <c r="NPN85" s="70">
        <v>0</v>
      </c>
      <c r="NPO85" s="70">
        <v>0</v>
      </c>
      <c r="NPP85" s="70">
        <v>0</v>
      </c>
      <c r="NPQ85" s="70">
        <v>0</v>
      </c>
      <c r="NPR85" s="70">
        <v>0</v>
      </c>
      <c r="NPS85" s="70">
        <v>0</v>
      </c>
      <c r="NPT85" s="70">
        <v>0</v>
      </c>
      <c r="NPU85" s="70">
        <v>0</v>
      </c>
      <c r="NPV85" s="70">
        <v>0</v>
      </c>
      <c r="NPW85" s="70">
        <v>0</v>
      </c>
      <c r="NPX85" s="70">
        <v>0</v>
      </c>
      <c r="NPY85" s="70">
        <v>0</v>
      </c>
      <c r="NPZ85" s="70">
        <v>0</v>
      </c>
      <c r="NQA85" s="70">
        <v>0</v>
      </c>
      <c r="NQB85" s="70">
        <v>0</v>
      </c>
      <c r="NQC85" s="70">
        <v>0</v>
      </c>
      <c r="NQD85" s="70">
        <v>0</v>
      </c>
      <c r="NQE85" s="70">
        <v>0</v>
      </c>
      <c r="NQF85" s="70">
        <v>0</v>
      </c>
      <c r="NQG85" s="70">
        <v>0</v>
      </c>
      <c r="NQH85" s="70">
        <v>0</v>
      </c>
      <c r="NQI85" s="70">
        <v>0</v>
      </c>
      <c r="NQJ85" s="70">
        <v>0</v>
      </c>
      <c r="NQK85" s="70">
        <v>0</v>
      </c>
      <c r="NQL85" s="70">
        <v>0</v>
      </c>
      <c r="NQM85" s="70">
        <v>0</v>
      </c>
      <c r="NQN85" s="70">
        <v>0</v>
      </c>
      <c r="NQO85" s="70">
        <v>0</v>
      </c>
      <c r="NQP85" s="70">
        <v>0</v>
      </c>
      <c r="NQQ85" s="70">
        <v>0</v>
      </c>
      <c r="NQR85" s="70">
        <v>0</v>
      </c>
      <c r="NQS85" s="70">
        <v>0</v>
      </c>
      <c r="NQT85" s="70">
        <v>0</v>
      </c>
      <c r="NQU85" s="70">
        <v>0</v>
      </c>
      <c r="NQV85" s="70">
        <v>0</v>
      </c>
      <c r="NQW85" s="70">
        <v>0</v>
      </c>
      <c r="NQX85" s="70">
        <v>0</v>
      </c>
      <c r="NQY85" s="70">
        <v>0</v>
      </c>
      <c r="NQZ85" s="70">
        <v>0</v>
      </c>
      <c r="NRA85" s="70">
        <v>0</v>
      </c>
      <c r="NRB85" s="70">
        <v>0</v>
      </c>
      <c r="NRC85" s="70">
        <v>0</v>
      </c>
      <c r="NRD85" s="70">
        <v>0</v>
      </c>
      <c r="NRE85" s="70">
        <v>0</v>
      </c>
      <c r="NRF85" s="70">
        <v>0</v>
      </c>
      <c r="NRG85" s="70">
        <v>0</v>
      </c>
      <c r="NRH85" s="70">
        <v>0</v>
      </c>
      <c r="NRI85" s="70">
        <v>0</v>
      </c>
      <c r="NRJ85" s="70">
        <v>0</v>
      </c>
      <c r="NRK85" s="70">
        <v>0</v>
      </c>
      <c r="NRL85" s="70">
        <v>0</v>
      </c>
      <c r="NRM85" s="70">
        <v>0</v>
      </c>
      <c r="NRN85" s="70">
        <v>0</v>
      </c>
      <c r="NRO85" s="70">
        <v>0</v>
      </c>
      <c r="NRP85" s="70">
        <v>0</v>
      </c>
      <c r="NRQ85" s="70">
        <v>0</v>
      </c>
      <c r="NRR85" s="70">
        <v>0</v>
      </c>
      <c r="NRS85" s="70">
        <v>0</v>
      </c>
      <c r="NRT85" s="70">
        <v>0</v>
      </c>
      <c r="NRU85" s="70">
        <v>0</v>
      </c>
      <c r="NRV85" s="70">
        <v>0</v>
      </c>
      <c r="NRW85" s="70">
        <v>0</v>
      </c>
      <c r="NRX85" s="70">
        <v>0</v>
      </c>
      <c r="NRY85" s="70">
        <v>0</v>
      </c>
      <c r="NRZ85" s="70">
        <v>0</v>
      </c>
      <c r="NSA85" s="70">
        <v>0</v>
      </c>
      <c r="NSB85" s="70">
        <v>0</v>
      </c>
      <c r="NSC85" s="70">
        <v>0</v>
      </c>
      <c r="NSD85" s="70">
        <v>0</v>
      </c>
      <c r="NSE85" s="70">
        <v>0</v>
      </c>
      <c r="NSF85" s="70">
        <v>0</v>
      </c>
      <c r="NSG85" s="70">
        <v>0</v>
      </c>
      <c r="NSH85" s="70">
        <v>0</v>
      </c>
      <c r="NSI85" s="70">
        <v>0</v>
      </c>
      <c r="NSJ85" s="70">
        <v>0</v>
      </c>
      <c r="NSK85" s="70">
        <v>0</v>
      </c>
      <c r="NSL85" s="70">
        <v>0</v>
      </c>
      <c r="NSM85" s="70">
        <v>0</v>
      </c>
      <c r="NSN85" s="70">
        <v>0</v>
      </c>
      <c r="NSO85" s="70">
        <v>0</v>
      </c>
      <c r="NSP85" s="70">
        <v>0</v>
      </c>
      <c r="NSQ85" s="70">
        <v>0</v>
      </c>
      <c r="NSR85" s="70">
        <v>0</v>
      </c>
      <c r="NSS85" s="70">
        <v>0</v>
      </c>
      <c r="NST85" s="70">
        <v>0</v>
      </c>
      <c r="NSU85" s="70">
        <v>0</v>
      </c>
      <c r="NSV85" s="70">
        <v>0</v>
      </c>
      <c r="NSW85" s="70">
        <v>0</v>
      </c>
      <c r="NSX85" s="70">
        <v>0</v>
      </c>
      <c r="NSY85" s="70">
        <v>0</v>
      </c>
      <c r="NSZ85" s="70">
        <v>0</v>
      </c>
      <c r="NTA85" s="70">
        <v>0</v>
      </c>
      <c r="NTB85" s="70">
        <v>0</v>
      </c>
      <c r="NTC85" s="70">
        <v>0</v>
      </c>
      <c r="NTD85" s="70">
        <v>0</v>
      </c>
      <c r="NTE85" s="70">
        <v>0</v>
      </c>
      <c r="NTF85" s="70">
        <v>0</v>
      </c>
      <c r="NTG85" s="70">
        <v>0</v>
      </c>
      <c r="NTH85" s="70">
        <v>0</v>
      </c>
      <c r="NTI85" s="70">
        <v>0</v>
      </c>
      <c r="NTJ85" s="70">
        <v>0</v>
      </c>
      <c r="NTK85" s="70">
        <v>0</v>
      </c>
      <c r="NTL85" s="70">
        <v>0</v>
      </c>
      <c r="NTM85" s="70">
        <v>0</v>
      </c>
      <c r="NTN85" s="70">
        <v>0</v>
      </c>
      <c r="NTO85" s="70">
        <v>0</v>
      </c>
      <c r="NTP85" s="70">
        <v>0</v>
      </c>
      <c r="NTQ85" s="70">
        <v>0</v>
      </c>
      <c r="NTR85" s="70">
        <v>0</v>
      </c>
      <c r="NTS85" s="70">
        <v>0</v>
      </c>
      <c r="NTT85" s="70">
        <v>0</v>
      </c>
      <c r="NTU85" s="70">
        <v>0</v>
      </c>
      <c r="NTV85" s="70">
        <v>0</v>
      </c>
      <c r="NTW85" s="70">
        <v>0</v>
      </c>
      <c r="NTX85" s="70">
        <v>0</v>
      </c>
      <c r="NTY85" s="70">
        <v>0</v>
      </c>
      <c r="NTZ85" s="70">
        <v>0</v>
      </c>
      <c r="NUA85" s="70">
        <v>0</v>
      </c>
      <c r="NUB85" s="70">
        <v>0</v>
      </c>
      <c r="NUC85" s="70">
        <v>0</v>
      </c>
      <c r="NUD85" s="70">
        <v>0</v>
      </c>
      <c r="NUE85" s="70">
        <v>0</v>
      </c>
      <c r="NUF85" s="70">
        <v>0</v>
      </c>
      <c r="NUG85" s="70">
        <v>0</v>
      </c>
      <c r="NUH85" s="70">
        <v>0</v>
      </c>
      <c r="NUI85" s="70">
        <v>0</v>
      </c>
      <c r="NUJ85" s="70">
        <v>0</v>
      </c>
      <c r="NUK85" s="70">
        <v>0</v>
      </c>
      <c r="NUL85" s="70">
        <v>0</v>
      </c>
      <c r="NUM85" s="70">
        <v>0</v>
      </c>
      <c r="NUN85" s="70">
        <v>0</v>
      </c>
      <c r="NUO85" s="70">
        <v>0</v>
      </c>
      <c r="NUP85" s="70">
        <v>0</v>
      </c>
      <c r="NUQ85" s="70">
        <v>0</v>
      </c>
      <c r="NUR85" s="70">
        <v>0</v>
      </c>
      <c r="NUS85" s="70">
        <v>0</v>
      </c>
      <c r="NUT85" s="70">
        <v>0</v>
      </c>
      <c r="NUU85" s="70">
        <v>0</v>
      </c>
      <c r="NUV85" s="70">
        <v>0</v>
      </c>
      <c r="NUW85" s="70">
        <v>0</v>
      </c>
      <c r="NUX85" s="70">
        <v>0</v>
      </c>
      <c r="NUY85" s="70">
        <v>0</v>
      </c>
      <c r="NUZ85" s="70">
        <v>0</v>
      </c>
      <c r="NVA85" s="70">
        <v>0</v>
      </c>
      <c r="NVB85" s="70">
        <v>0</v>
      </c>
      <c r="NVC85" s="70">
        <v>0</v>
      </c>
      <c r="NVD85" s="70">
        <v>0</v>
      </c>
      <c r="NVE85" s="70">
        <v>0</v>
      </c>
      <c r="NVF85" s="70">
        <v>0</v>
      </c>
      <c r="NVG85" s="70">
        <v>0</v>
      </c>
      <c r="NVH85" s="70">
        <v>0</v>
      </c>
      <c r="NVI85" s="70">
        <v>0</v>
      </c>
      <c r="NVJ85" s="70">
        <v>0</v>
      </c>
      <c r="NVK85" s="70">
        <v>0</v>
      </c>
      <c r="NVL85" s="70">
        <v>0</v>
      </c>
      <c r="NVM85" s="70">
        <v>0</v>
      </c>
      <c r="NVN85" s="70">
        <v>0</v>
      </c>
      <c r="NVO85" s="70">
        <v>0</v>
      </c>
      <c r="NVP85" s="70">
        <v>0</v>
      </c>
      <c r="NVQ85" s="70">
        <v>0</v>
      </c>
      <c r="NVR85" s="70">
        <v>0</v>
      </c>
      <c r="NVS85" s="70">
        <v>0</v>
      </c>
      <c r="NVT85" s="70">
        <v>0</v>
      </c>
      <c r="NVU85" s="70">
        <v>0</v>
      </c>
      <c r="NVV85" s="70">
        <v>0</v>
      </c>
      <c r="NVW85" s="70">
        <v>0</v>
      </c>
      <c r="NVX85" s="70">
        <v>0</v>
      </c>
      <c r="NVY85" s="70">
        <v>0</v>
      </c>
      <c r="NVZ85" s="70">
        <v>0</v>
      </c>
      <c r="NWA85" s="70">
        <v>0</v>
      </c>
      <c r="NWB85" s="70">
        <v>0</v>
      </c>
      <c r="NWC85" s="70">
        <v>0</v>
      </c>
      <c r="NWD85" s="70">
        <v>0</v>
      </c>
      <c r="NWE85" s="70">
        <v>0</v>
      </c>
      <c r="NWF85" s="70">
        <v>0</v>
      </c>
      <c r="NWG85" s="70">
        <v>0</v>
      </c>
      <c r="NWH85" s="70">
        <v>0</v>
      </c>
      <c r="NWI85" s="70">
        <v>0</v>
      </c>
      <c r="NWJ85" s="70">
        <v>0</v>
      </c>
      <c r="NWK85" s="70">
        <v>0</v>
      </c>
      <c r="NWL85" s="70">
        <v>0</v>
      </c>
      <c r="NWM85" s="70">
        <v>0</v>
      </c>
      <c r="NWN85" s="70">
        <v>0</v>
      </c>
      <c r="NWO85" s="70">
        <v>0</v>
      </c>
      <c r="NWP85" s="70">
        <v>0</v>
      </c>
      <c r="NWQ85" s="70">
        <v>0</v>
      </c>
      <c r="NWR85" s="70">
        <v>0</v>
      </c>
      <c r="NWS85" s="70">
        <v>0</v>
      </c>
      <c r="NWT85" s="70">
        <v>0</v>
      </c>
      <c r="NWU85" s="70">
        <v>0</v>
      </c>
      <c r="NWV85" s="70">
        <v>0</v>
      </c>
      <c r="NWW85" s="70">
        <v>0</v>
      </c>
      <c r="NWX85" s="70">
        <v>0</v>
      </c>
      <c r="NWY85" s="70">
        <v>0</v>
      </c>
      <c r="NWZ85" s="70">
        <v>0</v>
      </c>
      <c r="NXA85" s="70">
        <v>0</v>
      </c>
      <c r="NXB85" s="70">
        <v>0</v>
      </c>
      <c r="NXC85" s="70">
        <v>0</v>
      </c>
      <c r="NXD85" s="70">
        <v>0</v>
      </c>
      <c r="NXE85" s="70">
        <v>0</v>
      </c>
      <c r="NXF85" s="70">
        <v>0</v>
      </c>
      <c r="NXG85" s="70">
        <v>0</v>
      </c>
      <c r="NXH85" s="70">
        <v>0</v>
      </c>
      <c r="NXI85" s="70">
        <v>0</v>
      </c>
      <c r="NXJ85" s="70">
        <v>0</v>
      </c>
      <c r="NXK85" s="70">
        <v>0</v>
      </c>
      <c r="NXL85" s="70">
        <v>0</v>
      </c>
      <c r="NXM85" s="70">
        <v>0</v>
      </c>
      <c r="NXN85" s="70">
        <v>0</v>
      </c>
      <c r="NXO85" s="70">
        <v>0</v>
      </c>
      <c r="NXP85" s="70">
        <v>0</v>
      </c>
      <c r="NXQ85" s="70">
        <v>0</v>
      </c>
      <c r="NXR85" s="70">
        <v>0</v>
      </c>
      <c r="NXS85" s="70">
        <v>0</v>
      </c>
      <c r="NXT85" s="70">
        <v>0</v>
      </c>
      <c r="NXU85" s="70">
        <v>0</v>
      </c>
      <c r="NXV85" s="70">
        <v>0</v>
      </c>
      <c r="NXW85" s="70">
        <v>0</v>
      </c>
      <c r="NXX85" s="70">
        <v>0</v>
      </c>
      <c r="NXY85" s="70">
        <v>0</v>
      </c>
      <c r="NXZ85" s="70">
        <v>0</v>
      </c>
      <c r="NYA85" s="70">
        <v>0</v>
      </c>
      <c r="NYB85" s="70">
        <v>0</v>
      </c>
      <c r="NYC85" s="70">
        <v>0</v>
      </c>
      <c r="NYD85" s="70">
        <v>0</v>
      </c>
      <c r="NYE85" s="70">
        <v>0</v>
      </c>
      <c r="NYF85" s="70">
        <v>0</v>
      </c>
      <c r="NYG85" s="70">
        <v>0</v>
      </c>
      <c r="NYH85" s="70">
        <v>0</v>
      </c>
      <c r="NYI85" s="70">
        <v>0</v>
      </c>
      <c r="NYJ85" s="70">
        <v>0</v>
      </c>
      <c r="NYK85" s="70">
        <v>0</v>
      </c>
      <c r="NYL85" s="70">
        <v>0</v>
      </c>
      <c r="NYM85" s="70">
        <v>0</v>
      </c>
      <c r="NYN85" s="70">
        <v>0</v>
      </c>
      <c r="NYO85" s="70">
        <v>0</v>
      </c>
      <c r="NYP85" s="70">
        <v>0</v>
      </c>
      <c r="NYQ85" s="70">
        <v>0</v>
      </c>
      <c r="NYR85" s="70">
        <v>0</v>
      </c>
      <c r="NYS85" s="70">
        <v>0</v>
      </c>
      <c r="NYT85" s="70">
        <v>0</v>
      </c>
      <c r="NYU85" s="70">
        <v>0</v>
      </c>
      <c r="NYV85" s="70">
        <v>0</v>
      </c>
      <c r="NYW85" s="70">
        <v>0</v>
      </c>
      <c r="NYX85" s="70">
        <v>0</v>
      </c>
      <c r="NYY85" s="70">
        <v>0</v>
      </c>
      <c r="NYZ85" s="70">
        <v>0</v>
      </c>
      <c r="NZA85" s="70">
        <v>0</v>
      </c>
      <c r="NZB85" s="70">
        <v>0</v>
      </c>
      <c r="NZC85" s="70">
        <v>0</v>
      </c>
      <c r="NZD85" s="70">
        <v>0</v>
      </c>
      <c r="NZE85" s="70">
        <v>0</v>
      </c>
      <c r="NZF85" s="70">
        <v>0</v>
      </c>
      <c r="NZG85" s="70">
        <v>0</v>
      </c>
      <c r="NZH85" s="70">
        <v>0</v>
      </c>
      <c r="NZI85" s="70">
        <v>0</v>
      </c>
      <c r="NZJ85" s="70">
        <v>0</v>
      </c>
      <c r="NZK85" s="70">
        <v>0</v>
      </c>
      <c r="NZL85" s="70">
        <v>0</v>
      </c>
      <c r="NZM85" s="70">
        <v>0</v>
      </c>
      <c r="NZN85" s="70">
        <v>0</v>
      </c>
      <c r="NZO85" s="70">
        <v>0</v>
      </c>
      <c r="NZP85" s="70">
        <v>0</v>
      </c>
      <c r="NZQ85" s="70">
        <v>0</v>
      </c>
      <c r="NZR85" s="70">
        <v>0</v>
      </c>
      <c r="NZS85" s="70">
        <v>0</v>
      </c>
      <c r="NZT85" s="70">
        <v>0</v>
      </c>
      <c r="NZU85" s="70">
        <v>0</v>
      </c>
      <c r="NZV85" s="70">
        <v>0</v>
      </c>
      <c r="NZW85" s="70">
        <v>0</v>
      </c>
      <c r="NZX85" s="70">
        <v>0</v>
      </c>
      <c r="NZY85" s="70">
        <v>0</v>
      </c>
      <c r="NZZ85" s="70">
        <v>0</v>
      </c>
      <c r="OAA85" s="70">
        <v>0</v>
      </c>
      <c r="OAB85" s="70">
        <v>0</v>
      </c>
      <c r="OAC85" s="70">
        <v>0</v>
      </c>
      <c r="OAD85" s="70">
        <v>0</v>
      </c>
      <c r="OAE85" s="70">
        <v>0</v>
      </c>
      <c r="OAF85" s="70">
        <v>0</v>
      </c>
      <c r="OAG85" s="70">
        <v>0</v>
      </c>
      <c r="OAH85" s="70">
        <v>0</v>
      </c>
      <c r="OAI85" s="70">
        <v>0</v>
      </c>
      <c r="OAJ85" s="70">
        <v>0</v>
      </c>
      <c r="OAK85" s="70">
        <v>0</v>
      </c>
      <c r="OAL85" s="70">
        <v>0</v>
      </c>
      <c r="OAM85" s="70">
        <v>0</v>
      </c>
      <c r="OAN85" s="70">
        <v>0</v>
      </c>
      <c r="OAO85" s="70">
        <v>0</v>
      </c>
      <c r="OAP85" s="70">
        <v>0</v>
      </c>
      <c r="OAQ85" s="70">
        <v>0</v>
      </c>
      <c r="OAR85" s="70">
        <v>0</v>
      </c>
      <c r="OAS85" s="70">
        <v>0</v>
      </c>
      <c r="OAT85" s="70">
        <v>0</v>
      </c>
      <c r="OAU85" s="70">
        <v>0</v>
      </c>
      <c r="OAV85" s="70">
        <v>0</v>
      </c>
      <c r="OAW85" s="70">
        <v>0</v>
      </c>
      <c r="OAX85" s="70">
        <v>0</v>
      </c>
      <c r="OAY85" s="70">
        <v>0</v>
      </c>
      <c r="OAZ85" s="70">
        <v>0</v>
      </c>
      <c r="OBA85" s="70">
        <v>0</v>
      </c>
      <c r="OBB85" s="70">
        <v>0</v>
      </c>
      <c r="OBC85" s="70">
        <v>0</v>
      </c>
      <c r="OBD85" s="70">
        <v>0</v>
      </c>
      <c r="OBE85" s="70">
        <v>0</v>
      </c>
      <c r="OBF85" s="70">
        <v>0</v>
      </c>
      <c r="OBG85" s="70">
        <v>0</v>
      </c>
      <c r="OBH85" s="70">
        <v>0</v>
      </c>
      <c r="OBI85" s="70">
        <v>0</v>
      </c>
      <c r="OBJ85" s="70">
        <v>0</v>
      </c>
      <c r="OBK85" s="70">
        <v>0</v>
      </c>
      <c r="OBL85" s="70">
        <v>0</v>
      </c>
      <c r="OBM85" s="70">
        <v>0</v>
      </c>
      <c r="OBN85" s="70">
        <v>0</v>
      </c>
      <c r="OBO85" s="70">
        <v>0</v>
      </c>
      <c r="OBP85" s="70">
        <v>0</v>
      </c>
      <c r="OBQ85" s="70">
        <v>0</v>
      </c>
      <c r="OBR85" s="70">
        <v>0</v>
      </c>
      <c r="OBS85" s="70">
        <v>0</v>
      </c>
      <c r="OBT85" s="70">
        <v>0</v>
      </c>
      <c r="OBU85" s="70">
        <v>0</v>
      </c>
      <c r="OBV85" s="70">
        <v>0</v>
      </c>
      <c r="OBW85" s="70">
        <v>0</v>
      </c>
      <c r="OBX85" s="70">
        <v>0</v>
      </c>
      <c r="OBY85" s="70">
        <v>0</v>
      </c>
      <c r="OBZ85" s="70">
        <v>0</v>
      </c>
      <c r="OCA85" s="70">
        <v>0</v>
      </c>
      <c r="OCB85" s="70">
        <v>0</v>
      </c>
      <c r="OCC85" s="70">
        <v>0</v>
      </c>
      <c r="OCD85" s="70">
        <v>0</v>
      </c>
      <c r="OCE85" s="70">
        <v>0</v>
      </c>
      <c r="OCF85" s="70">
        <v>0</v>
      </c>
      <c r="OCG85" s="70">
        <v>0</v>
      </c>
      <c r="OCH85" s="70">
        <v>0</v>
      </c>
      <c r="OCI85" s="70">
        <v>0</v>
      </c>
      <c r="OCJ85" s="70">
        <v>0</v>
      </c>
      <c r="OCK85" s="70">
        <v>0</v>
      </c>
      <c r="OCL85" s="70">
        <v>0</v>
      </c>
      <c r="OCM85" s="70">
        <v>0</v>
      </c>
      <c r="OCN85" s="70">
        <v>0</v>
      </c>
      <c r="OCO85" s="70">
        <v>0</v>
      </c>
      <c r="OCP85" s="70">
        <v>0</v>
      </c>
      <c r="OCQ85" s="70">
        <v>0</v>
      </c>
      <c r="OCR85" s="70">
        <v>0</v>
      </c>
      <c r="OCS85" s="70">
        <v>0</v>
      </c>
      <c r="OCT85" s="70">
        <v>0</v>
      </c>
      <c r="OCU85" s="70">
        <v>0</v>
      </c>
      <c r="OCV85" s="70">
        <v>0</v>
      </c>
      <c r="OCW85" s="70">
        <v>0</v>
      </c>
      <c r="OCX85" s="70">
        <v>0</v>
      </c>
      <c r="OCY85" s="70">
        <v>0</v>
      </c>
      <c r="OCZ85" s="70">
        <v>0</v>
      </c>
      <c r="ODA85" s="70">
        <v>0</v>
      </c>
      <c r="ODB85" s="70">
        <v>0</v>
      </c>
      <c r="ODC85" s="70">
        <v>0</v>
      </c>
      <c r="ODD85" s="70">
        <v>0</v>
      </c>
      <c r="ODE85" s="70">
        <v>0</v>
      </c>
      <c r="ODF85" s="70">
        <v>0</v>
      </c>
      <c r="ODG85" s="70">
        <v>0</v>
      </c>
      <c r="ODH85" s="70">
        <v>0</v>
      </c>
      <c r="ODI85" s="70">
        <v>0</v>
      </c>
      <c r="ODJ85" s="70">
        <v>0</v>
      </c>
      <c r="ODK85" s="70">
        <v>0</v>
      </c>
      <c r="ODL85" s="70">
        <v>0</v>
      </c>
      <c r="ODM85" s="70">
        <v>0</v>
      </c>
      <c r="ODN85" s="70">
        <v>0</v>
      </c>
      <c r="ODO85" s="70">
        <v>0</v>
      </c>
      <c r="ODP85" s="70">
        <v>0</v>
      </c>
      <c r="ODQ85" s="70">
        <v>0</v>
      </c>
      <c r="ODR85" s="70">
        <v>0</v>
      </c>
      <c r="ODS85" s="70">
        <v>0</v>
      </c>
      <c r="ODT85" s="70">
        <v>0</v>
      </c>
      <c r="ODU85" s="70">
        <v>0</v>
      </c>
      <c r="ODV85" s="70">
        <v>0</v>
      </c>
      <c r="ODW85" s="70">
        <v>0</v>
      </c>
      <c r="ODX85" s="70">
        <v>0</v>
      </c>
      <c r="ODY85" s="70">
        <v>0</v>
      </c>
      <c r="ODZ85" s="70">
        <v>0</v>
      </c>
      <c r="OEA85" s="70">
        <v>0</v>
      </c>
      <c r="OEB85" s="70">
        <v>0</v>
      </c>
      <c r="OEC85" s="70">
        <v>0</v>
      </c>
      <c r="OED85" s="70">
        <v>0</v>
      </c>
      <c r="OEE85" s="70">
        <v>0</v>
      </c>
      <c r="OEF85" s="70">
        <v>0</v>
      </c>
      <c r="OEG85" s="70">
        <v>0</v>
      </c>
      <c r="OEH85" s="70">
        <v>0</v>
      </c>
      <c r="OEI85" s="70">
        <v>0</v>
      </c>
      <c r="OEJ85" s="70">
        <v>0</v>
      </c>
      <c r="OEK85" s="70">
        <v>0</v>
      </c>
      <c r="OEL85" s="70">
        <v>0</v>
      </c>
      <c r="OEM85" s="70">
        <v>0</v>
      </c>
      <c r="OEN85" s="70">
        <v>0</v>
      </c>
      <c r="OEO85" s="70">
        <v>0</v>
      </c>
      <c r="OEP85" s="70">
        <v>0</v>
      </c>
      <c r="OEQ85" s="70">
        <v>0</v>
      </c>
      <c r="OER85" s="70">
        <v>0</v>
      </c>
      <c r="OES85" s="70">
        <v>0</v>
      </c>
      <c r="OET85" s="70">
        <v>0</v>
      </c>
      <c r="OEU85" s="70">
        <v>0</v>
      </c>
      <c r="OEV85" s="70">
        <v>0</v>
      </c>
      <c r="OEW85" s="70">
        <v>0</v>
      </c>
      <c r="OEX85" s="70">
        <v>0</v>
      </c>
      <c r="OEY85" s="70">
        <v>0</v>
      </c>
      <c r="OEZ85" s="70">
        <v>0</v>
      </c>
      <c r="OFA85" s="70">
        <v>0</v>
      </c>
      <c r="OFB85" s="70">
        <v>0</v>
      </c>
      <c r="OFC85" s="70">
        <v>0</v>
      </c>
      <c r="OFD85" s="70">
        <v>0</v>
      </c>
      <c r="OFE85" s="70">
        <v>0</v>
      </c>
      <c r="OFF85" s="70">
        <v>0</v>
      </c>
      <c r="OFG85" s="70">
        <v>0</v>
      </c>
      <c r="OFH85" s="70">
        <v>0</v>
      </c>
      <c r="OFI85" s="70">
        <v>0</v>
      </c>
      <c r="OFJ85" s="70">
        <v>0</v>
      </c>
      <c r="OFK85" s="70">
        <v>0</v>
      </c>
      <c r="OFL85" s="70">
        <v>0</v>
      </c>
      <c r="OFM85" s="70">
        <v>0</v>
      </c>
      <c r="OFN85" s="70">
        <v>0</v>
      </c>
      <c r="OFO85" s="70">
        <v>0</v>
      </c>
      <c r="OFP85" s="70">
        <v>0</v>
      </c>
      <c r="OFQ85" s="70">
        <v>0</v>
      </c>
      <c r="OFR85" s="70">
        <v>0</v>
      </c>
      <c r="OFS85" s="70">
        <v>0</v>
      </c>
      <c r="OFT85" s="70">
        <v>0</v>
      </c>
      <c r="OFU85" s="70">
        <v>0</v>
      </c>
      <c r="OFV85" s="70">
        <v>0</v>
      </c>
      <c r="OFW85" s="70">
        <v>0</v>
      </c>
      <c r="OFX85" s="70">
        <v>0</v>
      </c>
      <c r="OFY85" s="70">
        <v>0</v>
      </c>
      <c r="OFZ85" s="70">
        <v>0</v>
      </c>
      <c r="OGA85" s="70">
        <v>0</v>
      </c>
      <c r="OGB85" s="70">
        <v>0</v>
      </c>
      <c r="OGC85" s="70">
        <v>0</v>
      </c>
      <c r="OGD85" s="70">
        <v>0</v>
      </c>
      <c r="OGE85" s="70">
        <v>0</v>
      </c>
      <c r="OGF85" s="70">
        <v>0</v>
      </c>
      <c r="OGG85" s="70">
        <v>0</v>
      </c>
      <c r="OGH85" s="70">
        <v>0</v>
      </c>
      <c r="OGI85" s="70">
        <v>0</v>
      </c>
      <c r="OGJ85" s="70">
        <v>0</v>
      </c>
      <c r="OGK85" s="70">
        <v>0</v>
      </c>
      <c r="OGL85" s="70">
        <v>0</v>
      </c>
      <c r="OGM85" s="70">
        <v>0</v>
      </c>
      <c r="OGN85" s="70">
        <v>0</v>
      </c>
      <c r="OGO85" s="70">
        <v>0</v>
      </c>
      <c r="OGP85" s="70">
        <v>0</v>
      </c>
      <c r="OGQ85" s="70">
        <v>0</v>
      </c>
      <c r="OGR85" s="70">
        <v>0</v>
      </c>
      <c r="OGS85" s="70">
        <v>0</v>
      </c>
      <c r="OGT85" s="70">
        <v>0</v>
      </c>
      <c r="OGU85" s="70">
        <v>0</v>
      </c>
      <c r="OGV85" s="70">
        <v>0</v>
      </c>
      <c r="OGW85" s="70">
        <v>0</v>
      </c>
      <c r="OGX85" s="70">
        <v>0</v>
      </c>
      <c r="OGY85" s="70">
        <v>0</v>
      </c>
      <c r="OGZ85" s="70">
        <v>0</v>
      </c>
      <c r="OHA85" s="70">
        <v>0</v>
      </c>
      <c r="OHB85" s="70">
        <v>0</v>
      </c>
      <c r="OHC85" s="70">
        <v>0</v>
      </c>
      <c r="OHD85" s="70">
        <v>0</v>
      </c>
      <c r="OHE85" s="70">
        <v>0</v>
      </c>
      <c r="OHF85" s="70">
        <v>0</v>
      </c>
      <c r="OHG85" s="70">
        <v>0</v>
      </c>
      <c r="OHH85" s="70">
        <v>0</v>
      </c>
      <c r="OHI85" s="70">
        <v>0</v>
      </c>
      <c r="OHJ85" s="70">
        <v>0</v>
      </c>
      <c r="OHK85" s="70">
        <v>0</v>
      </c>
      <c r="OHL85" s="70">
        <v>0</v>
      </c>
      <c r="OHM85" s="70">
        <v>0</v>
      </c>
      <c r="OHN85" s="70">
        <v>0</v>
      </c>
      <c r="OHO85" s="70">
        <v>0</v>
      </c>
      <c r="OHP85" s="70">
        <v>0</v>
      </c>
      <c r="OHQ85" s="70">
        <v>0</v>
      </c>
      <c r="OHR85" s="70">
        <v>0</v>
      </c>
      <c r="OHS85" s="70">
        <v>0</v>
      </c>
      <c r="OHT85" s="70">
        <v>0</v>
      </c>
      <c r="OHU85" s="70">
        <v>0</v>
      </c>
      <c r="OHV85" s="70">
        <v>0</v>
      </c>
      <c r="OHW85" s="70">
        <v>0</v>
      </c>
      <c r="OHX85" s="70">
        <v>0</v>
      </c>
      <c r="OHY85" s="70">
        <v>0</v>
      </c>
      <c r="OHZ85" s="70">
        <v>0</v>
      </c>
      <c r="OIA85" s="70">
        <v>0</v>
      </c>
      <c r="OIB85" s="70">
        <v>0</v>
      </c>
      <c r="OIC85" s="70">
        <v>0</v>
      </c>
      <c r="OID85" s="70">
        <v>0</v>
      </c>
      <c r="OIE85" s="70">
        <v>0</v>
      </c>
      <c r="OIF85" s="70">
        <v>0</v>
      </c>
      <c r="OIG85" s="70">
        <v>0</v>
      </c>
      <c r="OIH85" s="70">
        <v>0</v>
      </c>
      <c r="OII85" s="70">
        <v>0</v>
      </c>
      <c r="OIJ85" s="70">
        <v>0</v>
      </c>
      <c r="OIK85" s="70">
        <v>0</v>
      </c>
      <c r="OIL85" s="70">
        <v>0</v>
      </c>
      <c r="OIM85" s="70">
        <v>0</v>
      </c>
      <c r="OIN85" s="70">
        <v>0</v>
      </c>
      <c r="OIO85" s="70">
        <v>0</v>
      </c>
      <c r="OIP85" s="70">
        <v>0</v>
      </c>
      <c r="OIQ85" s="70">
        <v>0</v>
      </c>
      <c r="OIR85" s="70">
        <v>0</v>
      </c>
      <c r="OIS85" s="70">
        <v>0</v>
      </c>
      <c r="OIT85" s="70">
        <v>0</v>
      </c>
      <c r="OIU85" s="70">
        <v>0</v>
      </c>
      <c r="OIV85" s="70">
        <v>0</v>
      </c>
      <c r="OIW85" s="70">
        <v>0</v>
      </c>
      <c r="OIX85" s="70">
        <v>0</v>
      </c>
      <c r="OIY85" s="70">
        <v>0</v>
      </c>
      <c r="OIZ85" s="70">
        <v>0</v>
      </c>
      <c r="OJA85" s="70">
        <v>0</v>
      </c>
      <c r="OJB85" s="70">
        <v>0</v>
      </c>
      <c r="OJC85" s="70">
        <v>0</v>
      </c>
      <c r="OJD85" s="70">
        <v>0</v>
      </c>
      <c r="OJE85" s="70">
        <v>0</v>
      </c>
      <c r="OJF85" s="70">
        <v>0</v>
      </c>
      <c r="OJG85" s="70">
        <v>0</v>
      </c>
      <c r="OJH85" s="70">
        <v>0</v>
      </c>
      <c r="OJI85" s="70">
        <v>0</v>
      </c>
      <c r="OJJ85" s="70">
        <v>0</v>
      </c>
      <c r="OJK85" s="70">
        <v>0</v>
      </c>
      <c r="OJL85" s="70">
        <v>0</v>
      </c>
      <c r="OJM85" s="70">
        <v>0</v>
      </c>
      <c r="OJN85" s="70">
        <v>0</v>
      </c>
      <c r="OJO85" s="70">
        <v>0</v>
      </c>
      <c r="OJP85" s="70">
        <v>0</v>
      </c>
      <c r="OJQ85" s="70">
        <v>0</v>
      </c>
      <c r="OJR85" s="70">
        <v>0</v>
      </c>
      <c r="OJS85" s="70">
        <v>0</v>
      </c>
      <c r="OJT85" s="70">
        <v>0</v>
      </c>
      <c r="OJU85" s="70">
        <v>0</v>
      </c>
      <c r="OJV85" s="70">
        <v>0</v>
      </c>
      <c r="OJW85" s="70">
        <v>0</v>
      </c>
      <c r="OJX85" s="70">
        <v>0</v>
      </c>
      <c r="OJY85" s="70">
        <v>0</v>
      </c>
      <c r="OJZ85" s="70">
        <v>0</v>
      </c>
      <c r="OKA85" s="70">
        <v>0</v>
      </c>
      <c r="OKB85" s="70">
        <v>0</v>
      </c>
      <c r="OKC85" s="70">
        <v>0</v>
      </c>
      <c r="OKD85" s="70">
        <v>0</v>
      </c>
      <c r="OKE85" s="70">
        <v>0</v>
      </c>
      <c r="OKF85" s="70">
        <v>0</v>
      </c>
      <c r="OKG85" s="70">
        <v>0</v>
      </c>
      <c r="OKH85" s="70">
        <v>0</v>
      </c>
      <c r="OKI85" s="70">
        <v>0</v>
      </c>
      <c r="OKJ85" s="70">
        <v>0</v>
      </c>
      <c r="OKK85" s="70">
        <v>0</v>
      </c>
      <c r="OKL85" s="70">
        <v>0</v>
      </c>
      <c r="OKM85" s="70">
        <v>0</v>
      </c>
      <c r="OKN85" s="70">
        <v>0</v>
      </c>
      <c r="OKO85" s="70">
        <v>0</v>
      </c>
      <c r="OKP85" s="70">
        <v>0</v>
      </c>
      <c r="OKQ85" s="70">
        <v>0</v>
      </c>
      <c r="OKR85" s="70">
        <v>0</v>
      </c>
      <c r="OKS85" s="70">
        <v>0</v>
      </c>
      <c r="OKT85" s="70">
        <v>0</v>
      </c>
      <c r="OKU85" s="70">
        <v>0</v>
      </c>
      <c r="OKV85" s="70">
        <v>0</v>
      </c>
      <c r="OKW85" s="70">
        <v>0</v>
      </c>
      <c r="OKX85" s="70">
        <v>0</v>
      </c>
      <c r="OKY85" s="70">
        <v>0</v>
      </c>
      <c r="OKZ85" s="70">
        <v>0</v>
      </c>
      <c r="OLA85" s="70">
        <v>0</v>
      </c>
      <c r="OLB85" s="70">
        <v>0</v>
      </c>
      <c r="OLC85" s="70">
        <v>0</v>
      </c>
      <c r="OLD85" s="70">
        <v>0</v>
      </c>
      <c r="OLE85" s="70">
        <v>0</v>
      </c>
      <c r="OLF85" s="70">
        <v>0</v>
      </c>
      <c r="OLG85" s="70">
        <v>0</v>
      </c>
      <c r="OLH85" s="70">
        <v>0</v>
      </c>
      <c r="OLI85" s="70">
        <v>0</v>
      </c>
      <c r="OLJ85" s="70">
        <v>0</v>
      </c>
      <c r="OLK85" s="70">
        <v>0</v>
      </c>
      <c r="OLL85" s="70">
        <v>0</v>
      </c>
      <c r="OLM85" s="70">
        <v>0</v>
      </c>
      <c r="OLN85" s="70">
        <v>0</v>
      </c>
      <c r="OLO85" s="70">
        <v>0</v>
      </c>
      <c r="OLP85" s="70">
        <v>0</v>
      </c>
      <c r="OLQ85" s="70">
        <v>0</v>
      </c>
      <c r="OLR85" s="70">
        <v>0</v>
      </c>
      <c r="OLS85" s="70">
        <v>0</v>
      </c>
      <c r="OLT85" s="70">
        <v>0</v>
      </c>
      <c r="OLU85" s="70">
        <v>0</v>
      </c>
      <c r="OLV85" s="70">
        <v>0</v>
      </c>
      <c r="OLW85" s="70">
        <v>0</v>
      </c>
      <c r="OLX85" s="70">
        <v>0</v>
      </c>
      <c r="OLY85" s="70">
        <v>0</v>
      </c>
      <c r="OLZ85" s="70">
        <v>0</v>
      </c>
      <c r="OMA85" s="70">
        <v>0</v>
      </c>
      <c r="OMB85" s="70">
        <v>0</v>
      </c>
      <c r="OMC85" s="70">
        <v>0</v>
      </c>
      <c r="OMD85" s="70">
        <v>0</v>
      </c>
      <c r="OME85" s="70">
        <v>0</v>
      </c>
      <c r="OMF85" s="70">
        <v>0</v>
      </c>
      <c r="OMG85" s="70">
        <v>0</v>
      </c>
      <c r="OMH85" s="70">
        <v>0</v>
      </c>
      <c r="OMI85" s="70">
        <v>0</v>
      </c>
      <c r="OMJ85" s="70">
        <v>0</v>
      </c>
      <c r="OMK85" s="70">
        <v>0</v>
      </c>
      <c r="OML85" s="70">
        <v>0</v>
      </c>
      <c r="OMM85" s="70">
        <v>0</v>
      </c>
      <c r="OMN85" s="70">
        <v>0</v>
      </c>
      <c r="OMO85" s="70">
        <v>0</v>
      </c>
      <c r="OMP85" s="70">
        <v>0</v>
      </c>
      <c r="OMQ85" s="70">
        <v>0</v>
      </c>
      <c r="OMR85" s="70">
        <v>0</v>
      </c>
      <c r="OMS85" s="70">
        <v>0</v>
      </c>
      <c r="OMT85" s="70">
        <v>0</v>
      </c>
      <c r="OMU85" s="70">
        <v>0</v>
      </c>
      <c r="OMV85" s="70">
        <v>0</v>
      </c>
      <c r="OMW85" s="70">
        <v>0</v>
      </c>
      <c r="OMX85" s="70">
        <v>0</v>
      </c>
      <c r="OMY85" s="70">
        <v>0</v>
      </c>
      <c r="OMZ85" s="70">
        <v>0</v>
      </c>
      <c r="ONA85" s="70">
        <v>0</v>
      </c>
      <c r="ONB85" s="70">
        <v>0</v>
      </c>
      <c r="ONC85" s="70">
        <v>0</v>
      </c>
      <c r="OND85" s="70">
        <v>0</v>
      </c>
      <c r="ONE85" s="70">
        <v>0</v>
      </c>
      <c r="ONF85" s="70">
        <v>0</v>
      </c>
      <c r="ONG85" s="70">
        <v>0</v>
      </c>
      <c r="ONH85" s="70">
        <v>0</v>
      </c>
      <c r="ONI85" s="70">
        <v>0</v>
      </c>
      <c r="ONJ85" s="70">
        <v>0</v>
      </c>
      <c r="ONK85" s="70">
        <v>0</v>
      </c>
      <c r="ONL85" s="70">
        <v>0</v>
      </c>
      <c r="ONM85" s="70">
        <v>0</v>
      </c>
      <c r="ONN85" s="70">
        <v>0</v>
      </c>
      <c r="ONO85" s="70">
        <v>0</v>
      </c>
      <c r="ONP85" s="70">
        <v>0</v>
      </c>
      <c r="ONQ85" s="70">
        <v>0</v>
      </c>
      <c r="ONR85" s="70">
        <v>0</v>
      </c>
      <c r="ONS85" s="70">
        <v>0</v>
      </c>
      <c r="ONT85" s="70">
        <v>0</v>
      </c>
      <c r="ONU85" s="70">
        <v>0</v>
      </c>
      <c r="ONV85" s="70">
        <v>0</v>
      </c>
      <c r="ONW85" s="70">
        <v>0</v>
      </c>
      <c r="ONX85" s="70">
        <v>0</v>
      </c>
      <c r="ONY85" s="70">
        <v>0</v>
      </c>
      <c r="ONZ85" s="70">
        <v>0</v>
      </c>
      <c r="OOA85" s="70">
        <v>0</v>
      </c>
      <c r="OOB85" s="70">
        <v>0</v>
      </c>
      <c r="OOC85" s="70">
        <v>0</v>
      </c>
      <c r="OOD85" s="70">
        <v>0</v>
      </c>
      <c r="OOE85" s="70">
        <v>0</v>
      </c>
      <c r="OOF85" s="70">
        <v>0</v>
      </c>
      <c r="OOG85" s="70">
        <v>0</v>
      </c>
      <c r="OOH85" s="70">
        <v>0</v>
      </c>
      <c r="OOI85" s="70">
        <v>0</v>
      </c>
      <c r="OOJ85" s="70">
        <v>0</v>
      </c>
      <c r="OOK85" s="70">
        <v>0</v>
      </c>
      <c r="OOL85" s="70">
        <v>0</v>
      </c>
      <c r="OOM85" s="70">
        <v>0</v>
      </c>
      <c r="OON85" s="70">
        <v>0</v>
      </c>
      <c r="OOO85" s="70">
        <v>0</v>
      </c>
      <c r="OOP85" s="70">
        <v>0</v>
      </c>
      <c r="OOQ85" s="70">
        <v>0</v>
      </c>
      <c r="OOR85" s="70">
        <v>0</v>
      </c>
      <c r="OOS85" s="70">
        <v>0</v>
      </c>
      <c r="OOT85" s="70">
        <v>0</v>
      </c>
      <c r="OOU85" s="70">
        <v>0</v>
      </c>
      <c r="OOV85" s="70">
        <v>0</v>
      </c>
      <c r="OOW85" s="70">
        <v>0</v>
      </c>
      <c r="OOX85" s="70">
        <v>0</v>
      </c>
      <c r="OOY85" s="70">
        <v>0</v>
      </c>
      <c r="OOZ85" s="70">
        <v>0</v>
      </c>
      <c r="OPA85" s="70">
        <v>0</v>
      </c>
      <c r="OPB85" s="70">
        <v>0</v>
      </c>
      <c r="OPC85" s="70">
        <v>0</v>
      </c>
      <c r="OPD85" s="70">
        <v>0</v>
      </c>
      <c r="OPE85" s="70">
        <v>0</v>
      </c>
      <c r="OPF85" s="70">
        <v>0</v>
      </c>
      <c r="OPG85" s="70">
        <v>0</v>
      </c>
      <c r="OPH85" s="70">
        <v>0</v>
      </c>
      <c r="OPI85" s="70">
        <v>0</v>
      </c>
      <c r="OPJ85" s="70">
        <v>0</v>
      </c>
      <c r="OPK85" s="70">
        <v>0</v>
      </c>
      <c r="OPL85" s="70">
        <v>0</v>
      </c>
      <c r="OPM85" s="70">
        <v>0</v>
      </c>
      <c r="OPN85" s="70">
        <v>0</v>
      </c>
      <c r="OPO85" s="70">
        <v>0</v>
      </c>
      <c r="OPP85" s="70">
        <v>0</v>
      </c>
      <c r="OPQ85" s="70">
        <v>0</v>
      </c>
      <c r="OPR85" s="70">
        <v>0</v>
      </c>
      <c r="OPS85" s="70">
        <v>0</v>
      </c>
      <c r="OPT85" s="70">
        <v>0</v>
      </c>
      <c r="OPU85" s="70">
        <v>0</v>
      </c>
      <c r="OPV85" s="70">
        <v>0</v>
      </c>
      <c r="OPW85" s="70">
        <v>0</v>
      </c>
      <c r="OPX85" s="70">
        <v>0</v>
      </c>
      <c r="OPY85" s="70">
        <v>0</v>
      </c>
      <c r="OPZ85" s="70">
        <v>0</v>
      </c>
      <c r="OQA85" s="70">
        <v>0</v>
      </c>
      <c r="OQB85" s="70">
        <v>0</v>
      </c>
      <c r="OQC85" s="70">
        <v>0</v>
      </c>
      <c r="OQD85" s="70">
        <v>0</v>
      </c>
      <c r="OQE85" s="70">
        <v>0</v>
      </c>
      <c r="OQF85" s="70">
        <v>0</v>
      </c>
      <c r="OQG85" s="70">
        <v>0</v>
      </c>
      <c r="OQH85" s="70">
        <v>0</v>
      </c>
      <c r="OQI85" s="70">
        <v>0</v>
      </c>
      <c r="OQJ85" s="70">
        <v>0</v>
      </c>
      <c r="OQK85" s="70">
        <v>0</v>
      </c>
      <c r="OQL85" s="70">
        <v>0</v>
      </c>
      <c r="OQM85" s="70">
        <v>0</v>
      </c>
      <c r="OQN85" s="70">
        <v>0</v>
      </c>
      <c r="OQO85" s="70">
        <v>0</v>
      </c>
      <c r="OQP85" s="70">
        <v>0</v>
      </c>
      <c r="OQQ85" s="70">
        <v>0</v>
      </c>
      <c r="OQR85" s="70">
        <v>0</v>
      </c>
      <c r="OQS85" s="70">
        <v>0</v>
      </c>
      <c r="OQT85" s="70">
        <v>0</v>
      </c>
      <c r="OQU85" s="70">
        <v>0</v>
      </c>
      <c r="OQV85" s="70">
        <v>0</v>
      </c>
      <c r="OQW85" s="70">
        <v>0</v>
      </c>
      <c r="OQX85" s="70">
        <v>0</v>
      </c>
      <c r="OQY85" s="70">
        <v>0</v>
      </c>
      <c r="OQZ85" s="70">
        <v>0</v>
      </c>
      <c r="ORA85" s="70">
        <v>0</v>
      </c>
      <c r="ORB85" s="70">
        <v>0</v>
      </c>
      <c r="ORC85" s="70">
        <v>0</v>
      </c>
      <c r="ORD85" s="70">
        <v>0</v>
      </c>
      <c r="ORE85" s="70">
        <v>0</v>
      </c>
      <c r="ORF85" s="70">
        <v>0</v>
      </c>
      <c r="ORG85" s="70">
        <v>0</v>
      </c>
      <c r="ORH85" s="70">
        <v>0</v>
      </c>
      <c r="ORI85" s="70">
        <v>0</v>
      </c>
      <c r="ORJ85" s="70">
        <v>0</v>
      </c>
      <c r="ORK85" s="70">
        <v>0</v>
      </c>
      <c r="ORL85" s="70">
        <v>0</v>
      </c>
      <c r="ORM85" s="70">
        <v>0</v>
      </c>
      <c r="ORN85" s="70">
        <v>0</v>
      </c>
      <c r="ORO85" s="70">
        <v>0</v>
      </c>
      <c r="ORP85" s="70">
        <v>0</v>
      </c>
      <c r="ORQ85" s="70">
        <v>0</v>
      </c>
      <c r="ORR85" s="70">
        <v>0</v>
      </c>
      <c r="ORS85" s="70">
        <v>0</v>
      </c>
      <c r="ORT85" s="70">
        <v>0</v>
      </c>
      <c r="ORU85" s="70">
        <v>0</v>
      </c>
      <c r="ORV85" s="70">
        <v>0</v>
      </c>
      <c r="ORW85" s="70">
        <v>0</v>
      </c>
      <c r="ORX85" s="70">
        <v>0</v>
      </c>
      <c r="ORY85" s="70">
        <v>0</v>
      </c>
      <c r="ORZ85" s="70">
        <v>0</v>
      </c>
      <c r="OSA85" s="70">
        <v>0</v>
      </c>
      <c r="OSB85" s="70">
        <v>0</v>
      </c>
      <c r="OSC85" s="70">
        <v>0</v>
      </c>
      <c r="OSD85" s="70">
        <v>0</v>
      </c>
      <c r="OSE85" s="70">
        <v>0</v>
      </c>
      <c r="OSF85" s="70">
        <v>0</v>
      </c>
      <c r="OSG85" s="70">
        <v>0</v>
      </c>
      <c r="OSH85" s="70">
        <v>0</v>
      </c>
      <c r="OSI85" s="70">
        <v>0</v>
      </c>
      <c r="OSJ85" s="70">
        <v>0</v>
      </c>
      <c r="OSK85" s="70">
        <v>0</v>
      </c>
      <c r="OSL85" s="70">
        <v>0</v>
      </c>
      <c r="OSM85" s="70">
        <v>0</v>
      </c>
      <c r="OSN85" s="70">
        <v>0</v>
      </c>
      <c r="OSO85" s="70">
        <v>0</v>
      </c>
      <c r="OSP85" s="70">
        <v>0</v>
      </c>
      <c r="OSQ85" s="70">
        <v>0</v>
      </c>
      <c r="OSR85" s="70">
        <v>0</v>
      </c>
      <c r="OSS85" s="70">
        <v>0</v>
      </c>
      <c r="OST85" s="70">
        <v>0</v>
      </c>
      <c r="OSU85" s="70">
        <v>0</v>
      </c>
      <c r="OSV85" s="70">
        <v>0</v>
      </c>
      <c r="OSW85" s="70">
        <v>0</v>
      </c>
      <c r="OSX85" s="70">
        <v>0</v>
      </c>
      <c r="OSY85" s="70">
        <v>0</v>
      </c>
      <c r="OSZ85" s="70">
        <v>0</v>
      </c>
      <c r="OTA85" s="70">
        <v>0</v>
      </c>
      <c r="OTB85" s="70">
        <v>0</v>
      </c>
      <c r="OTC85" s="70">
        <v>0</v>
      </c>
      <c r="OTD85" s="70">
        <v>0</v>
      </c>
      <c r="OTE85" s="70">
        <v>0</v>
      </c>
      <c r="OTF85" s="70">
        <v>0</v>
      </c>
      <c r="OTG85" s="70">
        <v>0</v>
      </c>
      <c r="OTH85" s="70">
        <v>0</v>
      </c>
      <c r="OTI85" s="70">
        <v>0</v>
      </c>
      <c r="OTJ85" s="70">
        <v>0</v>
      </c>
      <c r="OTK85" s="70">
        <v>0</v>
      </c>
      <c r="OTL85" s="70">
        <v>0</v>
      </c>
      <c r="OTM85" s="70">
        <v>0</v>
      </c>
      <c r="OTN85" s="70">
        <v>0</v>
      </c>
      <c r="OTO85" s="70">
        <v>0</v>
      </c>
      <c r="OTP85" s="70">
        <v>0</v>
      </c>
      <c r="OTQ85" s="70">
        <v>0</v>
      </c>
      <c r="OTR85" s="70">
        <v>0</v>
      </c>
      <c r="OTS85" s="70">
        <v>0</v>
      </c>
      <c r="OTT85" s="70">
        <v>0</v>
      </c>
      <c r="OTU85" s="70">
        <v>0</v>
      </c>
      <c r="OTV85" s="70">
        <v>0</v>
      </c>
      <c r="OTW85" s="70">
        <v>0</v>
      </c>
      <c r="OTX85" s="70">
        <v>0</v>
      </c>
      <c r="OTY85" s="70">
        <v>0</v>
      </c>
      <c r="OTZ85" s="70">
        <v>0</v>
      </c>
      <c r="OUA85" s="70">
        <v>0</v>
      </c>
      <c r="OUB85" s="70">
        <v>0</v>
      </c>
      <c r="OUC85" s="70">
        <v>0</v>
      </c>
      <c r="OUD85" s="70">
        <v>0</v>
      </c>
      <c r="OUE85" s="70">
        <v>0</v>
      </c>
      <c r="OUF85" s="70">
        <v>0</v>
      </c>
      <c r="OUG85" s="70">
        <v>0</v>
      </c>
      <c r="OUH85" s="70">
        <v>0</v>
      </c>
      <c r="OUI85" s="70">
        <v>0</v>
      </c>
      <c r="OUJ85" s="70">
        <v>0</v>
      </c>
      <c r="OUK85" s="70">
        <v>0</v>
      </c>
      <c r="OUL85" s="70">
        <v>0</v>
      </c>
      <c r="OUM85" s="70">
        <v>0</v>
      </c>
      <c r="OUN85" s="70">
        <v>0</v>
      </c>
      <c r="OUO85" s="70">
        <v>0</v>
      </c>
      <c r="OUP85" s="70">
        <v>0</v>
      </c>
      <c r="OUQ85" s="70">
        <v>0</v>
      </c>
      <c r="OUR85" s="70">
        <v>0</v>
      </c>
      <c r="OUS85" s="70">
        <v>0</v>
      </c>
      <c r="OUT85" s="70">
        <v>0</v>
      </c>
      <c r="OUU85" s="70">
        <v>0</v>
      </c>
      <c r="OUV85" s="70">
        <v>0</v>
      </c>
      <c r="OUW85" s="70">
        <v>0</v>
      </c>
      <c r="OUX85" s="70">
        <v>0</v>
      </c>
      <c r="OUY85" s="70">
        <v>0</v>
      </c>
      <c r="OUZ85" s="70">
        <v>0</v>
      </c>
      <c r="OVA85" s="70">
        <v>0</v>
      </c>
      <c r="OVB85" s="70">
        <v>0</v>
      </c>
      <c r="OVC85" s="70">
        <v>0</v>
      </c>
      <c r="OVD85" s="70">
        <v>0</v>
      </c>
      <c r="OVE85" s="70">
        <v>0</v>
      </c>
      <c r="OVF85" s="70">
        <v>0</v>
      </c>
      <c r="OVG85" s="70">
        <v>0</v>
      </c>
      <c r="OVH85" s="70">
        <v>0</v>
      </c>
      <c r="OVI85" s="70">
        <v>0</v>
      </c>
      <c r="OVJ85" s="70">
        <v>0</v>
      </c>
      <c r="OVK85" s="70">
        <v>0</v>
      </c>
      <c r="OVL85" s="70">
        <v>0</v>
      </c>
      <c r="OVM85" s="70">
        <v>0</v>
      </c>
      <c r="OVN85" s="70">
        <v>0</v>
      </c>
      <c r="OVO85" s="70">
        <v>0</v>
      </c>
      <c r="OVP85" s="70">
        <v>0</v>
      </c>
      <c r="OVQ85" s="70">
        <v>0</v>
      </c>
      <c r="OVR85" s="70">
        <v>0</v>
      </c>
      <c r="OVS85" s="70">
        <v>0</v>
      </c>
      <c r="OVT85" s="70">
        <v>0</v>
      </c>
      <c r="OVU85" s="70">
        <v>0</v>
      </c>
      <c r="OVV85" s="70">
        <v>0</v>
      </c>
      <c r="OVW85" s="70">
        <v>0</v>
      </c>
      <c r="OVX85" s="70">
        <v>0</v>
      </c>
      <c r="OVY85" s="70">
        <v>0</v>
      </c>
      <c r="OVZ85" s="70">
        <v>0</v>
      </c>
      <c r="OWA85" s="70">
        <v>0</v>
      </c>
      <c r="OWB85" s="70">
        <v>0</v>
      </c>
      <c r="OWC85" s="70">
        <v>0</v>
      </c>
      <c r="OWD85" s="70">
        <v>0</v>
      </c>
      <c r="OWE85" s="70">
        <v>0</v>
      </c>
      <c r="OWF85" s="70">
        <v>0</v>
      </c>
      <c r="OWG85" s="70">
        <v>0</v>
      </c>
      <c r="OWH85" s="70">
        <v>0</v>
      </c>
      <c r="OWI85" s="70">
        <v>0</v>
      </c>
      <c r="OWJ85" s="70">
        <v>0</v>
      </c>
      <c r="OWK85" s="70">
        <v>0</v>
      </c>
      <c r="OWL85" s="70">
        <v>0</v>
      </c>
      <c r="OWM85" s="70">
        <v>0</v>
      </c>
      <c r="OWN85" s="70">
        <v>0</v>
      </c>
      <c r="OWO85" s="70">
        <v>0</v>
      </c>
      <c r="OWP85" s="70">
        <v>0</v>
      </c>
      <c r="OWQ85" s="70">
        <v>0</v>
      </c>
      <c r="OWR85" s="70">
        <v>0</v>
      </c>
      <c r="OWS85" s="70">
        <v>0</v>
      </c>
      <c r="OWT85" s="70">
        <v>0</v>
      </c>
      <c r="OWU85" s="70">
        <v>0</v>
      </c>
      <c r="OWV85" s="70">
        <v>0</v>
      </c>
      <c r="OWW85" s="70">
        <v>0</v>
      </c>
      <c r="OWX85" s="70">
        <v>0</v>
      </c>
      <c r="OWY85" s="70">
        <v>0</v>
      </c>
      <c r="OWZ85" s="70">
        <v>0</v>
      </c>
      <c r="OXA85" s="70">
        <v>0</v>
      </c>
      <c r="OXB85" s="70">
        <v>0</v>
      </c>
      <c r="OXC85" s="70">
        <v>0</v>
      </c>
      <c r="OXD85" s="70">
        <v>0</v>
      </c>
      <c r="OXE85" s="70">
        <v>0</v>
      </c>
      <c r="OXF85" s="70">
        <v>0</v>
      </c>
      <c r="OXG85" s="70">
        <v>0</v>
      </c>
      <c r="OXH85" s="70">
        <v>0</v>
      </c>
      <c r="OXI85" s="70">
        <v>0</v>
      </c>
      <c r="OXJ85" s="70">
        <v>0</v>
      </c>
      <c r="OXK85" s="70">
        <v>0</v>
      </c>
      <c r="OXL85" s="70">
        <v>0</v>
      </c>
      <c r="OXM85" s="70">
        <v>0</v>
      </c>
      <c r="OXN85" s="70">
        <v>0</v>
      </c>
      <c r="OXO85" s="70">
        <v>0</v>
      </c>
      <c r="OXP85" s="70">
        <v>0</v>
      </c>
      <c r="OXQ85" s="70">
        <v>0</v>
      </c>
      <c r="OXR85" s="70">
        <v>0</v>
      </c>
      <c r="OXS85" s="70">
        <v>0</v>
      </c>
      <c r="OXT85" s="70">
        <v>0</v>
      </c>
      <c r="OXU85" s="70">
        <v>0</v>
      </c>
      <c r="OXV85" s="70">
        <v>0</v>
      </c>
      <c r="OXW85" s="70">
        <v>0</v>
      </c>
      <c r="OXX85" s="70">
        <v>0</v>
      </c>
      <c r="OXY85" s="70">
        <v>0</v>
      </c>
      <c r="OXZ85" s="70">
        <v>0</v>
      </c>
      <c r="OYA85" s="70">
        <v>0</v>
      </c>
      <c r="OYB85" s="70">
        <v>0</v>
      </c>
      <c r="OYC85" s="70">
        <v>0</v>
      </c>
      <c r="OYD85" s="70">
        <v>0</v>
      </c>
      <c r="OYE85" s="70">
        <v>0</v>
      </c>
      <c r="OYF85" s="70">
        <v>0</v>
      </c>
      <c r="OYG85" s="70">
        <v>0</v>
      </c>
      <c r="OYH85" s="70">
        <v>0</v>
      </c>
      <c r="OYI85" s="70">
        <v>0</v>
      </c>
      <c r="OYJ85" s="70">
        <v>0</v>
      </c>
      <c r="OYK85" s="70">
        <v>0</v>
      </c>
      <c r="OYL85" s="70">
        <v>0</v>
      </c>
      <c r="OYM85" s="70">
        <v>0</v>
      </c>
      <c r="OYN85" s="70">
        <v>0</v>
      </c>
      <c r="OYO85" s="70">
        <v>0</v>
      </c>
      <c r="OYP85" s="70">
        <v>0</v>
      </c>
      <c r="OYQ85" s="70">
        <v>0</v>
      </c>
      <c r="OYR85" s="70">
        <v>0</v>
      </c>
      <c r="OYS85" s="70">
        <v>0</v>
      </c>
      <c r="OYT85" s="70">
        <v>0</v>
      </c>
      <c r="OYU85" s="70">
        <v>0</v>
      </c>
      <c r="OYV85" s="70">
        <v>0</v>
      </c>
      <c r="OYW85" s="70">
        <v>0</v>
      </c>
      <c r="OYX85" s="70">
        <v>0</v>
      </c>
      <c r="OYY85" s="70">
        <v>0</v>
      </c>
      <c r="OYZ85" s="70">
        <v>0</v>
      </c>
      <c r="OZA85" s="70">
        <v>0</v>
      </c>
      <c r="OZB85" s="70">
        <v>0</v>
      </c>
      <c r="OZC85" s="70">
        <v>0</v>
      </c>
      <c r="OZD85" s="70">
        <v>0</v>
      </c>
      <c r="OZE85" s="70">
        <v>0</v>
      </c>
      <c r="OZF85" s="70">
        <v>0</v>
      </c>
      <c r="OZG85" s="70">
        <v>0</v>
      </c>
      <c r="OZH85" s="70">
        <v>0</v>
      </c>
      <c r="OZI85" s="70">
        <v>0</v>
      </c>
      <c r="OZJ85" s="70">
        <v>0</v>
      </c>
      <c r="OZK85" s="70">
        <v>0</v>
      </c>
      <c r="OZL85" s="70">
        <v>0</v>
      </c>
      <c r="OZM85" s="70">
        <v>0</v>
      </c>
      <c r="OZN85" s="70">
        <v>0</v>
      </c>
      <c r="OZO85" s="70">
        <v>0</v>
      </c>
      <c r="OZP85" s="70">
        <v>0</v>
      </c>
      <c r="OZQ85" s="70">
        <v>0</v>
      </c>
      <c r="OZR85" s="70">
        <v>0</v>
      </c>
      <c r="OZS85" s="70">
        <v>0</v>
      </c>
      <c r="OZT85" s="70">
        <v>0</v>
      </c>
      <c r="OZU85" s="70">
        <v>0</v>
      </c>
      <c r="OZV85" s="70">
        <v>0</v>
      </c>
      <c r="OZW85" s="70">
        <v>0</v>
      </c>
      <c r="OZX85" s="70">
        <v>0</v>
      </c>
      <c r="OZY85" s="70">
        <v>0</v>
      </c>
      <c r="OZZ85" s="70">
        <v>0</v>
      </c>
      <c r="PAA85" s="70">
        <v>0</v>
      </c>
      <c r="PAB85" s="70">
        <v>0</v>
      </c>
      <c r="PAC85" s="70">
        <v>0</v>
      </c>
      <c r="PAD85" s="70">
        <v>0</v>
      </c>
      <c r="PAE85" s="70">
        <v>0</v>
      </c>
      <c r="PAF85" s="70">
        <v>0</v>
      </c>
      <c r="PAG85" s="70">
        <v>0</v>
      </c>
      <c r="PAH85" s="70">
        <v>0</v>
      </c>
      <c r="PAI85" s="70">
        <v>0</v>
      </c>
      <c r="PAJ85" s="70">
        <v>0</v>
      </c>
      <c r="PAK85" s="70">
        <v>0</v>
      </c>
      <c r="PAL85" s="70">
        <v>0</v>
      </c>
      <c r="PAM85" s="70">
        <v>0</v>
      </c>
      <c r="PAN85" s="70">
        <v>0</v>
      </c>
      <c r="PAO85" s="70">
        <v>0</v>
      </c>
      <c r="PAP85" s="70">
        <v>0</v>
      </c>
      <c r="PAQ85" s="70">
        <v>0</v>
      </c>
      <c r="PAR85" s="70">
        <v>0</v>
      </c>
      <c r="PAS85" s="70">
        <v>0</v>
      </c>
      <c r="PAT85" s="70">
        <v>0</v>
      </c>
      <c r="PAU85" s="70">
        <v>0</v>
      </c>
      <c r="PAV85" s="70">
        <v>0</v>
      </c>
      <c r="PAW85" s="70">
        <v>0</v>
      </c>
      <c r="PAX85" s="70">
        <v>0</v>
      </c>
      <c r="PAY85" s="70">
        <v>0</v>
      </c>
      <c r="PAZ85" s="70">
        <v>0</v>
      </c>
      <c r="PBA85" s="70">
        <v>0</v>
      </c>
      <c r="PBB85" s="70">
        <v>0</v>
      </c>
      <c r="PBC85" s="70">
        <v>0</v>
      </c>
      <c r="PBD85" s="70">
        <v>0</v>
      </c>
      <c r="PBE85" s="70">
        <v>0</v>
      </c>
      <c r="PBF85" s="70">
        <v>0</v>
      </c>
      <c r="PBG85" s="70">
        <v>0</v>
      </c>
      <c r="PBH85" s="70">
        <v>0</v>
      </c>
      <c r="PBI85" s="70">
        <v>0</v>
      </c>
      <c r="PBJ85" s="70">
        <v>0</v>
      </c>
      <c r="PBK85" s="70">
        <v>0</v>
      </c>
      <c r="PBL85" s="70">
        <v>0</v>
      </c>
      <c r="PBM85" s="70">
        <v>0</v>
      </c>
      <c r="PBN85" s="70">
        <v>0</v>
      </c>
      <c r="PBO85" s="70">
        <v>0</v>
      </c>
      <c r="PBP85" s="70">
        <v>0</v>
      </c>
      <c r="PBQ85" s="70">
        <v>0</v>
      </c>
      <c r="PBR85" s="70">
        <v>0</v>
      </c>
      <c r="PBS85" s="70">
        <v>0</v>
      </c>
      <c r="PBT85" s="70">
        <v>0</v>
      </c>
      <c r="PBU85" s="70">
        <v>0</v>
      </c>
      <c r="PBV85" s="70">
        <v>0</v>
      </c>
      <c r="PBW85" s="70">
        <v>0</v>
      </c>
      <c r="PBX85" s="70">
        <v>0</v>
      </c>
      <c r="PBY85" s="70">
        <v>0</v>
      </c>
      <c r="PBZ85" s="70">
        <v>0</v>
      </c>
      <c r="PCA85" s="70">
        <v>0</v>
      </c>
      <c r="PCB85" s="70">
        <v>0</v>
      </c>
      <c r="PCC85" s="70">
        <v>0</v>
      </c>
      <c r="PCD85" s="70">
        <v>0</v>
      </c>
      <c r="PCE85" s="70">
        <v>0</v>
      </c>
      <c r="PCF85" s="70">
        <v>0</v>
      </c>
      <c r="PCG85" s="70">
        <v>0</v>
      </c>
      <c r="PCH85" s="70">
        <v>0</v>
      </c>
      <c r="PCI85" s="70">
        <v>0</v>
      </c>
      <c r="PCJ85" s="70">
        <v>0</v>
      </c>
      <c r="PCK85" s="70">
        <v>0</v>
      </c>
      <c r="PCL85" s="70">
        <v>0</v>
      </c>
      <c r="PCM85" s="70">
        <v>0</v>
      </c>
      <c r="PCN85" s="70">
        <v>0</v>
      </c>
      <c r="PCO85" s="70">
        <v>0</v>
      </c>
      <c r="PCP85" s="70">
        <v>0</v>
      </c>
      <c r="PCQ85" s="70">
        <v>0</v>
      </c>
      <c r="PCR85" s="70">
        <v>0</v>
      </c>
      <c r="PCS85" s="70">
        <v>0</v>
      </c>
      <c r="PCT85" s="70">
        <v>0</v>
      </c>
      <c r="PCU85" s="70">
        <v>0</v>
      </c>
      <c r="PCV85" s="70">
        <v>0</v>
      </c>
      <c r="PCW85" s="70">
        <v>0</v>
      </c>
      <c r="PCX85" s="70">
        <v>0</v>
      </c>
      <c r="PCY85" s="70">
        <v>0</v>
      </c>
      <c r="PCZ85" s="70">
        <v>0</v>
      </c>
      <c r="PDA85" s="70">
        <v>0</v>
      </c>
      <c r="PDB85" s="70">
        <v>0</v>
      </c>
      <c r="PDC85" s="70">
        <v>0</v>
      </c>
      <c r="PDD85" s="70">
        <v>0</v>
      </c>
      <c r="PDE85" s="70">
        <v>0</v>
      </c>
      <c r="PDF85" s="70">
        <v>0</v>
      </c>
      <c r="PDG85" s="70">
        <v>0</v>
      </c>
      <c r="PDH85" s="70">
        <v>0</v>
      </c>
      <c r="PDI85" s="70">
        <v>0</v>
      </c>
      <c r="PDJ85" s="70">
        <v>0</v>
      </c>
      <c r="PDK85" s="70">
        <v>0</v>
      </c>
      <c r="PDL85" s="70">
        <v>0</v>
      </c>
      <c r="PDM85" s="70">
        <v>0</v>
      </c>
      <c r="PDN85" s="70">
        <v>0</v>
      </c>
      <c r="PDO85" s="70">
        <v>0</v>
      </c>
      <c r="PDP85" s="70">
        <v>0</v>
      </c>
      <c r="PDQ85" s="70">
        <v>0</v>
      </c>
      <c r="PDR85" s="70">
        <v>0</v>
      </c>
      <c r="PDS85" s="70">
        <v>0</v>
      </c>
      <c r="PDT85" s="70">
        <v>0</v>
      </c>
      <c r="PDU85" s="70">
        <v>0</v>
      </c>
      <c r="PDV85" s="70">
        <v>0</v>
      </c>
      <c r="PDW85" s="70">
        <v>0</v>
      </c>
      <c r="PDX85" s="70">
        <v>0</v>
      </c>
      <c r="PDY85" s="70">
        <v>0</v>
      </c>
      <c r="PDZ85" s="70">
        <v>0</v>
      </c>
      <c r="PEA85" s="70">
        <v>0</v>
      </c>
      <c r="PEB85" s="70">
        <v>0</v>
      </c>
      <c r="PEC85" s="70">
        <v>0</v>
      </c>
      <c r="PED85" s="70">
        <v>0</v>
      </c>
      <c r="PEE85" s="70">
        <v>0</v>
      </c>
      <c r="PEF85" s="70">
        <v>0</v>
      </c>
      <c r="PEG85" s="70">
        <v>0</v>
      </c>
      <c r="PEH85" s="70">
        <v>0</v>
      </c>
      <c r="PEI85" s="70">
        <v>0</v>
      </c>
      <c r="PEJ85" s="70">
        <v>0</v>
      </c>
      <c r="PEK85" s="70">
        <v>0</v>
      </c>
      <c r="PEL85" s="70">
        <v>0</v>
      </c>
      <c r="PEM85" s="70">
        <v>0</v>
      </c>
      <c r="PEN85" s="70">
        <v>0</v>
      </c>
      <c r="PEO85" s="70">
        <v>0</v>
      </c>
      <c r="PEP85" s="70">
        <v>0</v>
      </c>
      <c r="PEQ85" s="70">
        <v>0</v>
      </c>
      <c r="PER85" s="70">
        <v>0</v>
      </c>
      <c r="PES85" s="70">
        <v>0</v>
      </c>
      <c r="PET85" s="70">
        <v>0</v>
      </c>
      <c r="PEU85" s="70">
        <v>0</v>
      </c>
      <c r="PEV85" s="70">
        <v>0</v>
      </c>
      <c r="PEW85" s="70">
        <v>0</v>
      </c>
      <c r="PEX85" s="70">
        <v>0</v>
      </c>
      <c r="PEY85" s="70">
        <v>0</v>
      </c>
      <c r="PEZ85" s="70">
        <v>0</v>
      </c>
      <c r="PFA85" s="70">
        <v>0</v>
      </c>
      <c r="PFB85" s="70">
        <v>0</v>
      </c>
      <c r="PFC85" s="70">
        <v>0</v>
      </c>
      <c r="PFD85" s="70">
        <v>0</v>
      </c>
      <c r="PFE85" s="70">
        <v>0</v>
      </c>
      <c r="PFF85" s="70">
        <v>0</v>
      </c>
      <c r="PFG85" s="70">
        <v>0</v>
      </c>
      <c r="PFH85" s="70">
        <v>0</v>
      </c>
      <c r="PFI85" s="70">
        <v>0</v>
      </c>
      <c r="PFJ85" s="70">
        <v>0</v>
      </c>
      <c r="PFK85" s="70">
        <v>0</v>
      </c>
      <c r="PFL85" s="70">
        <v>0</v>
      </c>
      <c r="PFM85" s="70">
        <v>0</v>
      </c>
      <c r="PFN85" s="70">
        <v>0</v>
      </c>
      <c r="PFO85" s="70">
        <v>0</v>
      </c>
      <c r="PFP85" s="70">
        <v>0</v>
      </c>
      <c r="PFQ85" s="70">
        <v>0</v>
      </c>
      <c r="PFR85" s="70">
        <v>0</v>
      </c>
      <c r="PFS85" s="70">
        <v>0</v>
      </c>
      <c r="PFT85" s="70">
        <v>0</v>
      </c>
      <c r="PFU85" s="70">
        <v>0</v>
      </c>
      <c r="PFV85" s="70">
        <v>0</v>
      </c>
      <c r="PFW85" s="70">
        <v>0</v>
      </c>
      <c r="PFX85" s="70">
        <v>0</v>
      </c>
      <c r="PFY85" s="70">
        <v>0</v>
      </c>
      <c r="PFZ85" s="70">
        <v>0</v>
      </c>
      <c r="PGA85" s="70">
        <v>0</v>
      </c>
      <c r="PGB85" s="70">
        <v>0</v>
      </c>
      <c r="PGC85" s="70">
        <v>0</v>
      </c>
      <c r="PGD85" s="70">
        <v>0</v>
      </c>
      <c r="PGE85" s="70">
        <v>0</v>
      </c>
      <c r="PGF85" s="70">
        <v>0</v>
      </c>
      <c r="PGG85" s="70">
        <v>0</v>
      </c>
      <c r="PGH85" s="70">
        <v>0</v>
      </c>
      <c r="PGI85" s="70">
        <v>0</v>
      </c>
      <c r="PGJ85" s="70">
        <v>0</v>
      </c>
      <c r="PGK85" s="70">
        <v>0</v>
      </c>
      <c r="PGL85" s="70">
        <v>0</v>
      </c>
      <c r="PGM85" s="70">
        <v>0</v>
      </c>
      <c r="PGN85" s="70">
        <v>0</v>
      </c>
      <c r="PGO85" s="70">
        <v>0</v>
      </c>
      <c r="PGP85" s="70">
        <v>0</v>
      </c>
      <c r="PGQ85" s="70">
        <v>0</v>
      </c>
      <c r="PGR85" s="70">
        <v>0</v>
      </c>
      <c r="PGS85" s="70">
        <v>0</v>
      </c>
      <c r="PGT85" s="70">
        <v>0</v>
      </c>
      <c r="PGU85" s="70">
        <v>0</v>
      </c>
      <c r="PGV85" s="70">
        <v>0</v>
      </c>
      <c r="PGW85" s="70">
        <v>0</v>
      </c>
      <c r="PGX85" s="70">
        <v>0</v>
      </c>
      <c r="PGY85" s="70">
        <v>0</v>
      </c>
      <c r="PGZ85" s="70">
        <v>0</v>
      </c>
      <c r="PHA85" s="70">
        <v>0</v>
      </c>
      <c r="PHB85" s="70">
        <v>0</v>
      </c>
      <c r="PHC85" s="70">
        <v>0</v>
      </c>
      <c r="PHD85" s="70">
        <v>0</v>
      </c>
      <c r="PHE85" s="70">
        <v>0</v>
      </c>
      <c r="PHF85" s="70">
        <v>0</v>
      </c>
      <c r="PHG85" s="70">
        <v>0</v>
      </c>
      <c r="PHH85" s="70">
        <v>0</v>
      </c>
      <c r="PHI85" s="70">
        <v>0</v>
      </c>
      <c r="PHJ85" s="70">
        <v>0</v>
      </c>
      <c r="PHK85" s="70">
        <v>0</v>
      </c>
      <c r="PHL85" s="70">
        <v>0</v>
      </c>
      <c r="PHM85" s="70">
        <v>0</v>
      </c>
      <c r="PHN85" s="70">
        <v>0</v>
      </c>
      <c r="PHO85" s="70">
        <v>0</v>
      </c>
      <c r="PHP85" s="70">
        <v>0</v>
      </c>
      <c r="PHQ85" s="70">
        <v>0</v>
      </c>
      <c r="PHR85" s="70">
        <v>0</v>
      </c>
      <c r="PHS85" s="70">
        <v>0</v>
      </c>
      <c r="PHT85" s="70">
        <v>0</v>
      </c>
      <c r="PHU85" s="70">
        <v>0</v>
      </c>
      <c r="PHV85" s="70">
        <v>0</v>
      </c>
      <c r="PHW85" s="70">
        <v>0</v>
      </c>
      <c r="PHX85" s="70">
        <v>0</v>
      </c>
      <c r="PHY85" s="70">
        <v>0</v>
      </c>
      <c r="PHZ85" s="70">
        <v>0</v>
      </c>
      <c r="PIA85" s="70">
        <v>0</v>
      </c>
      <c r="PIB85" s="70">
        <v>0</v>
      </c>
      <c r="PIC85" s="70">
        <v>0</v>
      </c>
      <c r="PID85" s="70">
        <v>0</v>
      </c>
      <c r="PIE85" s="70">
        <v>0</v>
      </c>
      <c r="PIF85" s="70">
        <v>0</v>
      </c>
      <c r="PIG85" s="70">
        <v>0</v>
      </c>
      <c r="PIH85" s="70">
        <v>0</v>
      </c>
      <c r="PII85" s="70">
        <v>0</v>
      </c>
      <c r="PIJ85" s="70">
        <v>0</v>
      </c>
      <c r="PIK85" s="70">
        <v>0</v>
      </c>
      <c r="PIL85" s="70">
        <v>0</v>
      </c>
      <c r="PIM85" s="70">
        <v>0</v>
      </c>
      <c r="PIN85" s="70">
        <v>0</v>
      </c>
      <c r="PIO85" s="70">
        <v>0</v>
      </c>
      <c r="PIP85" s="70">
        <v>0</v>
      </c>
      <c r="PIQ85" s="70">
        <v>0</v>
      </c>
      <c r="PIR85" s="70">
        <v>0</v>
      </c>
      <c r="PIS85" s="70">
        <v>0</v>
      </c>
      <c r="PIT85" s="70">
        <v>0</v>
      </c>
      <c r="PIU85" s="70">
        <v>0</v>
      </c>
      <c r="PIV85" s="70">
        <v>0</v>
      </c>
      <c r="PIW85" s="70">
        <v>0</v>
      </c>
      <c r="PIX85" s="70">
        <v>0</v>
      </c>
      <c r="PIY85" s="70">
        <v>0</v>
      </c>
      <c r="PIZ85" s="70">
        <v>0</v>
      </c>
      <c r="PJA85" s="70">
        <v>0</v>
      </c>
      <c r="PJB85" s="70">
        <v>0</v>
      </c>
      <c r="PJC85" s="70">
        <v>0</v>
      </c>
      <c r="PJD85" s="70">
        <v>0</v>
      </c>
      <c r="PJE85" s="70">
        <v>0</v>
      </c>
      <c r="PJF85" s="70">
        <v>0</v>
      </c>
      <c r="PJG85" s="70">
        <v>0</v>
      </c>
      <c r="PJH85" s="70">
        <v>0</v>
      </c>
      <c r="PJI85" s="70">
        <v>0</v>
      </c>
      <c r="PJJ85" s="70">
        <v>0</v>
      </c>
      <c r="PJK85" s="70">
        <v>0</v>
      </c>
      <c r="PJL85" s="70">
        <v>0</v>
      </c>
      <c r="PJM85" s="70">
        <v>0</v>
      </c>
      <c r="PJN85" s="70">
        <v>0</v>
      </c>
      <c r="PJO85" s="70">
        <v>0</v>
      </c>
      <c r="PJP85" s="70">
        <v>0</v>
      </c>
      <c r="PJQ85" s="70">
        <v>0</v>
      </c>
      <c r="PJR85" s="70">
        <v>0</v>
      </c>
      <c r="PJS85" s="70">
        <v>0</v>
      </c>
      <c r="PJT85" s="70">
        <v>0</v>
      </c>
      <c r="PJU85" s="70">
        <v>0</v>
      </c>
      <c r="PJV85" s="70">
        <v>0</v>
      </c>
      <c r="PJW85" s="70">
        <v>0</v>
      </c>
      <c r="PJX85" s="70">
        <v>0</v>
      </c>
      <c r="PJY85" s="70">
        <v>0</v>
      </c>
      <c r="PJZ85" s="70">
        <v>0</v>
      </c>
      <c r="PKA85" s="70">
        <v>0</v>
      </c>
      <c r="PKB85" s="70">
        <v>0</v>
      </c>
      <c r="PKC85" s="70">
        <v>0</v>
      </c>
      <c r="PKD85" s="70">
        <v>0</v>
      </c>
      <c r="PKE85" s="70">
        <v>0</v>
      </c>
      <c r="PKF85" s="70">
        <v>0</v>
      </c>
      <c r="PKG85" s="70">
        <v>0</v>
      </c>
      <c r="PKH85" s="70">
        <v>0</v>
      </c>
      <c r="PKI85" s="70">
        <v>0</v>
      </c>
      <c r="PKJ85" s="70">
        <v>0</v>
      </c>
      <c r="PKK85" s="70">
        <v>0</v>
      </c>
      <c r="PKL85" s="70">
        <v>0</v>
      </c>
      <c r="PKM85" s="70">
        <v>0</v>
      </c>
      <c r="PKN85" s="70">
        <v>0</v>
      </c>
      <c r="PKO85" s="70">
        <v>0</v>
      </c>
      <c r="PKP85" s="70">
        <v>0</v>
      </c>
      <c r="PKQ85" s="70">
        <v>0</v>
      </c>
      <c r="PKR85" s="70">
        <v>0</v>
      </c>
      <c r="PKS85" s="70">
        <v>0</v>
      </c>
      <c r="PKT85" s="70">
        <v>0</v>
      </c>
      <c r="PKU85" s="70">
        <v>0</v>
      </c>
      <c r="PKV85" s="70">
        <v>0</v>
      </c>
      <c r="PKW85" s="70">
        <v>0</v>
      </c>
      <c r="PKX85" s="70">
        <v>0</v>
      </c>
      <c r="PKY85" s="70">
        <v>0</v>
      </c>
      <c r="PKZ85" s="70">
        <v>0</v>
      </c>
      <c r="PLA85" s="70">
        <v>0</v>
      </c>
      <c r="PLB85" s="70">
        <v>0</v>
      </c>
      <c r="PLC85" s="70">
        <v>0</v>
      </c>
      <c r="PLD85" s="70">
        <v>0</v>
      </c>
      <c r="PLE85" s="70">
        <v>0</v>
      </c>
      <c r="PLF85" s="70">
        <v>0</v>
      </c>
      <c r="PLG85" s="70">
        <v>0</v>
      </c>
      <c r="PLH85" s="70">
        <v>0</v>
      </c>
      <c r="PLI85" s="70">
        <v>0</v>
      </c>
      <c r="PLJ85" s="70">
        <v>0</v>
      </c>
      <c r="PLK85" s="70">
        <v>0</v>
      </c>
      <c r="PLL85" s="70">
        <v>0</v>
      </c>
      <c r="PLM85" s="70">
        <v>0</v>
      </c>
      <c r="PLN85" s="70">
        <v>0</v>
      </c>
      <c r="PLO85" s="70">
        <v>0</v>
      </c>
      <c r="PLP85" s="70">
        <v>0</v>
      </c>
      <c r="PLQ85" s="70">
        <v>0</v>
      </c>
      <c r="PLR85" s="70">
        <v>0</v>
      </c>
      <c r="PLS85" s="70">
        <v>0</v>
      </c>
      <c r="PLT85" s="70">
        <v>0</v>
      </c>
      <c r="PLU85" s="70">
        <v>0</v>
      </c>
      <c r="PLV85" s="70">
        <v>0</v>
      </c>
      <c r="PLW85" s="70">
        <v>0</v>
      </c>
      <c r="PLX85" s="70">
        <v>0</v>
      </c>
      <c r="PLY85" s="70">
        <v>0</v>
      </c>
      <c r="PLZ85" s="70">
        <v>0</v>
      </c>
      <c r="PMA85" s="70">
        <v>0</v>
      </c>
      <c r="PMB85" s="70">
        <v>0</v>
      </c>
      <c r="PMC85" s="70">
        <v>0</v>
      </c>
      <c r="PMD85" s="70">
        <v>0</v>
      </c>
      <c r="PME85" s="70">
        <v>0</v>
      </c>
      <c r="PMF85" s="70">
        <v>0</v>
      </c>
      <c r="PMG85" s="70">
        <v>0</v>
      </c>
      <c r="PMH85" s="70">
        <v>0</v>
      </c>
      <c r="PMI85" s="70">
        <v>0</v>
      </c>
      <c r="PMJ85" s="70">
        <v>0</v>
      </c>
      <c r="PMK85" s="70">
        <v>0</v>
      </c>
      <c r="PML85" s="70">
        <v>0</v>
      </c>
      <c r="PMM85" s="70">
        <v>0</v>
      </c>
      <c r="PMN85" s="70">
        <v>0</v>
      </c>
      <c r="PMO85" s="70">
        <v>0</v>
      </c>
      <c r="PMP85" s="70">
        <v>0</v>
      </c>
      <c r="PMQ85" s="70">
        <v>0</v>
      </c>
      <c r="PMR85" s="70">
        <v>0</v>
      </c>
      <c r="PMS85" s="70">
        <v>0</v>
      </c>
      <c r="PMT85" s="70">
        <v>0</v>
      </c>
      <c r="PMU85" s="70">
        <v>0</v>
      </c>
      <c r="PMV85" s="70">
        <v>0</v>
      </c>
      <c r="PMW85" s="70">
        <v>0</v>
      </c>
      <c r="PMX85" s="70">
        <v>0</v>
      </c>
      <c r="PMY85" s="70">
        <v>0</v>
      </c>
      <c r="PMZ85" s="70">
        <v>0</v>
      </c>
      <c r="PNA85" s="70">
        <v>0</v>
      </c>
      <c r="PNB85" s="70">
        <v>0</v>
      </c>
      <c r="PNC85" s="70">
        <v>0</v>
      </c>
      <c r="PND85" s="70">
        <v>0</v>
      </c>
      <c r="PNE85" s="70">
        <v>0</v>
      </c>
      <c r="PNF85" s="70">
        <v>0</v>
      </c>
      <c r="PNG85" s="70">
        <v>0</v>
      </c>
      <c r="PNH85" s="70">
        <v>0</v>
      </c>
      <c r="PNI85" s="70">
        <v>0</v>
      </c>
      <c r="PNJ85" s="70">
        <v>0</v>
      </c>
      <c r="PNK85" s="70">
        <v>0</v>
      </c>
      <c r="PNL85" s="70">
        <v>0</v>
      </c>
      <c r="PNM85" s="70">
        <v>0</v>
      </c>
      <c r="PNN85" s="70">
        <v>0</v>
      </c>
      <c r="PNO85" s="70">
        <v>0</v>
      </c>
      <c r="PNP85" s="70">
        <v>0</v>
      </c>
      <c r="PNQ85" s="70">
        <v>0</v>
      </c>
      <c r="PNR85" s="70">
        <v>0</v>
      </c>
      <c r="PNS85" s="70">
        <v>0</v>
      </c>
      <c r="PNT85" s="70">
        <v>0</v>
      </c>
      <c r="PNU85" s="70">
        <v>0</v>
      </c>
      <c r="PNV85" s="70">
        <v>0</v>
      </c>
      <c r="PNW85" s="70">
        <v>0</v>
      </c>
      <c r="PNX85" s="70">
        <v>0</v>
      </c>
      <c r="PNY85" s="70">
        <v>0</v>
      </c>
      <c r="PNZ85" s="70">
        <v>0</v>
      </c>
      <c r="POA85" s="70">
        <v>0</v>
      </c>
      <c r="POB85" s="70">
        <v>0</v>
      </c>
      <c r="POC85" s="70">
        <v>0</v>
      </c>
      <c r="POD85" s="70">
        <v>0</v>
      </c>
      <c r="POE85" s="70">
        <v>0</v>
      </c>
      <c r="POF85" s="70">
        <v>0</v>
      </c>
      <c r="POG85" s="70">
        <v>0</v>
      </c>
      <c r="POH85" s="70">
        <v>0</v>
      </c>
      <c r="POI85" s="70">
        <v>0</v>
      </c>
      <c r="POJ85" s="70">
        <v>0</v>
      </c>
      <c r="POK85" s="70">
        <v>0</v>
      </c>
      <c r="POL85" s="70">
        <v>0</v>
      </c>
      <c r="POM85" s="70">
        <v>0</v>
      </c>
      <c r="PON85" s="70">
        <v>0</v>
      </c>
      <c r="POO85" s="70">
        <v>0</v>
      </c>
      <c r="POP85" s="70">
        <v>0</v>
      </c>
      <c r="POQ85" s="70">
        <v>0</v>
      </c>
      <c r="POR85" s="70">
        <v>0</v>
      </c>
      <c r="POS85" s="70">
        <v>0</v>
      </c>
      <c r="POT85" s="70">
        <v>0</v>
      </c>
      <c r="POU85" s="70">
        <v>0</v>
      </c>
      <c r="POV85" s="70">
        <v>0</v>
      </c>
      <c r="POW85" s="70">
        <v>0</v>
      </c>
      <c r="POX85" s="70">
        <v>0</v>
      </c>
      <c r="POY85" s="70">
        <v>0</v>
      </c>
      <c r="POZ85" s="70">
        <v>0</v>
      </c>
      <c r="PPA85" s="70">
        <v>0</v>
      </c>
      <c r="PPB85" s="70">
        <v>0</v>
      </c>
      <c r="PPC85" s="70">
        <v>0</v>
      </c>
      <c r="PPD85" s="70">
        <v>0</v>
      </c>
      <c r="PPE85" s="70">
        <v>0</v>
      </c>
      <c r="PPF85" s="70">
        <v>0</v>
      </c>
      <c r="PPG85" s="70">
        <v>0</v>
      </c>
      <c r="PPH85" s="70">
        <v>0</v>
      </c>
      <c r="PPI85" s="70">
        <v>0</v>
      </c>
      <c r="PPJ85" s="70">
        <v>0</v>
      </c>
      <c r="PPK85" s="70">
        <v>0</v>
      </c>
      <c r="PPL85" s="70">
        <v>0</v>
      </c>
      <c r="PPM85" s="70">
        <v>0</v>
      </c>
      <c r="PPN85" s="70">
        <v>0</v>
      </c>
      <c r="PPO85" s="70">
        <v>0</v>
      </c>
      <c r="PPP85" s="70">
        <v>0</v>
      </c>
      <c r="PPQ85" s="70">
        <v>0</v>
      </c>
      <c r="PPR85" s="70">
        <v>0</v>
      </c>
      <c r="PPS85" s="70">
        <v>0</v>
      </c>
      <c r="PPT85" s="70">
        <v>0</v>
      </c>
      <c r="PPU85" s="70">
        <v>0</v>
      </c>
      <c r="PPV85" s="70">
        <v>0</v>
      </c>
      <c r="PPW85" s="70">
        <v>0</v>
      </c>
      <c r="PPX85" s="70">
        <v>0</v>
      </c>
      <c r="PPY85" s="70">
        <v>0</v>
      </c>
      <c r="PPZ85" s="70">
        <v>0</v>
      </c>
      <c r="PQA85" s="70">
        <v>0</v>
      </c>
      <c r="PQB85" s="70">
        <v>0</v>
      </c>
      <c r="PQC85" s="70">
        <v>0</v>
      </c>
      <c r="PQD85" s="70">
        <v>0</v>
      </c>
      <c r="PQE85" s="70">
        <v>0</v>
      </c>
      <c r="PQF85" s="70">
        <v>0</v>
      </c>
      <c r="PQG85" s="70">
        <v>0</v>
      </c>
      <c r="PQH85" s="70">
        <v>0</v>
      </c>
      <c r="PQI85" s="70">
        <v>0</v>
      </c>
      <c r="PQJ85" s="70">
        <v>0</v>
      </c>
      <c r="PQK85" s="70">
        <v>0</v>
      </c>
      <c r="PQL85" s="70">
        <v>0</v>
      </c>
      <c r="PQM85" s="70">
        <v>0</v>
      </c>
      <c r="PQN85" s="70">
        <v>0</v>
      </c>
      <c r="PQO85" s="70">
        <v>0</v>
      </c>
      <c r="PQP85" s="70">
        <v>0</v>
      </c>
      <c r="PQQ85" s="70">
        <v>0</v>
      </c>
      <c r="PQR85" s="70">
        <v>0</v>
      </c>
      <c r="PQS85" s="70">
        <v>0</v>
      </c>
      <c r="PQT85" s="70">
        <v>0</v>
      </c>
      <c r="PQU85" s="70">
        <v>0</v>
      </c>
      <c r="PQV85" s="70">
        <v>0</v>
      </c>
      <c r="PQW85" s="70">
        <v>0</v>
      </c>
      <c r="PQX85" s="70">
        <v>0</v>
      </c>
      <c r="PQY85" s="70">
        <v>0</v>
      </c>
      <c r="PQZ85" s="70">
        <v>0</v>
      </c>
      <c r="PRA85" s="70">
        <v>0</v>
      </c>
      <c r="PRB85" s="70">
        <v>0</v>
      </c>
      <c r="PRC85" s="70">
        <v>0</v>
      </c>
      <c r="PRD85" s="70">
        <v>0</v>
      </c>
      <c r="PRE85" s="70">
        <v>0</v>
      </c>
      <c r="PRF85" s="70">
        <v>0</v>
      </c>
      <c r="PRG85" s="70">
        <v>0</v>
      </c>
      <c r="PRH85" s="70">
        <v>0</v>
      </c>
      <c r="PRI85" s="70">
        <v>0</v>
      </c>
      <c r="PRJ85" s="70">
        <v>0</v>
      </c>
      <c r="PRK85" s="70">
        <v>0</v>
      </c>
      <c r="PRL85" s="70">
        <v>0</v>
      </c>
      <c r="PRM85" s="70">
        <v>0</v>
      </c>
      <c r="PRN85" s="70">
        <v>0</v>
      </c>
      <c r="PRO85" s="70">
        <v>0</v>
      </c>
      <c r="PRP85" s="70">
        <v>0</v>
      </c>
      <c r="PRQ85" s="70">
        <v>0</v>
      </c>
      <c r="PRR85" s="70">
        <v>0</v>
      </c>
      <c r="PRS85" s="70">
        <v>0</v>
      </c>
      <c r="PRT85" s="70">
        <v>0</v>
      </c>
      <c r="PRU85" s="70">
        <v>0</v>
      </c>
      <c r="PRV85" s="70">
        <v>0</v>
      </c>
      <c r="PRW85" s="70">
        <v>0</v>
      </c>
      <c r="PRX85" s="70">
        <v>0</v>
      </c>
      <c r="PRY85" s="70">
        <v>0</v>
      </c>
      <c r="PRZ85" s="70">
        <v>0</v>
      </c>
      <c r="PSA85" s="70">
        <v>0</v>
      </c>
      <c r="PSB85" s="70">
        <v>0</v>
      </c>
      <c r="PSC85" s="70">
        <v>0</v>
      </c>
      <c r="PSD85" s="70">
        <v>0</v>
      </c>
      <c r="PSE85" s="70">
        <v>0</v>
      </c>
      <c r="PSF85" s="70">
        <v>0</v>
      </c>
      <c r="PSG85" s="70">
        <v>0</v>
      </c>
      <c r="PSH85" s="70">
        <v>0</v>
      </c>
      <c r="PSI85" s="70">
        <v>0</v>
      </c>
      <c r="PSJ85" s="70">
        <v>0</v>
      </c>
      <c r="PSK85" s="70">
        <v>0</v>
      </c>
      <c r="PSL85" s="70">
        <v>0</v>
      </c>
      <c r="PSM85" s="70">
        <v>0</v>
      </c>
      <c r="PSN85" s="70">
        <v>0</v>
      </c>
      <c r="PSO85" s="70">
        <v>0</v>
      </c>
      <c r="PSP85" s="70">
        <v>0</v>
      </c>
      <c r="PSQ85" s="70">
        <v>0</v>
      </c>
      <c r="PSR85" s="70">
        <v>0</v>
      </c>
      <c r="PSS85" s="70">
        <v>0</v>
      </c>
      <c r="PST85" s="70">
        <v>0</v>
      </c>
      <c r="PSU85" s="70">
        <v>0</v>
      </c>
      <c r="PSV85" s="70">
        <v>0</v>
      </c>
      <c r="PSW85" s="70">
        <v>0</v>
      </c>
      <c r="PSX85" s="70">
        <v>0</v>
      </c>
      <c r="PSY85" s="70">
        <v>0</v>
      </c>
      <c r="PSZ85" s="70">
        <v>0</v>
      </c>
      <c r="PTA85" s="70">
        <v>0</v>
      </c>
      <c r="PTB85" s="70">
        <v>0</v>
      </c>
      <c r="PTC85" s="70">
        <v>0</v>
      </c>
      <c r="PTD85" s="70">
        <v>0</v>
      </c>
      <c r="PTE85" s="70">
        <v>0</v>
      </c>
      <c r="PTF85" s="70">
        <v>0</v>
      </c>
      <c r="PTG85" s="70">
        <v>0</v>
      </c>
      <c r="PTH85" s="70">
        <v>0</v>
      </c>
      <c r="PTI85" s="70">
        <v>0</v>
      </c>
      <c r="PTJ85" s="70">
        <v>0</v>
      </c>
      <c r="PTK85" s="70">
        <v>0</v>
      </c>
      <c r="PTL85" s="70">
        <v>0</v>
      </c>
      <c r="PTM85" s="70">
        <v>0</v>
      </c>
      <c r="PTN85" s="70">
        <v>0</v>
      </c>
      <c r="PTO85" s="70">
        <v>0</v>
      </c>
      <c r="PTP85" s="70">
        <v>0</v>
      </c>
      <c r="PTQ85" s="70">
        <v>0</v>
      </c>
      <c r="PTR85" s="70">
        <v>0</v>
      </c>
      <c r="PTS85" s="70">
        <v>0</v>
      </c>
      <c r="PTT85" s="70">
        <v>0</v>
      </c>
      <c r="PTU85" s="70">
        <v>0</v>
      </c>
      <c r="PTV85" s="70">
        <v>0</v>
      </c>
      <c r="PTW85" s="70">
        <v>0</v>
      </c>
      <c r="PTX85" s="70">
        <v>0</v>
      </c>
      <c r="PTY85" s="70">
        <v>0</v>
      </c>
      <c r="PTZ85" s="70">
        <v>0</v>
      </c>
      <c r="PUA85" s="70">
        <v>0</v>
      </c>
      <c r="PUB85" s="70">
        <v>0</v>
      </c>
      <c r="PUC85" s="70">
        <v>0</v>
      </c>
      <c r="PUD85" s="70">
        <v>0</v>
      </c>
      <c r="PUE85" s="70">
        <v>0</v>
      </c>
      <c r="PUF85" s="70">
        <v>0</v>
      </c>
      <c r="PUG85" s="70">
        <v>0</v>
      </c>
      <c r="PUH85" s="70">
        <v>0</v>
      </c>
      <c r="PUI85" s="70">
        <v>0</v>
      </c>
      <c r="PUJ85" s="70">
        <v>0</v>
      </c>
      <c r="PUK85" s="70">
        <v>0</v>
      </c>
      <c r="PUL85" s="70">
        <v>0</v>
      </c>
      <c r="PUM85" s="70">
        <v>0</v>
      </c>
      <c r="PUN85" s="70">
        <v>0</v>
      </c>
      <c r="PUO85" s="70">
        <v>0</v>
      </c>
      <c r="PUP85" s="70">
        <v>0</v>
      </c>
      <c r="PUQ85" s="70">
        <v>0</v>
      </c>
      <c r="PUR85" s="70">
        <v>0</v>
      </c>
      <c r="PUS85" s="70">
        <v>0</v>
      </c>
      <c r="PUT85" s="70">
        <v>0</v>
      </c>
      <c r="PUU85" s="70">
        <v>0</v>
      </c>
      <c r="PUV85" s="70">
        <v>0</v>
      </c>
      <c r="PUW85" s="70">
        <v>0</v>
      </c>
      <c r="PUX85" s="70">
        <v>0</v>
      </c>
      <c r="PUY85" s="70">
        <v>0</v>
      </c>
      <c r="PUZ85" s="70">
        <v>0</v>
      </c>
      <c r="PVA85" s="70">
        <v>0</v>
      </c>
      <c r="PVB85" s="70">
        <v>0</v>
      </c>
      <c r="PVC85" s="70">
        <v>0</v>
      </c>
      <c r="PVD85" s="70">
        <v>0</v>
      </c>
      <c r="PVE85" s="70">
        <v>0</v>
      </c>
      <c r="PVF85" s="70">
        <v>0</v>
      </c>
      <c r="PVG85" s="70">
        <v>0</v>
      </c>
      <c r="PVH85" s="70">
        <v>0</v>
      </c>
      <c r="PVI85" s="70">
        <v>0</v>
      </c>
      <c r="PVJ85" s="70">
        <v>0</v>
      </c>
      <c r="PVK85" s="70">
        <v>0</v>
      </c>
      <c r="PVL85" s="70">
        <v>0</v>
      </c>
      <c r="PVM85" s="70">
        <v>0</v>
      </c>
      <c r="PVN85" s="70">
        <v>0</v>
      </c>
      <c r="PVO85" s="70">
        <v>0</v>
      </c>
      <c r="PVP85" s="70">
        <v>0</v>
      </c>
      <c r="PVQ85" s="70">
        <v>0</v>
      </c>
      <c r="PVR85" s="70">
        <v>0</v>
      </c>
      <c r="PVS85" s="70">
        <v>0</v>
      </c>
      <c r="PVT85" s="70">
        <v>0</v>
      </c>
      <c r="PVU85" s="70">
        <v>0</v>
      </c>
      <c r="PVV85" s="70">
        <v>0</v>
      </c>
      <c r="PVW85" s="70">
        <v>0</v>
      </c>
      <c r="PVX85" s="70">
        <v>0</v>
      </c>
      <c r="PVY85" s="70">
        <v>0</v>
      </c>
      <c r="PVZ85" s="70">
        <v>0</v>
      </c>
      <c r="PWA85" s="70">
        <v>0</v>
      </c>
      <c r="PWB85" s="70">
        <v>0</v>
      </c>
      <c r="PWC85" s="70">
        <v>0</v>
      </c>
      <c r="PWD85" s="70">
        <v>0</v>
      </c>
      <c r="PWE85" s="70">
        <v>0</v>
      </c>
      <c r="PWF85" s="70">
        <v>0</v>
      </c>
      <c r="PWG85" s="70">
        <v>0</v>
      </c>
      <c r="PWH85" s="70">
        <v>0</v>
      </c>
      <c r="PWI85" s="70">
        <v>0</v>
      </c>
      <c r="PWJ85" s="70">
        <v>0</v>
      </c>
      <c r="PWK85" s="70">
        <v>0</v>
      </c>
      <c r="PWL85" s="70">
        <v>0</v>
      </c>
      <c r="PWM85" s="70">
        <v>0</v>
      </c>
      <c r="PWN85" s="70">
        <v>0</v>
      </c>
      <c r="PWO85" s="70">
        <v>0</v>
      </c>
      <c r="PWP85" s="70">
        <v>0</v>
      </c>
      <c r="PWQ85" s="70">
        <v>0</v>
      </c>
      <c r="PWR85" s="70">
        <v>0</v>
      </c>
      <c r="PWS85" s="70">
        <v>0</v>
      </c>
      <c r="PWT85" s="70">
        <v>0</v>
      </c>
      <c r="PWU85" s="70">
        <v>0</v>
      </c>
      <c r="PWV85" s="70">
        <v>0</v>
      </c>
      <c r="PWW85" s="70">
        <v>0</v>
      </c>
      <c r="PWX85" s="70">
        <v>0</v>
      </c>
      <c r="PWY85" s="70">
        <v>0</v>
      </c>
      <c r="PWZ85" s="70">
        <v>0</v>
      </c>
      <c r="PXA85" s="70">
        <v>0</v>
      </c>
      <c r="PXB85" s="70">
        <v>0</v>
      </c>
      <c r="PXC85" s="70">
        <v>0</v>
      </c>
      <c r="PXD85" s="70">
        <v>0</v>
      </c>
      <c r="PXE85" s="70">
        <v>0</v>
      </c>
      <c r="PXF85" s="70">
        <v>0</v>
      </c>
      <c r="PXG85" s="70">
        <v>0</v>
      </c>
      <c r="PXH85" s="70">
        <v>0</v>
      </c>
      <c r="PXI85" s="70">
        <v>0</v>
      </c>
      <c r="PXJ85" s="70">
        <v>0</v>
      </c>
      <c r="PXK85" s="70">
        <v>0</v>
      </c>
      <c r="PXL85" s="70">
        <v>0</v>
      </c>
      <c r="PXM85" s="70">
        <v>0</v>
      </c>
      <c r="PXN85" s="70">
        <v>0</v>
      </c>
      <c r="PXO85" s="70">
        <v>0</v>
      </c>
      <c r="PXP85" s="70">
        <v>0</v>
      </c>
      <c r="PXQ85" s="70">
        <v>0</v>
      </c>
      <c r="PXR85" s="70">
        <v>0</v>
      </c>
      <c r="PXS85" s="70">
        <v>0</v>
      </c>
      <c r="PXT85" s="70">
        <v>0</v>
      </c>
      <c r="PXU85" s="70">
        <v>0</v>
      </c>
      <c r="PXV85" s="70">
        <v>0</v>
      </c>
      <c r="PXW85" s="70">
        <v>0</v>
      </c>
      <c r="PXX85" s="70">
        <v>0</v>
      </c>
      <c r="PXY85" s="70">
        <v>0</v>
      </c>
      <c r="PXZ85" s="70">
        <v>0</v>
      </c>
      <c r="PYA85" s="70">
        <v>0</v>
      </c>
      <c r="PYB85" s="70">
        <v>0</v>
      </c>
      <c r="PYC85" s="70">
        <v>0</v>
      </c>
      <c r="PYD85" s="70">
        <v>0</v>
      </c>
      <c r="PYE85" s="70">
        <v>0</v>
      </c>
      <c r="PYF85" s="70">
        <v>0</v>
      </c>
      <c r="PYG85" s="70">
        <v>0</v>
      </c>
      <c r="PYH85" s="70">
        <v>0</v>
      </c>
      <c r="PYI85" s="70">
        <v>0</v>
      </c>
      <c r="PYJ85" s="70">
        <v>0</v>
      </c>
      <c r="PYK85" s="70">
        <v>0</v>
      </c>
      <c r="PYL85" s="70">
        <v>0</v>
      </c>
      <c r="PYM85" s="70">
        <v>0</v>
      </c>
      <c r="PYN85" s="70">
        <v>0</v>
      </c>
      <c r="PYO85" s="70">
        <v>0</v>
      </c>
      <c r="PYP85" s="70">
        <v>0</v>
      </c>
      <c r="PYQ85" s="70">
        <v>0</v>
      </c>
      <c r="PYR85" s="70">
        <v>0</v>
      </c>
      <c r="PYS85" s="70">
        <v>0</v>
      </c>
      <c r="PYT85" s="70">
        <v>0</v>
      </c>
      <c r="PYU85" s="70">
        <v>0</v>
      </c>
      <c r="PYV85" s="70">
        <v>0</v>
      </c>
      <c r="PYW85" s="70">
        <v>0</v>
      </c>
      <c r="PYX85" s="70">
        <v>0</v>
      </c>
      <c r="PYY85" s="70">
        <v>0</v>
      </c>
      <c r="PYZ85" s="70">
        <v>0</v>
      </c>
      <c r="PZA85" s="70">
        <v>0</v>
      </c>
      <c r="PZB85" s="70">
        <v>0</v>
      </c>
      <c r="PZC85" s="70">
        <v>0</v>
      </c>
      <c r="PZD85" s="70">
        <v>0</v>
      </c>
      <c r="PZE85" s="70">
        <v>0</v>
      </c>
      <c r="PZF85" s="70">
        <v>0</v>
      </c>
      <c r="PZG85" s="70">
        <v>0</v>
      </c>
      <c r="PZH85" s="70">
        <v>0</v>
      </c>
      <c r="PZI85" s="70">
        <v>0</v>
      </c>
      <c r="PZJ85" s="70">
        <v>0</v>
      </c>
      <c r="PZK85" s="70">
        <v>0</v>
      </c>
      <c r="PZL85" s="70">
        <v>0</v>
      </c>
      <c r="PZM85" s="70">
        <v>0</v>
      </c>
      <c r="PZN85" s="70">
        <v>0</v>
      </c>
      <c r="PZO85" s="70">
        <v>0</v>
      </c>
      <c r="PZP85" s="70">
        <v>0</v>
      </c>
      <c r="PZQ85" s="70">
        <v>0</v>
      </c>
      <c r="PZR85" s="70">
        <v>0</v>
      </c>
      <c r="PZS85" s="70">
        <v>0</v>
      </c>
      <c r="PZT85" s="70">
        <v>0</v>
      </c>
      <c r="PZU85" s="70">
        <v>0</v>
      </c>
      <c r="PZV85" s="70">
        <v>0</v>
      </c>
      <c r="PZW85" s="70">
        <v>0</v>
      </c>
      <c r="PZX85" s="70">
        <v>0</v>
      </c>
      <c r="PZY85" s="70">
        <v>0</v>
      </c>
      <c r="PZZ85" s="70">
        <v>0</v>
      </c>
      <c r="QAA85" s="70">
        <v>0</v>
      </c>
      <c r="QAB85" s="70">
        <v>0</v>
      </c>
      <c r="QAC85" s="70">
        <v>0</v>
      </c>
      <c r="QAD85" s="70">
        <v>0</v>
      </c>
      <c r="QAE85" s="70">
        <v>0</v>
      </c>
      <c r="QAF85" s="70">
        <v>0</v>
      </c>
      <c r="QAG85" s="70">
        <v>0</v>
      </c>
      <c r="QAH85" s="70">
        <v>0</v>
      </c>
      <c r="QAI85" s="70">
        <v>0</v>
      </c>
      <c r="QAJ85" s="70">
        <v>0</v>
      </c>
      <c r="QAK85" s="70">
        <v>0</v>
      </c>
      <c r="QAL85" s="70">
        <v>0</v>
      </c>
      <c r="QAM85" s="70">
        <v>0</v>
      </c>
      <c r="QAN85" s="70">
        <v>0</v>
      </c>
      <c r="QAO85" s="70">
        <v>0</v>
      </c>
      <c r="QAP85" s="70">
        <v>0</v>
      </c>
      <c r="QAQ85" s="70">
        <v>0</v>
      </c>
      <c r="QAR85" s="70">
        <v>0</v>
      </c>
      <c r="QAS85" s="70">
        <v>0</v>
      </c>
      <c r="QAT85" s="70">
        <v>0</v>
      </c>
      <c r="QAU85" s="70">
        <v>0</v>
      </c>
      <c r="QAV85" s="70">
        <v>0</v>
      </c>
      <c r="QAW85" s="70">
        <v>0</v>
      </c>
      <c r="QAX85" s="70">
        <v>0</v>
      </c>
      <c r="QAY85" s="70">
        <v>0</v>
      </c>
      <c r="QAZ85" s="70">
        <v>0</v>
      </c>
      <c r="QBA85" s="70">
        <v>0</v>
      </c>
      <c r="QBB85" s="70">
        <v>0</v>
      </c>
      <c r="QBC85" s="70">
        <v>0</v>
      </c>
      <c r="QBD85" s="70">
        <v>0</v>
      </c>
      <c r="QBE85" s="70">
        <v>0</v>
      </c>
      <c r="QBF85" s="70">
        <v>0</v>
      </c>
      <c r="QBG85" s="70">
        <v>0</v>
      </c>
      <c r="QBH85" s="70">
        <v>0</v>
      </c>
      <c r="QBI85" s="70">
        <v>0</v>
      </c>
      <c r="QBJ85" s="70">
        <v>0</v>
      </c>
      <c r="QBK85" s="70">
        <v>0</v>
      </c>
      <c r="QBL85" s="70">
        <v>0</v>
      </c>
      <c r="QBM85" s="70">
        <v>0</v>
      </c>
      <c r="QBN85" s="70">
        <v>0</v>
      </c>
      <c r="QBO85" s="70">
        <v>0</v>
      </c>
      <c r="QBP85" s="70">
        <v>0</v>
      </c>
      <c r="QBQ85" s="70">
        <v>0</v>
      </c>
      <c r="QBR85" s="70">
        <v>0</v>
      </c>
      <c r="QBS85" s="70">
        <v>0</v>
      </c>
      <c r="QBT85" s="70">
        <v>0</v>
      </c>
      <c r="QBU85" s="70">
        <v>0</v>
      </c>
      <c r="QBV85" s="70">
        <v>0</v>
      </c>
      <c r="QBW85" s="70">
        <v>0</v>
      </c>
      <c r="QBX85" s="70">
        <v>0</v>
      </c>
      <c r="QBY85" s="70">
        <v>0</v>
      </c>
      <c r="QBZ85" s="70">
        <v>0</v>
      </c>
      <c r="QCA85" s="70">
        <v>0</v>
      </c>
      <c r="QCB85" s="70">
        <v>0</v>
      </c>
      <c r="QCC85" s="70">
        <v>0</v>
      </c>
      <c r="QCD85" s="70">
        <v>0</v>
      </c>
      <c r="QCE85" s="70">
        <v>0</v>
      </c>
      <c r="QCF85" s="70">
        <v>0</v>
      </c>
      <c r="QCG85" s="70">
        <v>0</v>
      </c>
      <c r="QCH85" s="70">
        <v>0</v>
      </c>
      <c r="QCI85" s="70">
        <v>0</v>
      </c>
      <c r="QCJ85" s="70">
        <v>0</v>
      </c>
      <c r="QCK85" s="70">
        <v>0</v>
      </c>
      <c r="QCL85" s="70">
        <v>0</v>
      </c>
      <c r="QCM85" s="70">
        <v>0</v>
      </c>
      <c r="QCN85" s="70">
        <v>0</v>
      </c>
      <c r="QCO85" s="70">
        <v>0</v>
      </c>
      <c r="QCP85" s="70">
        <v>0</v>
      </c>
      <c r="QCQ85" s="70">
        <v>0</v>
      </c>
      <c r="QCR85" s="70">
        <v>0</v>
      </c>
      <c r="QCS85" s="70">
        <v>0</v>
      </c>
      <c r="QCT85" s="70">
        <v>0</v>
      </c>
      <c r="QCU85" s="70">
        <v>0</v>
      </c>
      <c r="QCV85" s="70">
        <v>0</v>
      </c>
      <c r="QCW85" s="70">
        <v>0</v>
      </c>
      <c r="QCX85" s="70">
        <v>0</v>
      </c>
      <c r="QCY85" s="70">
        <v>0</v>
      </c>
      <c r="QCZ85" s="70">
        <v>0</v>
      </c>
      <c r="QDA85" s="70">
        <v>0</v>
      </c>
      <c r="QDB85" s="70">
        <v>0</v>
      </c>
      <c r="QDC85" s="70">
        <v>0</v>
      </c>
      <c r="QDD85" s="70">
        <v>0</v>
      </c>
      <c r="QDE85" s="70">
        <v>0</v>
      </c>
      <c r="QDF85" s="70">
        <v>0</v>
      </c>
      <c r="QDG85" s="70">
        <v>0</v>
      </c>
      <c r="QDH85" s="70">
        <v>0</v>
      </c>
      <c r="QDI85" s="70">
        <v>0</v>
      </c>
      <c r="QDJ85" s="70">
        <v>0</v>
      </c>
      <c r="QDK85" s="70">
        <v>0</v>
      </c>
      <c r="QDL85" s="70">
        <v>0</v>
      </c>
      <c r="QDM85" s="70">
        <v>0</v>
      </c>
      <c r="QDN85" s="70">
        <v>0</v>
      </c>
      <c r="QDO85" s="70">
        <v>0</v>
      </c>
      <c r="QDP85" s="70">
        <v>0</v>
      </c>
      <c r="QDQ85" s="70">
        <v>0</v>
      </c>
      <c r="QDR85" s="70">
        <v>0</v>
      </c>
      <c r="QDS85" s="70">
        <v>0</v>
      </c>
      <c r="QDT85" s="70">
        <v>0</v>
      </c>
      <c r="QDU85" s="70">
        <v>0</v>
      </c>
      <c r="QDV85" s="70">
        <v>0</v>
      </c>
      <c r="QDW85" s="70">
        <v>0</v>
      </c>
      <c r="QDX85" s="70">
        <v>0</v>
      </c>
      <c r="QDY85" s="70">
        <v>0</v>
      </c>
      <c r="QDZ85" s="70">
        <v>0</v>
      </c>
      <c r="QEA85" s="70">
        <v>0</v>
      </c>
      <c r="QEB85" s="70">
        <v>0</v>
      </c>
      <c r="QEC85" s="70">
        <v>0</v>
      </c>
      <c r="QED85" s="70">
        <v>0</v>
      </c>
      <c r="QEE85" s="70">
        <v>0</v>
      </c>
      <c r="QEF85" s="70">
        <v>0</v>
      </c>
      <c r="QEG85" s="70">
        <v>0</v>
      </c>
      <c r="QEH85" s="70">
        <v>0</v>
      </c>
      <c r="QEI85" s="70">
        <v>0</v>
      </c>
      <c r="QEJ85" s="70">
        <v>0</v>
      </c>
      <c r="QEK85" s="70">
        <v>0</v>
      </c>
      <c r="QEL85" s="70">
        <v>0</v>
      </c>
      <c r="QEM85" s="70">
        <v>0</v>
      </c>
      <c r="QEN85" s="70">
        <v>0</v>
      </c>
      <c r="QEO85" s="70">
        <v>0</v>
      </c>
      <c r="QEP85" s="70">
        <v>0</v>
      </c>
      <c r="QEQ85" s="70">
        <v>0</v>
      </c>
      <c r="QER85" s="70">
        <v>0</v>
      </c>
      <c r="QES85" s="70">
        <v>0</v>
      </c>
      <c r="QET85" s="70">
        <v>0</v>
      </c>
      <c r="QEU85" s="70">
        <v>0</v>
      </c>
      <c r="QEV85" s="70">
        <v>0</v>
      </c>
      <c r="QEW85" s="70">
        <v>0</v>
      </c>
      <c r="QEX85" s="70">
        <v>0</v>
      </c>
      <c r="QEY85" s="70">
        <v>0</v>
      </c>
      <c r="QEZ85" s="70">
        <v>0</v>
      </c>
      <c r="QFA85" s="70">
        <v>0</v>
      </c>
      <c r="QFB85" s="70">
        <v>0</v>
      </c>
      <c r="QFC85" s="70">
        <v>0</v>
      </c>
      <c r="QFD85" s="70">
        <v>0</v>
      </c>
      <c r="QFE85" s="70">
        <v>0</v>
      </c>
      <c r="QFF85" s="70">
        <v>0</v>
      </c>
      <c r="QFG85" s="70">
        <v>0</v>
      </c>
      <c r="QFH85" s="70">
        <v>0</v>
      </c>
      <c r="QFI85" s="70">
        <v>0</v>
      </c>
      <c r="QFJ85" s="70">
        <v>0</v>
      </c>
      <c r="QFK85" s="70">
        <v>0</v>
      </c>
      <c r="QFL85" s="70">
        <v>0</v>
      </c>
      <c r="QFM85" s="70">
        <v>0</v>
      </c>
      <c r="QFN85" s="70">
        <v>0</v>
      </c>
      <c r="QFO85" s="70">
        <v>0</v>
      </c>
      <c r="QFP85" s="70">
        <v>0</v>
      </c>
      <c r="QFQ85" s="70">
        <v>0</v>
      </c>
      <c r="QFR85" s="70">
        <v>0</v>
      </c>
      <c r="QFS85" s="70">
        <v>0</v>
      </c>
      <c r="QFT85" s="70">
        <v>0</v>
      </c>
      <c r="QFU85" s="70">
        <v>0</v>
      </c>
      <c r="QFV85" s="70">
        <v>0</v>
      </c>
      <c r="QFW85" s="70">
        <v>0</v>
      </c>
      <c r="QFX85" s="70">
        <v>0</v>
      </c>
      <c r="QFY85" s="70">
        <v>0</v>
      </c>
      <c r="QFZ85" s="70">
        <v>0</v>
      </c>
      <c r="QGA85" s="70">
        <v>0</v>
      </c>
      <c r="QGB85" s="70">
        <v>0</v>
      </c>
      <c r="QGC85" s="70">
        <v>0</v>
      </c>
      <c r="QGD85" s="70">
        <v>0</v>
      </c>
      <c r="QGE85" s="70">
        <v>0</v>
      </c>
      <c r="QGF85" s="70">
        <v>0</v>
      </c>
      <c r="QGG85" s="70">
        <v>0</v>
      </c>
      <c r="QGH85" s="70">
        <v>0</v>
      </c>
      <c r="QGI85" s="70">
        <v>0</v>
      </c>
      <c r="QGJ85" s="70">
        <v>0</v>
      </c>
      <c r="QGK85" s="70">
        <v>0</v>
      </c>
      <c r="QGL85" s="70">
        <v>0</v>
      </c>
      <c r="QGM85" s="70">
        <v>0</v>
      </c>
      <c r="QGN85" s="70">
        <v>0</v>
      </c>
      <c r="QGO85" s="70">
        <v>0</v>
      </c>
      <c r="QGP85" s="70">
        <v>0</v>
      </c>
      <c r="QGQ85" s="70">
        <v>0</v>
      </c>
      <c r="QGR85" s="70">
        <v>0</v>
      </c>
      <c r="QGS85" s="70">
        <v>0</v>
      </c>
      <c r="QGT85" s="70">
        <v>0</v>
      </c>
      <c r="QGU85" s="70">
        <v>0</v>
      </c>
      <c r="QGV85" s="70">
        <v>0</v>
      </c>
      <c r="QGW85" s="70">
        <v>0</v>
      </c>
      <c r="QGX85" s="70">
        <v>0</v>
      </c>
      <c r="QGY85" s="70">
        <v>0</v>
      </c>
      <c r="QGZ85" s="70">
        <v>0</v>
      </c>
      <c r="QHA85" s="70">
        <v>0</v>
      </c>
      <c r="QHB85" s="70">
        <v>0</v>
      </c>
      <c r="QHC85" s="70">
        <v>0</v>
      </c>
      <c r="QHD85" s="70">
        <v>0</v>
      </c>
      <c r="QHE85" s="70">
        <v>0</v>
      </c>
      <c r="QHF85" s="70">
        <v>0</v>
      </c>
      <c r="QHG85" s="70">
        <v>0</v>
      </c>
      <c r="QHH85" s="70">
        <v>0</v>
      </c>
      <c r="QHI85" s="70">
        <v>0</v>
      </c>
      <c r="QHJ85" s="70">
        <v>0</v>
      </c>
      <c r="QHK85" s="70">
        <v>0</v>
      </c>
      <c r="QHL85" s="70">
        <v>0</v>
      </c>
      <c r="QHM85" s="70">
        <v>0</v>
      </c>
      <c r="QHN85" s="70">
        <v>0</v>
      </c>
      <c r="QHO85" s="70">
        <v>0</v>
      </c>
      <c r="QHP85" s="70">
        <v>0</v>
      </c>
      <c r="QHQ85" s="70">
        <v>0</v>
      </c>
      <c r="QHR85" s="70">
        <v>0</v>
      </c>
      <c r="QHS85" s="70">
        <v>0</v>
      </c>
      <c r="QHT85" s="70">
        <v>0</v>
      </c>
      <c r="QHU85" s="70">
        <v>0</v>
      </c>
      <c r="QHV85" s="70">
        <v>0</v>
      </c>
      <c r="QHW85" s="70">
        <v>0</v>
      </c>
      <c r="QHX85" s="70">
        <v>0</v>
      </c>
      <c r="QHY85" s="70">
        <v>0</v>
      </c>
      <c r="QHZ85" s="70">
        <v>0</v>
      </c>
      <c r="QIA85" s="70">
        <v>0</v>
      </c>
      <c r="QIB85" s="70">
        <v>0</v>
      </c>
      <c r="QIC85" s="70">
        <v>0</v>
      </c>
      <c r="QID85" s="70">
        <v>0</v>
      </c>
      <c r="QIE85" s="70">
        <v>0</v>
      </c>
      <c r="QIF85" s="70">
        <v>0</v>
      </c>
      <c r="QIG85" s="70">
        <v>0</v>
      </c>
      <c r="QIH85" s="70">
        <v>0</v>
      </c>
      <c r="QII85" s="70">
        <v>0</v>
      </c>
      <c r="QIJ85" s="70">
        <v>0</v>
      </c>
      <c r="QIK85" s="70">
        <v>0</v>
      </c>
      <c r="QIL85" s="70">
        <v>0</v>
      </c>
      <c r="QIM85" s="70">
        <v>0</v>
      </c>
      <c r="QIN85" s="70">
        <v>0</v>
      </c>
      <c r="QIO85" s="70">
        <v>0</v>
      </c>
      <c r="QIP85" s="70">
        <v>0</v>
      </c>
      <c r="QIQ85" s="70">
        <v>0</v>
      </c>
      <c r="QIR85" s="70">
        <v>0</v>
      </c>
      <c r="QIS85" s="70">
        <v>0</v>
      </c>
      <c r="QIT85" s="70">
        <v>0</v>
      </c>
      <c r="QIU85" s="70">
        <v>0</v>
      </c>
      <c r="QIV85" s="70">
        <v>0</v>
      </c>
      <c r="QIW85" s="70">
        <v>0</v>
      </c>
      <c r="QIX85" s="70">
        <v>0</v>
      </c>
      <c r="QIY85" s="70">
        <v>0</v>
      </c>
      <c r="QIZ85" s="70">
        <v>0</v>
      </c>
      <c r="QJA85" s="70">
        <v>0</v>
      </c>
      <c r="QJB85" s="70">
        <v>0</v>
      </c>
      <c r="QJC85" s="70">
        <v>0</v>
      </c>
      <c r="QJD85" s="70">
        <v>0</v>
      </c>
      <c r="QJE85" s="70">
        <v>0</v>
      </c>
      <c r="QJF85" s="70">
        <v>0</v>
      </c>
      <c r="QJG85" s="70">
        <v>0</v>
      </c>
      <c r="QJH85" s="70">
        <v>0</v>
      </c>
      <c r="QJI85" s="70">
        <v>0</v>
      </c>
      <c r="QJJ85" s="70">
        <v>0</v>
      </c>
      <c r="QJK85" s="70">
        <v>0</v>
      </c>
      <c r="QJL85" s="70">
        <v>0</v>
      </c>
      <c r="QJM85" s="70">
        <v>0</v>
      </c>
      <c r="QJN85" s="70">
        <v>0</v>
      </c>
      <c r="QJO85" s="70">
        <v>0</v>
      </c>
      <c r="QJP85" s="70">
        <v>0</v>
      </c>
      <c r="QJQ85" s="70">
        <v>0</v>
      </c>
      <c r="QJR85" s="70">
        <v>0</v>
      </c>
      <c r="QJS85" s="70">
        <v>0</v>
      </c>
      <c r="QJT85" s="70">
        <v>0</v>
      </c>
      <c r="QJU85" s="70">
        <v>0</v>
      </c>
      <c r="QJV85" s="70">
        <v>0</v>
      </c>
      <c r="QJW85" s="70">
        <v>0</v>
      </c>
      <c r="QJX85" s="70">
        <v>0</v>
      </c>
      <c r="QJY85" s="70">
        <v>0</v>
      </c>
      <c r="QJZ85" s="70">
        <v>0</v>
      </c>
      <c r="QKA85" s="70">
        <v>0</v>
      </c>
      <c r="QKB85" s="70">
        <v>0</v>
      </c>
      <c r="QKC85" s="70">
        <v>0</v>
      </c>
      <c r="QKD85" s="70">
        <v>0</v>
      </c>
      <c r="QKE85" s="70">
        <v>0</v>
      </c>
      <c r="QKF85" s="70">
        <v>0</v>
      </c>
      <c r="QKG85" s="70">
        <v>0</v>
      </c>
      <c r="QKH85" s="70">
        <v>0</v>
      </c>
      <c r="QKI85" s="70">
        <v>0</v>
      </c>
      <c r="QKJ85" s="70">
        <v>0</v>
      </c>
      <c r="QKK85" s="70">
        <v>0</v>
      </c>
      <c r="QKL85" s="70">
        <v>0</v>
      </c>
      <c r="QKM85" s="70">
        <v>0</v>
      </c>
      <c r="QKN85" s="70">
        <v>0</v>
      </c>
      <c r="QKO85" s="70">
        <v>0</v>
      </c>
      <c r="QKP85" s="70">
        <v>0</v>
      </c>
      <c r="QKQ85" s="70">
        <v>0</v>
      </c>
      <c r="QKR85" s="70">
        <v>0</v>
      </c>
      <c r="QKS85" s="70">
        <v>0</v>
      </c>
      <c r="QKT85" s="70">
        <v>0</v>
      </c>
      <c r="QKU85" s="70">
        <v>0</v>
      </c>
      <c r="QKV85" s="70">
        <v>0</v>
      </c>
      <c r="QKW85" s="70">
        <v>0</v>
      </c>
      <c r="QKX85" s="70">
        <v>0</v>
      </c>
      <c r="QKY85" s="70">
        <v>0</v>
      </c>
      <c r="QKZ85" s="70">
        <v>0</v>
      </c>
      <c r="QLA85" s="70">
        <v>0</v>
      </c>
      <c r="QLB85" s="70">
        <v>0</v>
      </c>
      <c r="QLC85" s="70">
        <v>0</v>
      </c>
      <c r="QLD85" s="70">
        <v>0</v>
      </c>
      <c r="QLE85" s="70">
        <v>0</v>
      </c>
      <c r="QLF85" s="70">
        <v>0</v>
      </c>
      <c r="QLG85" s="70">
        <v>0</v>
      </c>
      <c r="QLH85" s="70">
        <v>0</v>
      </c>
      <c r="QLI85" s="70">
        <v>0</v>
      </c>
      <c r="QLJ85" s="70">
        <v>0</v>
      </c>
      <c r="QLK85" s="70">
        <v>0</v>
      </c>
      <c r="QLL85" s="70">
        <v>0</v>
      </c>
      <c r="QLM85" s="70">
        <v>0</v>
      </c>
      <c r="QLN85" s="70">
        <v>0</v>
      </c>
      <c r="QLO85" s="70">
        <v>0</v>
      </c>
      <c r="QLP85" s="70">
        <v>0</v>
      </c>
      <c r="QLQ85" s="70">
        <v>0</v>
      </c>
      <c r="QLR85" s="70">
        <v>0</v>
      </c>
      <c r="QLS85" s="70">
        <v>0</v>
      </c>
      <c r="QLT85" s="70">
        <v>0</v>
      </c>
      <c r="QLU85" s="70">
        <v>0</v>
      </c>
      <c r="QLV85" s="70">
        <v>0</v>
      </c>
      <c r="QLW85" s="70">
        <v>0</v>
      </c>
      <c r="QLX85" s="70">
        <v>0</v>
      </c>
      <c r="QLY85" s="70">
        <v>0</v>
      </c>
      <c r="QLZ85" s="70">
        <v>0</v>
      </c>
      <c r="QMA85" s="70">
        <v>0</v>
      </c>
      <c r="QMB85" s="70">
        <v>0</v>
      </c>
      <c r="QMC85" s="70">
        <v>0</v>
      </c>
      <c r="QMD85" s="70">
        <v>0</v>
      </c>
      <c r="QME85" s="70">
        <v>0</v>
      </c>
      <c r="QMF85" s="70">
        <v>0</v>
      </c>
      <c r="QMG85" s="70">
        <v>0</v>
      </c>
      <c r="QMH85" s="70">
        <v>0</v>
      </c>
      <c r="QMI85" s="70">
        <v>0</v>
      </c>
      <c r="QMJ85" s="70">
        <v>0</v>
      </c>
      <c r="QMK85" s="70">
        <v>0</v>
      </c>
      <c r="QML85" s="70">
        <v>0</v>
      </c>
      <c r="QMM85" s="70">
        <v>0</v>
      </c>
      <c r="QMN85" s="70">
        <v>0</v>
      </c>
      <c r="QMO85" s="70">
        <v>0</v>
      </c>
      <c r="QMP85" s="70">
        <v>0</v>
      </c>
      <c r="QMQ85" s="70">
        <v>0</v>
      </c>
      <c r="QMR85" s="70">
        <v>0</v>
      </c>
      <c r="QMS85" s="70">
        <v>0</v>
      </c>
      <c r="QMT85" s="70">
        <v>0</v>
      </c>
      <c r="QMU85" s="70">
        <v>0</v>
      </c>
      <c r="QMV85" s="70">
        <v>0</v>
      </c>
      <c r="QMW85" s="70">
        <v>0</v>
      </c>
      <c r="QMX85" s="70">
        <v>0</v>
      </c>
      <c r="QMY85" s="70">
        <v>0</v>
      </c>
      <c r="QMZ85" s="70">
        <v>0</v>
      </c>
      <c r="QNA85" s="70">
        <v>0</v>
      </c>
      <c r="QNB85" s="70">
        <v>0</v>
      </c>
      <c r="QNC85" s="70">
        <v>0</v>
      </c>
      <c r="QND85" s="70">
        <v>0</v>
      </c>
      <c r="QNE85" s="70">
        <v>0</v>
      </c>
      <c r="QNF85" s="70">
        <v>0</v>
      </c>
      <c r="QNG85" s="70">
        <v>0</v>
      </c>
      <c r="QNH85" s="70">
        <v>0</v>
      </c>
      <c r="QNI85" s="70">
        <v>0</v>
      </c>
      <c r="QNJ85" s="70">
        <v>0</v>
      </c>
      <c r="QNK85" s="70">
        <v>0</v>
      </c>
      <c r="QNL85" s="70">
        <v>0</v>
      </c>
      <c r="QNM85" s="70">
        <v>0</v>
      </c>
      <c r="QNN85" s="70">
        <v>0</v>
      </c>
      <c r="QNO85" s="70">
        <v>0</v>
      </c>
      <c r="QNP85" s="70">
        <v>0</v>
      </c>
      <c r="QNQ85" s="70">
        <v>0</v>
      </c>
      <c r="QNR85" s="70">
        <v>0</v>
      </c>
      <c r="QNS85" s="70">
        <v>0</v>
      </c>
      <c r="QNT85" s="70">
        <v>0</v>
      </c>
      <c r="QNU85" s="70">
        <v>0</v>
      </c>
      <c r="QNV85" s="70">
        <v>0</v>
      </c>
      <c r="QNW85" s="70">
        <v>0</v>
      </c>
      <c r="QNX85" s="70">
        <v>0</v>
      </c>
      <c r="QNY85" s="70">
        <v>0</v>
      </c>
      <c r="QNZ85" s="70">
        <v>0</v>
      </c>
      <c r="QOA85" s="70">
        <v>0</v>
      </c>
      <c r="QOB85" s="70">
        <v>0</v>
      </c>
      <c r="QOC85" s="70">
        <v>0</v>
      </c>
      <c r="QOD85" s="70">
        <v>0</v>
      </c>
      <c r="QOE85" s="70">
        <v>0</v>
      </c>
      <c r="QOF85" s="70">
        <v>0</v>
      </c>
      <c r="QOG85" s="70">
        <v>0</v>
      </c>
      <c r="QOH85" s="70">
        <v>0</v>
      </c>
      <c r="QOI85" s="70">
        <v>0</v>
      </c>
      <c r="QOJ85" s="70">
        <v>0</v>
      </c>
      <c r="QOK85" s="70">
        <v>0</v>
      </c>
      <c r="QOL85" s="70">
        <v>0</v>
      </c>
      <c r="QOM85" s="70">
        <v>0</v>
      </c>
      <c r="QON85" s="70">
        <v>0</v>
      </c>
      <c r="QOO85" s="70">
        <v>0</v>
      </c>
      <c r="QOP85" s="70">
        <v>0</v>
      </c>
      <c r="QOQ85" s="70">
        <v>0</v>
      </c>
      <c r="QOR85" s="70">
        <v>0</v>
      </c>
      <c r="QOS85" s="70">
        <v>0</v>
      </c>
      <c r="QOT85" s="70">
        <v>0</v>
      </c>
      <c r="QOU85" s="70">
        <v>0</v>
      </c>
      <c r="QOV85" s="70">
        <v>0</v>
      </c>
      <c r="QOW85" s="70">
        <v>0</v>
      </c>
      <c r="QOX85" s="70">
        <v>0</v>
      </c>
      <c r="QOY85" s="70">
        <v>0</v>
      </c>
      <c r="QOZ85" s="70">
        <v>0</v>
      </c>
      <c r="QPA85" s="70">
        <v>0</v>
      </c>
      <c r="QPB85" s="70">
        <v>0</v>
      </c>
      <c r="QPC85" s="70">
        <v>0</v>
      </c>
      <c r="QPD85" s="70">
        <v>0</v>
      </c>
      <c r="QPE85" s="70">
        <v>0</v>
      </c>
      <c r="QPF85" s="70">
        <v>0</v>
      </c>
      <c r="QPG85" s="70">
        <v>0</v>
      </c>
      <c r="QPH85" s="70">
        <v>0</v>
      </c>
      <c r="QPI85" s="70">
        <v>0</v>
      </c>
      <c r="QPJ85" s="70">
        <v>0</v>
      </c>
      <c r="QPK85" s="70">
        <v>0</v>
      </c>
      <c r="QPL85" s="70">
        <v>0</v>
      </c>
      <c r="QPM85" s="70">
        <v>0</v>
      </c>
      <c r="QPN85" s="70">
        <v>0</v>
      </c>
      <c r="QPO85" s="70">
        <v>0</v>
      </c>
      <c r="QPP85" s="70">
        <v>0</v>
      </c>
      <c r="QPQ85" s="70">
        <v>0</v>
      </c>
      <c r="QPR85" s="70">
        <v>0</v>
      </c>
      <c r="QPS85" s="70">
        <v>0</v>
      </c>
      <c r="QPT85" s="70">
        <v>0</v>
      </c>
      <c r="QPU85" s="70">
        <v>0</v>
      </c>
      <c r="QPV85" s="70">
        <v>0</v>
      </c>
      <c r="QPW85" s="70">
        <v>0</v>
      </c>
      <c r="QPX85" s="70">
        <v>0</v>
      </c>
      <c r="QPY85" s="70">
        <v>0</v>
      </c>
      <c r="QPZ85" s="70">
        <v>0</v>
      </c>
      <c r="QQA85" s="70">
        <v>0</v>
      </c>
      <c r="QQB85" s="70">
        <v>0</v>
      </c>
      <c r="QQC85" s="70">
        <v>0</v>
      </c>
      <c r="QQD85" s="70">
        <v>0</v>
      </c>
      <c r="QQE85" s="70">
        <v>0</v>
      </c>
      <c r="QQF85" s="70">
        <v>0</v>
      </c>
      <c r="QQG85" s="70">
        <v>0</v>
      </c>
      <c r="QQH85" s="70">
        <v>0</v>
      </c>
      <c r="QQI85" s="70">
        <v>0</v>
      </c>
      <c r="QQJ85" s="70">
        <v>0</v>
      </c>
      <c r="QQK85" s="70">
        <v>0</v>
      </c>
      <c r="QQL85" s="70">
        <v>0</v>
      </c>
      <c r="QQM85" s="70">
        <v>0</v>
      </c>
      <c r="QQN85" s="70">
        <v>0</v>
      </c>
      <c r="QQO85" s="70">
        <v>0</v>
      </c>
      <c r="QQP85" s="70">
        <v>0</v>
      </c>
      <c r="QQQ85" s="70">
        <v>0</v>
      </c>
      <c r="QQR85" s="70">
        <v>0</v>
      </c>
      <c r="QQS85" s="70">
        <v>0</v>
      </c>
      <c r="QQT85" s="70">
        <v>0</v>
      </c>
      <c r="QQU85" s="70">
        <v>0</v>
      </c>
      <c r="QQV85" s="70">
        <v>0</v>
      </c>
      <c r="QQW85" s="70">
        <v>0</v>
      </c>
      <c r="QQX85" s="70">
        <v>0</v>
      </c>
      <c r="QQY85" s="70">
        <v>0</v>
      </c>
      <c r="QQZ85" s="70">
        <v>0</v>
      </c>
      <c r="QRA85" s="70">
        <v>0</v>
      </c>
      <c r="QRB85" s="70">
        <v>0</v>
      </c>
      <c r="QRC85" s="70">
        <v>0</v>
      </c>
      <c r="QRD85" s="70">
        <v>0</v>
      </c>
      <c r="QRE85" s="70">
        <v>0</v>
      </c>
      <c r="QRF85" s="70">
        <v>0</v>
      </c>
      <c r="QRG85" s="70">
        <v>0</v>
      </c>
      <c r="QRH85" s="70">
        <v>0</v>
      </c>
      <c r="QRI85" s="70">
        <v>0</v>
      </c>
      <c r="QRJ85" s="70">
        <v>0</v>
      </c>
      <c r="QRK85" s="70">
        <v>0</v>
      </c>
      <c r="QRL85" s="70">
        <v>0</v>
      </c>
      <c r="QRM85" s="70">
        <v>0</v>
      </c>
      <c r="QRN85" s="70">
        <v>0</v>
      </c>
      <c r="QRO85" s="70">
        <v>0</v>
      </c>
      <c r="QRP85" s="70">
        <v>0</v>
      </c>
      <c r="QRQ85" s="70">
        <v>0</v>
      </c>
      <c r="QRR85" s="70">
        <v>0</v>
      </c>
      <c r="QRS85" s="70">
        <v>0</v>
      </c>
      <c r="QRT85" s="70">
        <v>0</v>
      </c>
      <c r="QRU85" s="70">
        <v>0</v>
      </c>
      <c r="QRV85" s="70">
        <v>0</v>
      </c>
      <c r="QRW85" s="70">
        <v>0</v>
      </c>
      <c r="QRX85" s="70">
        <v>0</v>
      </c>
      <c r="QRY85" s="70">
        <v>0</v>
      </c>
      <c r="QRZ85" s="70">
        <v>0</v>
      </c>
      <c r="QSA85" s="70">
        <v>0</v>
      </c>
      <c r="QSB85" s="70">
        <v>0</v>
      </c>
      <c r="QSC85" s="70">
        <v>0</v>
      </c>
      <c r="QSD85" s="70">
        <v>0</v>
      </c>
      <c r="QSE85" s="70">
        <v>0</v>
      </c>
      <c r="QSF85" s="70">
        <v>0</v>
      </c>
      <c r="QSG85" s="70">
        <v>0</v>
      </c>
      <c r="QSH85" s="70">
        <v>0</v>
      </c>
      <c r="QSI85" s="70">
        <v>0</v>
      </c>
      <c r="QSJ85" s="70">
        <v>0</v>
      </c>
      <c r="QSK85" s="70">
        <v>0</v>
      </c>
      <c r="QSL85" s="70">
        <v>0</v>
      </c>
      <c r="QSM85" s="70">
        <v>0</v>
      </c>
      <c r="QSN85" s="70">
        <v>0</v>
      </c>
      <c r="QSO85" s="70">
        <v>0</v>
      </c>
      <c r="QSP85" s="70">
        <v>0</v>
      </c>
      <c r="QSQ85" s="70">
        <v>0</v>
      </c>
      <c r="QSR85" s="70">
        <v>0</v>
      </c>
      <c r="QSS85" s="70">
        <v>0</v>
      </c>
      <c r="QST85" s="70">
        <v>0</v>
      </c>
      <c r="QSU85" s="70">
        <v>0</v>
      </c>
      <c r="QSV85" s="70">
        <v>0</v>
      </c>
      <c r="QSW85" s="70">
        <v>0</v>
      </c>
      <c r="QSX85" s="70">
        <v>0</v>
      </c>
      <c r="QSY85" s="70">
        <v>0</v>
      </c>
      <c r="QSZ85" s="70">
        <v>0</v>
      </c>
      <c r="QTA85" s="70">
        <v>0</v>
      </c>
      <c r="QTB85" s="70">
        <v>0</v>
      </c>
      <c r="QTC85" s="70">
        <v>0</v>
      </c>
      <c r="QTD85" s="70">
        <v>0</v>
      </c>
      <c r="QTE85" s="70">
        <v>0</v>
      </c>
      <c r="QTF85" s="70">
        <v>0</v>
      </c>
      <c r="QTG85" s="70">
        <v>0</v>
      </c>
      <c r="QTH85" s="70">
        <v>0</v>
      </c>
      <c r="QTI85" s="70">
        <v>0</v>
      </c>
      <c r="QTJ85" s="70">
        <v>0</v>
      </c>
      <c r="QTK85" s="70">
        <v>0</v>
      </c>
      <c r="QTL85" s="70">
        <v>0</v>
      </c>
      <c r="QTM85" s="70">
        <v>0</v>
      </c>
      <c r="QTN85" s="70">
        <v>0</v>
      </c>
      <c r="QTO85" s="70">
        <v>0</v>
      </c>
      <c r="QTP85" s="70">
        <v>0</v>
      </c>
      <c r="QTQ85" s="70">
        <v>0</v>
      </c>
      <c r="QTR85" s="70">
        <v>0</v>
      </c>
      <c r="QTS85" s="70">
        <v>0</v>
      </c>
      <c r="QTT85" s="70">
        <v>0</v>
      </c>
      <c r="QTU85" s="70">
        <v>0</v>
      </c>
      <c r="QTV85" s="70">
        <v>0</v>
      </c>
      <c r="QTW85" s="70">
        <v>0</v>
      </c>
      <c r="QTX85" s="70">
        <v>0</v>
      </c>
      <c r="QTY85" s="70">
        <v>0</v>
      </c>
      <c r="QTZ85" s="70">
        <v>0</v>
      </c>
      <c r="QUA85" s="70">
        <v>0</v>
      </c>
      <c r="QUB85" s="70">
        <v>0</v>
      </c>
      <c r="QUC85" s="70">
        <v>0</v>
      </c>
      <c r="QUD85" s="70">
        <v>0</v>
      </c>
      <c r="QUE85" s="70">
        <v>0</v>
      </c>
      <c r="QUF85" s="70">
        <v>0</v>
      </c>
      <c r="QUG85" s="70">
        <v>0</v>
      </c>
      <c r="QUH85" s="70">
        <v>0</v>
      </c>
      <c r="QUI85" s="70">
        <v>0</v>
      </c>
      <c r="QUJ85" s="70">
        <v>0</v>
      </c>
      <c r="QUK85" s="70">
        <v>0</v>
      </c>
      <c r="QUL85" s="70">
        <v>0</v>
      </c>
      <c r="QUM85" s="70">
        <v>0</v>
      </c>
      <c r="QUN85" s="70">
        <v>0</v>
      </c>
      <c r="QUO85" s="70">
        <v>0</v>
      </c>
      <c r="QUP85" s="70">
        <v>0</v>
      </c>
      <c r="QUQ85" s="70">
        <v>0</v>
      </c>
      <c r="QUR85" s="70">
        <v>0</v>
      </c>
      <c r="QUS85" s="70">
        <v>0</v>
      </c>
      <c r="QUT85" s="70">
        <v>0</v>
      </c>
      <c r="QUU85" s="70">
        <v>0</v>
      </c>
      <c r="QUV85" s="70">
        <v>0</v>
      </c>
      <c r="QUW85" s="70">
        <v>0</v>
      </c>
      <c r="QUX85" s="70">
        <v>0</v>
      </c>
      <c r="QUY85" s="70">
        <v>0</v>
      </c>
      <c r="QUZ85" s="70">
        <v>0</v>
      </c>
      <c r="QVA85" s="70">
        <v>0</v>
      </c>
      <c r="QVB85" s="70">
        <v>0</v>
      </c>
      <c r="QVC85" s="70">
        <v>0</v>
      </c>
      <c r="QVD85" s="70">
        <v>0</v>
      </c>
      <c r="QVE85" s="70">
        <v>0</v>
      </c>
      <c r="QVF85" s="70">
        <v>0</v>
      </c>
      <c r="QVG85" s="70">
        <v>0</v>
      </c>
      <c r="QVH85" s="70">
        <v>0</v>
      </c>
      <c r="QVI85" s="70">
        <v>0</v>
      </c>
      <c r="QVJ85" s="70">
        <v>0</v>
      </c>
      <c r="QVK85" s="70">
        <v>0</v>
      </c>
      <c r="QVL85" s="70">
        <v>0</v>
      </c>
      <c r="QVM85" s="70">
        <v>0</v>
      </c>
      <c r="QVN85" s="70">
        <v>0</v>
      </c>
      <c r="QVO85" s="70">
        <v>0</v>
      </c>
      <c r="QVP85" s="70">
        <v>0</v>
      </c>
      <c r="QVQ85" s="70">
        <v>0</v>
      </c>
      <c r="QVR85" s="70">
        <v>0</v>
      </c>
      <c r="QVS85" s="70">
        <v>0</v>
      </c>
      <c r="QVT85" s="70">
        <v>0</v>
      </c>
      <c r="QVU85" s="70">
        <v>0</v>
      </c>
      <c r="QVV85" s="70">
        <v>0</v>
      </c>
      <c r="QVW85" s="70">
        <v>0</v>
      </c>
      <c r="QVX85" s="70">
        <v>0</v>
      </c>
      <c r="QVY85" s="70">
        <v>0</v>
      </c>
      <c r="QVZ85" s="70">
        <v>0</v>
      </c>
      <c r="QWA85" s="70">
        <v>0</v>
      </c>
      <c r="QWB85" s="70">
        <v>0</v>
      </c>
      <c r="QWC85" s="70">
        <v>0</v>
      </c>
      <c r="QWD85" s="70">
        <v>0</v>
      </c>
      <c r="QWE85" s="70">
        <v>0</v>
      </c>
      <c r="QWF85" s="70">
        <v>0</v>
      </c>
      <c r="QWG85" s="70">
        <v>0</v>
      </c>
      <c r="QWH85" s="70">
        <v>0</v>
      </c>
      <c r="QWI85" s="70">
        <v>0</v>
      </c>
      <c r="QWJ85" s="70">
        <v>0</v>
      </c>
      <c r="QWK85" s="70">
        <v>0</v>
      </c>
      <c r="QWL85" s="70">
        <v>0</v>
      </c>
      <c r="QWM85" s="70">
        <v>0</v>
      </c>
      <c r="QWN85" s="70">
        <v>0</v>
      </c>
      <c r="QWO85" s="70">
        <v>0</v>
      </c>
      <c r="QWP85" s="70">
        <v>0</v>
      </c>
      <c r="QWQ85" s="70">
        <v>0</v>
      </c>
      <c r="QWR85" s="70">
        <v>0</v>
      </c>
      <c r="QWS85" s="70">
        <v>0</v>
      </c>
      <c r="QWT85" s="70">
        <v>0</v>
      </c>
      <c r="QWU85" s="70">
        <v>0</v>
      </c>
      <c r="QWV85" s="70">
        <v>0</v>
      </c>
      <c r="QWW85" s="70">
        <v>0</v>
      </c>
      <c r="QWX85" s="70">
        <v>0</v>
      </c>
      <c r="QWY85" s="70">
        <v>0</v>
      </c>
      <c r="QWZ85" s="70">
        <v>0</v>
      </c>
      <c r="QXA85" s="70">
        <v>0</v>
      </c>
      <c r="QXB85" s="70">
        <v>0</v>
      </c>
      <c r="QXC85" s="70">
        <v>0</v>
      </c>
      <c r="QXD85" s="70">
        <v>0</v>
      </c>
      <c r="QXE85" s="70">
        <v>0</v>
      </c>
      <c r="QXF85" s="70">
        <v>0</v>
      </c>
      <c r="QXG85" s="70">
        <v>0</v>
      </c>
      <c r="QXH85" s="70">
        <v>0</v>
      </c>
      <c r="QXI85" s="70">
        <v>0</v>
      </c>
      <c r="QXJ85" s="70">
        <v>0</v>
      </c>
      <c r="QXK85" s="70">
        <v>0</v>
      </c>
      <c r="QXL85" s="70">
        <v>0</v>
      </c>
      <c r="QXM85" s="70">
        <v>0</v>
      </c>
      <c r="QXN85" s="70">
        <v>0</v>
      </c>
      <c r="QXO85" s="70">
        <v>0</v>
      </c>
      <c r="QXP85" s="70">
        <v>0</v>
      </c>
      <c r="QXQ85" s="70">
        <v>0</v>
      </c>
      <c r="QXR85" s="70">
        <v>0</v>
      </c>
      <c r="QXS85" s="70">
        <v>0</v>
      </c>
      <c r="QXT85" s="70">
        <v>0</v>
      </c>
      <c r="QXU85" s="70">
        <v>0</v>
      </c>
      <c r="QXV85" s="70">
        <v>0</v>
      </c>
      <c r="QXW85" s="70">
        <v>0</v>
      </c>
      <c r="QXX85" s="70">
        <v>0</v>
      </c>
      <c r="QXY85" s="70">
        <v>0</v>
      </c>
      <c r="QXZ85" s="70">
        <v>0</v>
      </c>
      <c r="QYA85" s="70">
        <v>0</v>
      </c>
      <c r="QYB85" s="70">
        <v>0</v>
      </c>
      <c r="QYC85" s="70">
        <v>0</v>
      </c>
      <c r="QYD85" s="70">
        <v>0</v>
      </c>
      <c r="QYE85" s="70">
        <v>0</v>
      </c>
      <c r="QYF85" s="70">
        <v>0</v>
      </c>
      <c r="QYG85" s="70">
        <v>0</v>
      </c>
      <c r="QYH85" s="70">
        <v>0</v>
      </c>
      <c r="QYI85" s="70">
        <v>0</v>
      </c>
      <c r="QYJ85" s="70">
        <v>0</v>
      </c>
      <c r="QYK85" s="70">
        <v>0</v>
      </c>
      <c r="QYL85" s="70">
        <v>0</v>
      </c>
      <c r="QYM85" s="70">
        <v>0</v>
      </c>
      <c r="QYN85" s="70">
        <v>0</v>
      </c>
      <c r="QYO85" s="70">
        <v>0</v>
      </c>
      <c r="QYP85" s="70">
        <v>0</v>
      </c>
      <c r="QYQ85" s="70">
        <v>0</v>
      </c>
      <c r="QYR85" s="70">
        <v>0</v>
      </c>
      <c r="QYS85" s="70">
        <v>0</v>
      </c>
      <c r="QYT85" s="70">
        <v>0</v>
      </c>
      <c r="QYU85" s="70">
        <v>0</v>
      </c>
      <c r="QYV85" s="70">
        <v>0</v>
      </c>
      <c r="QYW85" s="70">
        <v>0</v>
      </c>
      <c r="QYX85" s="70">
        <v>0</v>
      </c>
      <c r="QYY85" s="70">
        <v>0</v>
      </c>
      <c r="QYZ85" s="70">
        <v>0</v>
      </c>
      <c r="QZA85" s="70">
        <v>0</v>
      </c>
      <c r="QZB85" s="70">
        <v>0</v>
      </c>
      <c r="QZC85" s="70">
        <v>0</v>
      </c>
      <c r="QZD85" s="70">
        <v>0</v>
      </c>
      <c r="QZE85" s="70">
        <v>0</v>
      </c>
      <c r="QZF85" s="70">
        <v>0</v>
      </c>
      <c r="QZG85" s="70">
        <v>0</v>
      </c>
      <c r="QZH85" s="70">
        <v>0</v>
      </c>
      <c r="QZI85" s="70">
        <v>0</v>
      </c>
      <c r="QZJ85" s="70">
        <v>0</v>
      </c>
      <c r="QZK85" s="70">
        <v>0</v>
      </c>
      <c r="QZL85" s="70">
        <v>0</v>
      </c>
      <c r="QZM85" s="70">
        <v>0</v>
      </c>
      <c r="QZN85" s="70">
        <v>0</v>
      </c>
      <c r="QZO85" s="70">
        <v>0</v>
      </c>
      <c r="QZP85" s="70">
        <v>0</v>
      </c>
      <c r="QZQ85" s="70">
        <v>0</v>
      </c>
      <c r="QZR85" s="70">
        <v>0</v>
      </c>
      <c r="QZS85" s="70">
        <v>0</v>
      </c>
      <c r="QZT85" s="70">
        <v>0</v>
      </c>
      <c r="QZU85" s="70">
        <v>0</v>
      </c>
      <c r="QZV85" s="70">
        <v>0</v>
      </c>
      <c r="QZW85" s="70">
        <v>0</v>
      </c>
      <c r="QZX85" s="70">
        <v>0</v>
      </c>
      <c r="QZY85" s="70">
        <v>0</v>
      </c>
      <c r="QZZ85" s="70">
        <v>0</v>
      </c>
      <c r="RAA85" s="70">
        <v>0</v>
      </c>
      <c r="RAB85" s="70">
        <v>0</v>
      </c>
      <c r="RAC85" s="70">
        <v>0</v>
      </c>
      <c r="RAD85" s="70">
        <v>0</v>
      </c>
      <c r="RAE85" s="70">
        <v>0</v>
      </c>
      <c r="RAF85" s="70">
        <v>0</v>
      </c>
      <c r="RAG85" s="70">
        <v>0</v>
      </c>
      <c r="RAH85" s="70">
        <v>0</v>
      </c>
      <c r="RAI85" s="70">
        <v>0</v>
      </c>
      <c r="RAJ85" s="70">
        <v>0</v>
      </c>
      <c r="RAK85" s="70">
        <v>0</v>
      </c>
      <c r="RAL85" s="70">
        <v>0</v>
      </c>
      <c r="RAM85" s="70">
        <v>0</v>
      </c>
      <c r="RAN85" s="70">
        <v>0</v>
      </c>
      <c r="RAO85" s="70">
        <v>0</v>
      </c>
      <c r="RAP85" s="70">
        <v>0</v>
      </c>
      <c r="RAQ85" s="70">
        <v>0</v>
      </c>
      <c r="RAR85" s="70">
        <v>0</v>
      </c>
      <c r="RAS85" s="70">
        <v>0</v>
      </c>
      <c r="RAT85" s="70">
        <v>0</v>
      </c>
      <c r="RAU85" s="70">
        <v>0</v>
      </c>
      <c r="RAV85" s="70">
        <v>0</v>
      </c>
      <c r="RAW85" s="70">
        <v>0</v>
      </c>
      <c r="RAX85" s="70">
        <v>0</v>
      </c>
      <c r="RAY85" s="70">
        <v>0</v>
      </c>
      <c r="RAZ85" s="70">
        <v>0</v>
      </c>
      <c r="RBA85" s="70">
        <v>0</v>
      </c>
      <c r="RBB85" s="70">
        <v>0</v>
      </c>
      <c r="RBC85" s="70">
        <v>0</v>
      </c>
      <c r="RBD85" s="70">
        <v>0</v>
      </c>
      <c r="RBE85" s="70">
        <v>0</v>
      </c>
      <c r="RBF85" s="70">
        <v>0</v>
      </c>
      <c r="RBG85" s="70">
        <v>0</v>
      </c>
      <c r="RBH85" s="70">
        <v>0</v>
      </c>
      <c r="RBI85" s="70">
        <v>0</v>
      </c>
      <c r="RBJ85" s="70">
        <v>0</v>
      </c>
      <c r="RBK85" s="70">
        <v>0</v>
      </c>
      <c r="RBL85" s="70">
        <v>0</v>
      </c>
      <c r="RBM85" s="70">
        <v>0</v>
      </c>
      <c r="RBN85" s="70">
        <v>0</v>
      </c>
      <c r="RBO85" s="70">
        <v>0</v>
      </c>
      <c r="RBP85" s="70">
        <v>0</v>
      </c>
      <c r="RBQ85" s="70">
        <v>0</v>
      </c>
      <c r="RBR85" s="70">
        <v>0</v>
      </c>
      <c r="RBS85" s="70">
        <v>0</v>
      </c>
      <c r="RBT85" s="70">
        <v>0</v>
      </c>
      <c r="RBU85" s="70">
        <v>0</v>
      </c>
      <c r="RBV85" s="70">
        <v>0</v>
      </c>
      <c r="RBW85" s="70">
        <v>0</v>
      </c>
      <c r="RBX85" s="70">
        <v>0</v>
      </c>
      <c r="RBY85" s="70">
        <v>0</v>
      </c>
      <c r="RBZ85" s="70">
        <v>0</v>
      </c>
      <c r="RCA85" s="70">
        <v>0</v>
      </c>
      <c r="RCB85" s="70">
        <v>0</v>
      </c>
      <c r="RCC85" s="70">
        <v>0</v>
      </c>
      <c r="RCD85" s="70">
        <v>0</v>
      </c>
      <c r="RCE85" s="70">
        <v>0</v>
      </c>
      <c r="RCF85" s="70">
        <v>0</v>
      </c>
      <c r="RCG85" s="70">
        <v>0</v>
      </c>
      <c r="RCH85" s="70">
        <v>0</v>
      </c>
      <c r="RCI85" s="70">
        <v>0</v>
      </c>
      <c r="RCJ85" s="70">
        <v>0</v>
      </c>
      <c r="RCK85" s="70">
        <v>0</v>
      </c>
      <c r="RCL85" s="70">
        <v>0</v>
      </c>
      <c r="RCM85" s="70">
        <v>0</v>
      </c>
      <c r="RCN85" s="70">
        <v>0</v>
      </c>
      <c r="RCO85" s="70">
        <v>0</v>
      </c>
      <c r="RCP85" s="70">
        <v>0</v>
      </c>
      <c r="RCQ85" s="70">
        <v>0</v>
      </c>
      <c r="RCR85" s="70">
        <v>0</v>
      </c>
      <c r="RCS85" s="70">
        <v>0</v>
      </c>
      <c r="RCT85" s="70">
        <v>0</v>
      </c>
      <c r="RCU85" s="70">
        <v>0</v>
      </c>
      <c r="RCV85" s="70">
        <v>0</v>
      </c>
      <c r="RCW85" s="70">
        <v>0</v>
      </c>
      <c r="RCX85" s="70">
        <v>0</v>
      </c>
      <c r="RCY85" s="70">
        <v>0</v>
      </c>
      <c r="RCZ85" s="70">
        <v>0</v>
      </c>
      <c r="RDA85" s="70">
        <v>0</v>
      </c>
      <c r="RDB85" s="70">
        <v>0</v>
      </c>
      <c r="RDC85" s="70">
        <v>0</v>
      </c>
      <c r="RDD85" s="70">
        <v>0</v>
      </c>
      <c r="RDE85" s="70">
        <v>0</v>
      </c>
      <c r="RDF85" s="70">
        <v>0</v>
      </c>
      <c r="RDG85" s="70">
        <v>0</v>
      </c>
      <c r="RDH85" s="70">
        <v>0</v>
      </c>
      <c r="RDI85" s="70">
        <v>0</v>
      </c>
      <c r="RDJ85" s="70">
        <v>0</v>
      </c>
      <c r="RDK85" s="70">
        <v>0</v>
      </c>
      <c r="RDL85" s="70">
        <v>0</v>
      </c>
      <c r="RDM85" s="70">
        <v>0</v>
      </c>
      <c r="RDN85" s="70">
        <v>0</v>
      </c>
      <c r="RDO85" s="70">
        <v>0</v>
      </c>
      <c r="RDP85" s="70">
        <v>0</v>
      </c>
      <c r="RDQ85" s="70">
        <v>0</v>
      </c>
      <c r="RDR85" s="70">
        <v>0</v>
      </c>
      <c r="RDS85" s="70">
        <v>0</v>
      </c>
      <c r="RDT85" s="70">
        <v>0</v>
      </c>
      <c r="RDU85" s="70">
        <v>0</v>
      </c>
      <c r="RDV85" s="70">
        <v>0</v>
      </c>
      <c r="RDW85" s="70">
        <v>0</v>
      </c>
      <c r="RDX85" s="70">
        <v>0</v>
      </c>
      <c r="RDY85" s="70">
        <v>0</v>
      </c>
      <c r="RDZ85" s="70">
        <v>0</v>
      </c>
      <c r="REA85" s="70">
        <v>0</v>
      </c>
      <c r="REB85" s="70">
        <v>0</v>
      </c>
      <c r="REC85" s="70">
        <v>0</v>
      </c>
      <c r="RED85" s="70">
        <v>0</v>
      </c>
      <c r="REE85" s="70">
        <v>0</v>
      </c>
      <c r="REF85" s="70">
        <v>0</v>
      </c>
      <c r="REG85" s="70">
        <v>0</v>
      </c>
      <c r="REH85" s="70">
        <v>0</v>
      </c>
      <c r="REI85" s="70">
        <v>0</v>
      </c>
      <c r="REJ85" s="70">
        <v>0</v>
      </c>
      <c r="REK85" s="70">
        <v>0</v>
      </c>
      <c r="REL85" s="70">
        <v>0</v>
      </c>
      <c r="REM85" s="70">
        <v>0</v>
      </c>
      <c r="REN85" s="70">
        <v>0</v>
      </c>
      <c r="REO85" s="70">
        <v>0</v>
      </c>
      <c r="REP85" s="70">
        <v>0</v>
      </c>
      <c r="REQ85" s="70">
        <v>0</v>
      </c>
      <c r="RER85" s="70">
        <v>0</v>
      </c>
      <c r="RES85" s="70">
        <v>0</v>
      </c>
      <c r="RET85" s="70">
        <v>0</v>
      </c>
      <c r="REU85" s="70">
        <v>0</v>
      </c>
      <c r="REV85" s="70">
        <v>0</v>
      </c>
      <c r="REW85" s="70">
        <v>0</v>
      </c>
      <c r="REX85" s="70">
        <v>0</v>
      </c>
      <c r="REY85" s="70">
        <v>0</v>
      </c>
      <c r="REZ85" s="70">
        <v>0</v>
      </c>
      <c r="RFA85" s="70">
        <v>0</v>
      </c>
      <c r="RFB85" s="70">
        <v>0</v>
      </c>
      <c r="RFC85" s="70">
        <v>0</v>
      </c>
      <c r="RFD85" s="70">
        <v>0</v>
      </c>
      <c r="RFE85" s="70">
        <v>0</v>
      </c>
      <c r="RFF85" s="70">
        <v>0</v>
      </c>
      <c r="RFG85" s="70">
        <v>0</v>
      </c>
      <c r="RFH85" s="70">
        <v>0</v>
      </c>
      <c r="RFI85" s="70">
        <v>0</v>
      </c>
      <c r="RFJ85" s="70">
        <v>0</v>
      </c>
      <c r="RFK85" s="70">
        <v>0</v>
      </c>
      <c r="RFL85" s="70">
        <v>0</v>
      </c>
      <c r="RFM85" s="70">
        <v>0</v>
      </c>
      <c r="RFN85" s="70">
        <v>0</v>
      </c>
      <c r="RFO85" s="70">
        <v>0</v>
      </c>
      <c r="RFP85" s="70">
        <v>0</v>
      </c>
      <c r="RFQ85" s="70">
        <v>0</v>
      </c>
      <c r="RFR85" s="70">
        <v>0</v>
      </c>
      <c r="RFS85" s="70">
        <v>0</v>
      </c>
      <c r="RFT85" s="70">
        <v>0</v>
      </c>
      <c r="RFU85" s="70">
        <v>0</v>
      </c>
      <c r="RFV85" s="70">
        <v>0</v>
      </c>
      <c r="RFW85" s="70">
        <v>0</v>
      </c>
      <c r="RFX85" s="70">
        <v>0</v>
      </c>
      <c r="RFY85" s="70">
        <v>0</v>
      </c>
      <c r="RFZ85" s="70">
        <v>0</v>
      </c>
      <c r="RGA85" s="70">
        <v>0</v>
      </c>
      <c r="RGB85" s="70">
        <v>0</v>
      </c>
      <c r="RGC85" s="70">
        <v>0</v>
      </c>
      <c r="RGD85" s="70">
        <v>0</v>
      </c>
      <c r="RGE85" s="70">
        <v>0</v>
      </c>
      <c r="RGF85" s="70">
        <v>0</v>
      </c>
      <c r="RGG85" s="70">
        <v>0</v>
      </c>
      <c r="RGH85" s="70">
        <v>0</v>
      </c>
      <c r="RGI85" s="70">
        <v>0</v>
      </c>
      <c r="RGJ85" s="70">
        <v>0</v>
      </c>
      <c r="RGK85" s="70">
        <v>0</v>
      </c>
      <c r="RGL85" s="70">
        <v>0</v>
      </c>
      <c r="RGM85" s="70">
        <v>0</v>
      </c>
      <c r="RGN85" s="70">
        <v>0</v>
      </c>
      <c r="RGO85" s="70">
        <v>0</v>
      </c>
      <c r="RGP85" s="70">
        <v>0</v>
      </c>
      <c r="RGQ85" s="70">
        <v>0</v>
      </c>
      <c r="RGR85" s="70">
        <v>0</v>
      </c>
      <c r="RGS85" s="70">
        <v>0</v>
      </c>
      <c r="RGT85" s="70">
        <v>0</v>
      </c>
      <c r="RGU85" s="70">
        <v>0</v>
      </c>
      <c r="RGV85" s="70">
        <v>0</v>
      </c>
      <c r="RGW85" s="70">
        <v>0</v>
      </c>
      <c r="RGX85" s="70">
        <v>0</v>
      </c>
      <c r="RGY85" s="70">
        <v>0</v>
      </c>
      <c r="RGZ85" s="70">
        <v>0</v>
      </c>
      <c r="RHA85" s="70">
        <v>0</v>
      </c>
      <c r="RHB85" s="70">
        <v>0</v>
      </c>
      <c r="RHC85" s="70">
        <v>0</v>
      </c>
      <c r="RHD85" s="70">
        <v>0</v>
      </c>
      <c r="RHE85" s="70">
        <v>0</v>
      </c>
      <c r="RHF85" s="70">
        <v>0</v>
      </c>
      <c r="RHG85" s="70">
        <v>0</v>
      </c>
      <c r="RHH85" s="70">
        <v>0</v>
      </c>
      <c r="RHI85" s="70">
        <v>0</v>
      </c>
      <c r="RHJ85" s="70">
        <v>0</v>
      </c>
      <c r="RHK85" s="70">
        <v>0</v>
      </c>
      <c r="RHL85" s="70">
        <v>0</v>
      </c>
      <c r="RHM85" s="70">
        <v>0</v>
      </c>
      <c r="RHN85" s="70">
        <v>0</v>
      </c>
      <c r="RHO85" s="70">
        <v>0</v>
      </c>
      <c r="RHP85" s="70">
        <v>0</v>
      </c>
      <c r="RHQ85" s="70">
        <v>0</v>
      </c>
      <c r="RHR85" s="70">
        <v>0</v>
      </c>
      <c r="RHS85" s="70">
        <v>0</v>
      </c>
      <c r="RHT85" s="70">
        <v>0</v>
      </c>
      <c r="RHU85" s="70">
        <v>0</v>
      </c>
      <c r="RHV85" s="70">
        <v>0</v>
      </c>
      <c r="RHW85" s="70">
        <v>0</v>
      </c>
      <c r="RHX85" s="70">
        <v>0</v>
      </c>
      <c r="RHY85" s="70">
        <v>0</v>
      </c>
      <c r="RHZ85" s="70">
        <v>0</v>
      </c>
      <c r="RIA85" s="70">
        <v>0</v>
      </c>
      <c r="RIB85" s="70">
        <v>0</v>
      </c>
      <c r="RIC85" s="70">
        <v>0</v>
      </c>
      <c r="RID85" s="70">
        <v>0</v>
      </c>
      <c r="RIE85" s="70">
        <v>0</v>
      </c>
      <c r="RIF85" s="70">
        <v>0</v>
      </c>
      <c r="RIG85" s="70">
        <v>0</v>
      </c>
      <c r="RIH85" s="70">
        <v>0</v>
      </c>
      <c r="RII85" s="70">
        <v>0</v>
      </c>
      <c r="RIJ85" s="70">
        <v>0</v>
      </c>
      <c r="RIK85" s="70">
        <v>0</v>
      </c>
      <c r="RIL85" s="70">
        <v>0</v>
      </c>
      <c r="RIM85" s="70">
        <v>0</v>
      </c>
      <c r="RIN85" s="70">
        <v>0</v>
      </c>
      <c r="RIO85" s="70">
        <v>0</v>
      </c>
      <c r="RIP85" s="70">
        <v>0</v>
      </c>
      <c r="RIQ85" s="70">
        <v>0</v>
      </c>
      <c r="RIR85" s="70">
        <v>0</v>
      </c>
      <c r="RIS85" s="70">
        <v>0</v>
      </c>
      <c r="RIT85" s="70">
        <v>0</v>
      </c>
      <c r="RIU85" s="70">
        <v>0</v>
      </c>
      <c r="RIV85" s="70">
        <v>0</v>
      </c>
      <c r="RIW85" s="70">
        <v>0</v>
      </c>
      <c r="RIX85" s="70">
        <v>0</v>
      </c>
      <c r="RIY85" s="70">
        <v>0</v>
      </c>
      <c r="RIZ85" s="70">
        <v>0</v>
      </c>
      <c r="RJA85" s="70">
        <v>0</v>
      </c>
      <c r="RJB85" s="70">
        <v>0</v>
      </c>
      <c r="RJC85" s="70">
        <v>0</v>
      </c>
      <c r="RJD85" s="70">
        <v>0</v>
      </c>
      <c r="RJE85" s="70">
        <v>0</v>
      </c>
      <c r="RJF85" s="70">
        <v>0</v>
      </c>
      <c r="RJG85" s="70">
        <v>0</v>
      </c>
      <c r="RJH85" s="70">
        <v>0</v>
      </c>
      <c r="RJI85" s="70">
        <v>0</v>
      </c>
      <c r="RJJ85" s="70">
        <v>0</v>
      </c>
      <c r="RJK85" s="70">
        <v>0</v>
      </c>
      <c r="RJL85" s="70">
        <v>0</v>
      </c>
      <c r="RJM85" s="70">
        <v>0</v>
      </c>
      <c r="RJN85" s="70">
        <v>0</v>
      </c>
      <c r="RJO85" s="70">
        <v>0</v>
      </c>
      <c r="RJP85" s="70">
        <v>0</v>
      </c>
      <c r="RJQ85" s="70">
        <v>0</v>
      </c>
      <c r="RJR85" s="70">
        <v>0</v>
      </c>
      <c r="RJS85" s="70">
        <v>0</v>
      </c>
      <c r="RJT85" s="70">
        <v>0</v>
      </c>
      <c r="RJU85" s="70">
        <v>0</v>
      </c>
      <c r="RJV85" s="70">
        <v>0</v>
      </c>
      <c r="RJW85" s="70">
        <v>0</v>
      </c>
      <c r="RJX85" s="70">
        <v>0</v>
      </c>
      <c r="RJY85" s="70">
        <v>0</v>
      </c>
      <c r="RJZ85" s="70">
        <v>0</v>
      </c>
      <c r="RKA85" s="70">
        <v>0</v>
      </c>
      <c r="RKB85" s="70">
        <v>0</v>
      </c>
      <c r="RKC85" s="70">
        <v>0</v>
      </c>
      <c r="RKD85" s="70">
        <v>0</v>
      </c>
      <c r="RKE85" s="70">
        <v>0</v>
      </c>
      <c r="RKF85" s="70">
        <v>0</v>
      </c>
      <c r="RKG85" s="70">
        <v>0</v>
      </c>
      <c r="RKH85" s="70">
        <v>0</v>
      </c>
      <c r="RKI85" s="70">
        <v>0</v>
      </c>
      <c r="RKJ85" s="70">
        <v>0</v>
      </c>
      <c r="RKK85" s="70">
        <v>0</v>
      </c>
      <c r="RKL85" s="70">
        <v>0</v>
      </c>
      <c r="RKM85" s="70">
        <v>0</v>
      </c>
      <c r="RKN85" s="70">
        <v>0</v>
      </c>
      <c r="RKO85" s="70">
        <v>0</v>
      </c>
      <c r="RKP85" s="70">
        <v>0</v>
      </c>
      <c r="RKQ85" s="70">
        <v>0</v>
      </c>
      <c r="RKR85" s="70">
        <v>0</v>
      </c>
      <c r="RKS85" s="70">
        <v>0</v>
      </c>
      <c r="RKT85" s="70">
        <v>0</v>
      </c>
      <c r="RKU85" s="70">
        <v>0</v>
      </c>
      <c r="RKV85" s="70">
        <v>0</v>
      </c>
      <c r="RKW85" s="70">
        <v>0</v>
      </c>
      <c r="RKX85" s="70">
        <v>0</v>
      </c>
      <c r="RKY85" s="70">
        <v>0</v>
      </c>
      <c r="RKZ85" s="70">
        <v>0</v>
      </c>
      <c r="RLA85" s="70">
        <v>0</v>
      </c>
      <c r="RLB85" s="70">
        <v>0</v>
      </c>
      <c r="RLC85" s="70">
        <v>0</v>
      </c>
      <c r="RLD85" s="70">
        <v>0</v>
      </c>
      <c r="RLE85" s="70">
        <v>0</v>
      </c>
      <c r="RLF85" s="70">
        <v>0</v>
      </c>
      <c r="RLG85" s="70">
        <v>0</v>
      </c>
      <c r="RLH85" s="70">
        <v>0</v>
      </c>
      <c r="RLI85" s="70">
        <v>0</v>
      </c>
      <c r="RLJ85" s="70">
        <v>0</v>
      </c>
      <c r="RLK85" s="70">
        <v>0</v>
      </c>
      <c r="RLL85" s="70">
        <v>0</v>
      </c>
      <c r="RLM85" s="70">
        <v>0</v>
      </c>
      <c r="RLN85" s="70">
        <v>0</v>
      </c>
      <c r="RLO85" s="70">
        <v>0</v>
      </c>
      <c r="RLP85" s="70">
        <v>0</v>
      </c>
      <c r="RLQ85" s="70">
        <v>0</v>
      </c>
      <c r="RLR85" s="70">
        <v>0</v>
      </c>
      <c r="RLS85" s="70">
        <v>0</v>
      </c>
      <c r="RLT85" s="70">
        <v>0</v>
      </c>
      <c r="RLU85" s="70">
        <v>0</v>
      </c>
      <c r="RLV85" s="70">
        <v>0</v>
      </c>
      <c r="RLW85" s="70">
        <v>0</v>
      </c>
      <c r="RLX85" s="70">
        <v>0</v>
      </c>
      <c r="RLY85" s="70">
        <v>0</v>
      </c>
      <c r="RLZ85" s="70">
        <v>0</v>
      </c>
      <c r="RMA85" s="70">
        <v>0</v>
      </c>
      <c r="RMB85" s="70">
        <v>0</v>
      </c>
      <c r="RMC85" s="70">
        <v>0</v>
      </c>
      <c r="RMD85" s="70">
        <v>0</v>
      </c>
      <c r="RME85" s="70">
        <v>0</v>
      </c>
      <c r="RMF85" s="70">
        <v>0</v>
      </c>
      <c r="RMG85" s="70">
        <v>0</v>
      </c>
      <c r="RMH85" s="70">
        <v>0</v>
      </c>
      <c r="RMI85" s="70">
        <v>0</v>
      </c>
      <c r="RMJ85" s="70">
        <v>0</v>
      </c>
      <c r="RMK85" s="70">
        <v>0</v>
      </c>
      <c r="RML85" s="70">
        <v>0</v>
      </c>
      <c r="RMM85" s="70">
        <v>0</v>
      </c>
      <c r="RMN85" s="70">
        <v>0</v>
      </c>
      <c r="RMO85" s="70">
        <v>0</v>
      </c>
      <c r="RMP85" s="70">
        <v>0</v>
      </c>
      <c r="RMQ85" s="70">
        <v>0</v>
      </c>
      <c r="RMR85" s="70">
        <v>0</v>
      </c>
      <c r="RMS85" s="70">
        <v>0</v>
      </c>
      <c r="RMT85" s="70">
        <v>0</v>
      </c>
      <c r="RMU85" s="70">
        <v>0</v>
      </c>
      <c r="RMV85" s="70">
        <v>0</v>
      </c>
      <c r="RMW85" s="70">
        <v>0</v>
      </c>
      <c r="RMX85" s="70">
        <v>0</v>
      </c>
      <c r="RMY85" s="70">
        <v>0</v>
      </c>
      <c r="RMZ85" s="70">
        <v>0</v>
      </c>
      <c r="RNA85" s="70">
        <v>0</v>
      </c>
      <c r="RNB85" s="70">
        <v>0</v>
      </c>
      <c r="RNC85" s="70">
        <v>0</v>
      </c>
      <c r="RND85" s="70">
        <v>0</v>
      </c>
      <c r="RNE85" s="70">
        <v>0</v>
      </c>
      <c r="RNF85" s="70">
        <v>0</v>
      </c>
      <c r="RNG85" s="70">
        <v>0</v>
      </c>
      <c r="RNH85" s="70">
        <v>0</v>
      </c>
      <c r="RNI85" s="70">
        <v>0</v>
      </c>
      <c r="RNJ85" s="70">
        <v>0</v>
      </c>
      <c r="RNK85" s="70">
        <v>0</v>
      </c>
      <c r="RNL85" s="70">
        <v>0</v>
      </c>
      <c r="RNM85" s="70">
        <v>0</v>
      </c>
      <c r="RNN85" s="70">
        <v>0</v>
      </c>
      <c r="RNO85" s="70">
        <v>0</v>
      </c>
      <c r="RNP85" s="70">
        <v>0</v>
      </c>
      <c r="RNQ85" s="70">
        <v>0</v>
      </c>
      <c r="RNR85" s="70">
        <v>0</v>
      </c>
      <c r="RNS85" s="70">
        <v>0</v>
      </c>
      <c r="RNT85" s="70">
        <v>0</v>
      </c>
      <c r="RNU85" s="70">
        <v>0</v>
      </c>
      <c r="RNV85" s="70">
        <v>0</v>
      </c>
      <c r="RNW85" s="70">
        <v>0</v>
      </c>
      <c r="RNX85" s="70">
        <v>0</v>
      </c>
      <c r="RNY85" s="70">
        <v>0</v>
      </c>
      <c r="RNZ85" s="70">
        <v>0</v>
      </c>
      <c r="ROA85" s="70">
        <v>0</v>
      </c>
      <c r="ROB85" s="70">
        <v>0</v>
      </c>
      <c r="ROC85" s="70">
        <v>0</v>
      </c>
      <c r="ROD85" s="70">
        <v>0</v>
      </c>
      <c r="ROE85" s="70">
        <v>0</v>
      </c>
      <c r="ROF85" s="70">
        <v>0</v>
      </c>
      <c r="ROG85" s="70">
        <v>0</v>
      </c>
      <c r="ROH85" s="70">
        <v>0</v>
      </c>
      <c r="ROI85" s="70">
        <v>0</v>
      </c>
      <c r="ROJ85" s="70">
        <v>0</v>
      </c>
      <c r="ROK85" s="70">
        <v>0</v>
      </c>
      <c r="ROL85" s="70">
        <v>0</v>
      </c>
      <c r="ROM85" s="70">
        <v>0</v>
      </c>
      <c r="RON85" s="70">
        <v>0</v>
      </c>
      <c r="ROO85" s="70">
        <v>0</v>
      </c>
      <c r="ROP85" s="70">
        <v>0</v>
      </c>
      <c r="ROQ85" s="70">
        <v>0</v>
      </c>
      <c r="ROR85" s="70">
        <v>0</v>
      </c>
      <c r="ROS85" s="70">
        <v>0</v>
      </c>
      <c r="ROT85" s="70">
        <v>0</v>
      </c>
      <c r="ROU85" s="70">
        <v>0</v>
      </c>
      <c r="ROV85" s="70">
        <v>0</v>
      </c>
      <c r="ROW85" s="70">
        <v>0</v>
      </c>
      <c r="ROX85" s="70">
        <v>0</v>
      </c>
      <c r="ROY85" s="70">
        <v>0</v>
      </c>
      <c r="ROZ85" s="70">
        <v>0</v>
      </c>
      <c r="RPA85" s="70">
        <v>0</v>
      </c>
      <c r="RPB85" s="70">
        <v>0</v>
      </c>
      <c r="RPC85" s="70">
        <v>0</v>
      </c>
      <c r="RPD85" s="70">
        <v>0</v>
      </c>
      <c r="RPE85" s="70">
        <v>0</v>
      </c>
      <c r="RPF85" s="70">
        <v>0</v>
      </c>
      <c r="RPG85" s="70">
        <v>0</v>
      </c>
      <c r="RPH85" s="70">
        <v>0</v>
      </c>
      <c r="RPI85" s="70">
        <v>0</v>
      </c>
      <c r="RPJ85" s="70">
        <v>0</v>
      </c>
      <c r="RPK85" s="70">
        <v>0</v>
      </c>
      <c r="RPL85" s="70">
        <v>0</v>
      </c>
      <c r="RPM85" s="70">
        <v>0</v>
      </c>
      <c r="RPN85" s="70">
        <v>0</v>
      </c>
      <c r="RPO85" s="70">
        <v>0</v>
      </c>
      <c r="RPP85" s="70">
        <v>0</v>
      </c>
      <c r="RPQ85" s="70">
        <v>0</v>
      </c>
      <c r="RPR85" s="70">
        <v>0</v>
      </c>
      <c r="RPS85" s="70">
        <v>0</v>
      </c>
      <c r="RPT85" s="70">
        <v>0</v>
      </c>
      <c r="RPU85" s="70">
        <v>0</v>
      </c>
      <c r="RPV85" s="70">
        <v>0</v>
      </c>
      <c r="RPW85" s="70">
        <v>0</v>
      </c>
      <c r="RPX85" s="70">
        <v>0</v>
      </c>
      <c r="RPY85" s="70">
        <v>0</v>
      </c>
      <c r="RPZ85" s="70">
        <v>0</v>
      </c>
      <c r="RQA85" s="70">
        <v>0</v>
      </c>
      <c r="RQB85" s="70">
        <v>0</v>
      </c>
      <c r="RQC85" s="70">
        <v>0</v>
      </c>
      <c r="RQD85" s="70">
        <v>0</v>
      </c>
      <c r="RQE85" s="70">
        <v>0</v>
      </c>
      <c r="RQF85" s="70">
        <v>0</v>
      </c>
      <c r="RQG85" s="70">
        <v>0</v>
      </c>
      <c r="RQH85" s="70">
        <v>0</v>
      </c>
      <c r="RQI85" s="70">
        <v>0</v>
      </c>
      <c r="RQJ85" s="70">
        <v>0</v>
      </c>
      <c r="RQK85" s="70">
        <v>0</v>
      </c>
      <c r="RQL85" s="70">
        <v>0</v>
      </c>
      <c r="RQM85" s="70">
        <v>0</v>
      </c>
      <c r="RQN85" s="70">
        <v>0</v>
      </c>
      <c r="RQO85" s="70">
        <v>0</v>
      </c>
      <c r="RQP85" s="70">
        <v>0</v>
      </c>
      <c r="RQQ85" s="70">
        <v>0</v>
      </c>
      <c r="RQR85" s="70">
        <v>0</v>
      </c>
      <c r="RQS85" s="70">
        <v>0</v>
      </c>
      <c r="RQT85" s="70">
        <v>0</v>
      </c>
      <c r="RQU85" s="70">
        <v>0</v>
      </c>
      <c r="RQV85" s="70">
        <v>0</v>
      </c>
      <c r="RQW85" s="70">
        <v>0</v>
      </c>
      <c r="RQX85" s="70">
        <v>0</v>
      </c>
      <c r="RQY85" s="70">
        <v>0</v>
      </c>
      <c r="RQZ85" s="70">
        <v>0</v>
      </c>
      <c r="RRA85" s="70">
        <v>0</v>
      </c>
      <c r="RRB85" s="70">
        <v>0</v>
      </c>
      <c r="RRC85" s="70">
        <v>0</v>
      </c>
      <c r="RRD85" s="70">
        <v>0</v>
      </c>
      <c r="RRE85" s="70">
        <v>0</v>
      </c>
      <c r="RRF85" s="70">
        <v>0</v>
      </c>
      <c r="RRG85" s="70">
        <v>0</v>
      </c>
      <c r="RRH85" s="70">
        <v>0</v>
      </c>
      <c r="RRI85" s="70">
        <v>0</v>
      </c>
      <c r="RRJ85" s="70">
        <v>0</v>
      </c>
      <c r="RRK85" s="70">
        <v>0</v>
      </c>
      <c r="RRL85" s="70">
        <v>0</v>
      </c>
      <c r="RRM85" s="70">
        <v>0</v>
      </c>
      <c r="RRN85" s="70">
        <v>0</v>
      </c>
      <c r="RRO85" s="70">
        <v>0</v>
      </c>
      <c r="RRP85" s="70">
        <v>0</v>
      </c>
      <c r="RRQ85" s="70">
        <v>0</v>
      </c>
      <c r="RRR85" s="70">
        <v>0</v>
      </c>
      <c r="RRS85" s="70">
        <v>0</v>
      </c>
      <c r="RRT85" s="70">
        <v>0</v>
      </c>
      <c r="RRU85" s="70">
        <v>0</v>
      </c>
      <c r="RRV85" s="70">
        <v>0</v>
      </c>
      <c r="RRW85" s="70">
        <v>0</v>
      </c>
      <c r="RRX85" s="70">
        <v>0</v>
      </c>
      <c r="RRY85" s="70">
        <v>0</v>
      </c>
      <c r="RRZ85" s="70">
        <v>0</v>
      </c>
      <c r="RSA85" s="70">
        <v>0</v>
      </c>
      <c r="RSB85" s="70">
        <v>0</v>
      </c>
      <c r="RSC85" s="70">
        <v>0</v>
      </c>
      <c r="RSD85" s="70">
        <v>0</v>
      </c>
      <c r="RSE85" s="70">
        <v>0</v>
      </c>
      <c r="RSF85" s="70">
        <v>0</v>
      </c>
      <c r="RSG85" s="70">
        <v>0</v>
      </c>
      <c r="RSH85" s="70">
        <v>0</v>
      </c>
      <c r="RSI85" s="70">
        <v>0</v>
      </c>
      <c r="RSJ85" s="70">
        <v>0</v>
      </c>
      <c r="RSK85" s="70">
        <v>0</v>
      </c>
      <c r="RSL85" s="70">
        <v>0</v>
      </c>
      <c r="RSM85" s="70">
        <v>0</v>
      </c>
      <c r="RSN85" s="70">
        <v>0</v>
      </c>
      <c r="RSO85" s="70">
        <v>0</v>
      </c>
      <c r="RSP85" s="70">
        <v>0</v>
      </c>
      <c r="RSQ85" s="70">
        <v>0</v>
      </c>
      <c r="RSR85" s="70">
        <v>0</v>
      </c>
      <c r="RSS85" s="70">
        <v>0</v>
      </c>
      <c r="RST85" s="70">
        <v>0</v>
      </c>
      <c r="RSU85" s="70">
        <v>0</v>
      </c>
      <c r="RSV85" s="70">
        <v>0</v>
      </c>
      <c r="RSW85" s="70">
        <v>0</v>
      </c>
      <c r="RSX85" s="70">
        <v>0</v>
      </c>
      <c r="RSY85" s="70">
        <v>0</v>
      </c>
      <c r="RSZ85" s="70">
        <v>0</v>
      </c>
      <c r="RTA85" s="70">
        <v>0</v>
      </c>
      <c r="RTB85" s="70">
        <v>0</v>
      </c>
      <c r="RTC85" s="70">
        <v>0</v>
      </c>
      <c r="RTD85" s="70">
        <v>0</v>
      </c>
      <c r="RTE85" s="70">
        <v>0</v>
      </c>
      <c r="RTF85" s="70">
        <v>0</v>
      </c>
      <c r="RTG85" s="70">
        <v>0</v>
      </c>
      <c r="RTH85" s="70">
        <v>0</v>
      </c>
      <c r="RTI85" s="70">
        <v>0</v>
      </c>
      <c r="RTJ85" s="70">
        <v>0</v>
      </c>
      <c r="RTK85" s="70">
        <v>0</v>
      </c>
      <c r="RTL85" s="70">
        <v>0</v>
      </c>
      <c r="RTM85" s="70">
        <v>0</v>
      </c>
      <c r="RTN85" s="70">
        <v>0</v>
      </c>
      <c r="RTO85" s="70">
        <v>0</v>
      </c>
      <c r="RTP85" s="70">
        <v>0</v>
      </c>
      <c r="RTQ85" s="70">
        <v>0</v>
      </c>
      <c r="RTR85" s="70">
        <v>0</v>
      </c>
      <c r="RTS85" s="70">
        <v>0</v>
      </c>
      <c r="RTT85" s="70">
        <v>0</v>
      </c>
      <c r="RTU85" s="70">
        <v>0</v>
      </c>
      <c r="RTV85" s="70">
        <v>0</v>
      </c>
      <c r="RTW85" s="70">
        <v>0</v>
      </c>
      <c r="RTX85" s="70">
        <v>0</v>
      </c>
      <c r="RTY85" s="70">
        <v>0</v>
      </c>
      <c r="RTZ85" s="70">
        <v>0</v>
      </c>
      <c r="RUA85" s="70">
        <v>0</v>
      </c>
      <c r="RUB85" s="70">
        <v>0</v>
      </c>
      <c r="RUC85" s="70">
        <v>0</v>
      </c>
      <c r="RUD85" s="70">
        <v>0</v>
      </c>
      <c r="RUE85" s="70">
        <v>0</v>
      </c>
      <c r="RUF85" s="70">
        <v>0</v>
      </c>
      <c r="RUG85" s="70">
        <v>0</v>
      </c>
      <c r="RUH85" s="70">
        <v>0</v>
      </c>
      <c r="RUI85" s="70">
        <v>0</v>
      </c>
      <c r="RUJ85" s="70">
        <v>0</v>
      </c>
      <c r="RUK85" s="70">
        <v>0</v>
      </c>
      <c r="RUL85" s="70">
        <v>0</v>
      </c>
      <c r="RUM85" s="70">
        <v>0</v>
      </c>
      <c r="RUN85" s="70">
        <v>0</v>
      </c>
      <c r="RUO85" s="70">
        <v>0</v>
      </c>
      <c r="RUP85" s="70">
        <v>0</v>
      </c>
      <c r="RUQ85" s="70">
        <v>0</v>
      </c>
      <c r="RUR85" s="70">
        <v>0</v>
      </c>
      <c r="RUS85" s="70">
        <v>0</v>
      </c>
      <c r="RUT85" s="70">
        <v>0</v>
      </c>
      <c r="RUU85" s="70">
        <v>0</v>
      </c>
      <c r="RUV85" s="70">
        <v>0</v>
      </c>
      <c r="RUW85" s="70">
        <v>0</v>
      </c>
      <c r="RUX85" s="70">
        <v>0</v>
      </c>
      <c r="RUY85" s="70">
        <v>0</v>
      </c>
      <c r="RUZ85" s="70">
        <v>0</v>
      </c>
      <c r="RVA85" s="70">
        <v>0</v>
      </c>
      <c r="RVB85" s="70">
        <v>0</v>
      </c>
      <c r="RVC85" s="70">
        <v>0</v>
      </c>
      <c r="RVD85" s="70">
        <v>0</v>
      </c>
      <c r="RVE85" s="70">
        <v>0</v>
      </c>
      <c r="RVF85" s="70">
        <v>0</v>
      </c>
      <c r="RVG85" s="70">
        <v>0</v>
      </c>
      <c r="RVH85" s="70">
        <v>0</v>
      </c>
      <c r="RVI85" s="70">
        <v>0</v>
      </c>
      <c r="RVJ85" s="70">
        <v>0</v>
      </c>
      <c r="RVK85" s="70">
        <v>0</v>
      </c>
      <c r="RVL85" s="70">
        <v>0</v>
      </c>
      <c r="RVM85" s="70">
        <v>0</v>
      </c>
      <c r="RVN85" s="70">
        <v>0</v>
      </c>
      <c r="RVO85" s="70">
        <v>0</v>
      </c>
      <c r="RVP85" s="70">
        <v>0</v>
      </c>
      <c r="RVQ85" s="70">
        <v>0</v>
      </c>
      <c r="RVR85" s="70">
        <v>0</v>
      </c>
      <c r="RVS85" s="70">
        <v>0</v>
      </c>
      <c r="RVT85" s="70">
        <v>0</v>
      </c>
      <c r="RVU85" s="70">
        <v>0</v>
      </c>
      <c r="RVV85" s="70">
        <v>0</v>
      </c>
      <c r="RVW85" s="70">
        <v>0</v>
      </c>
      <c r="RVX85" s="70">
        <v>0</v>
      </c>
      <c r="RVY85" s="70">
        <v>0</v>
      </c>
      <c r="RVZ85" s="70">
        <v>0</v>
      </c>
      <c r="RWA85" s="70">
        <v>0</v>
      </c>
      <c r="RWB85" s="70">
        <v>0</v>
      </c>
      <c r="RWC85" s="70">
        <v>0</v>
      </c>
      <c r="RWD85" s="70">
        <v>0</v>
      </c>
      <c r="RWE85" s="70">
        <v>0</v>
      </c>
      <c r="RWF85" s="70">
        <v>0</v>
      </c>
      <c r="RWG85" s="70">
        <v>0</v>
      </c>
      <c r="RWH85" s="70">
        <v>0</v>
      </c>
      <c r="RWI85" s="70">
        <v>0</v>
      </c>
      <c r="RWJ85" s="70">
        <v>0</v>
      </c>
      <c r="RWK85" s="70">
        <v>0</v>
      </c>
      <c r="RWL85" s="70">
        <v>0</v>
      </c>
      <c r="RWM85" s="70">
        <v>0</v>
      </c>
      <c r="RWN85" s="70">
        <v>0</v>
      </c>
      <c r="RWO85" s="70">
        <v>0</v>
      </c>
      <c r="RWP85" s="70">
        <v>0</v>
      </c>
      <c r="RWQ85" s="70">
        <v>0</v>
      </c>
      <c r="RWR85" s="70">
        <v>0</v>
      </c>
      <c r="RWS85" s="70">
        <v>0</v>
      </c>
      <c r="RWT85" s="70">
        <v>0</v>
      </c>
      <c r="RWU85" s="70">
        <v>0</v>
      </c>
      <c r="RWV85" s="70">
        <v>0</v>
      </c>
      <c r="RWW85" s="70">
        <v>0</v>
      </c>
      <c r="RWX85" s="70">
        <v>0</v>
      </c>
      <c r="RWY85" s="70">
        <v>0</v>
      </c>
      <c r="RWZ85" s="70">
        <v>0</v>
      </c>
      <c r="RXA85" s="70">
        <v>0</v>
      </c>
      <c r="RXB85" s="70">
        <v>0</v>
      </c>
      <c r="RXC85" s="70">
        <v>0</v>
      </c>
      <c r="RXD85" s="70">
        <v>0</v>
      </c>
      <c r="RXE85" s="70">
        <v>0</v>
      </c>
      <c r="RXF85" s="70">
        <v>0</v>
      </c>
      <c r="RXG85" s="70">
        <v>0</v>
      </c>
      <c r="RXH85" s="70">
        <v>0</v>
      </c>
      <c r="RXI85" s="70">
        <v>0</v>
      </c>
      <c r="RXJ85" s="70">
        <v>0</v>
      </c>
      <c r="RXK85" s="70">
        <v>0</v>
      </c>
      <c r="RXL85" s="70">
        <v>0</v>
      </c>
      <c r="RXM85" s="70">
        <v>0</v>
      </c>
      <c r="RXN85" s="70">
        <v>0</v>
      </c>
      <c r="RXO85" s="70">
        <v>0</v>
      </c>
      <c r="RXP85" s="70">
        <v>0</v>
      </c>
      <c r="RXQ85" s="70">
        <v>0</v>
      </c>
      <c r="RXR85" s="70">
        <v>0</v>
      </c>
      <c r="RXS85" s="70">
        <v>0</v>
      </c>
      <c r="RXT85" s="70">
        <v>0</v>
      </c>
      <c r="RXU85" s="70">
        <v>0</v>
      </c>
      <c r="RXV85" s="70">
        <v>0</v>
      </c>
      <c r="RXW85" s="70">
        <v>0</v>
      </c>
      <c r="RXX85" s="70">
        <v>0</v>
      </c>
      <c r="RXY85" s="70">
        <v>0</v>
      </c>
      <c r="RXZ85" s="70">
        <v>0</v>
      </c>
      <c r="RYA85" s="70">
        <v>0</v>
      </c>
      <c r="RYB85" s="70">
        <v>0</v>
      </c>
      <c r="RYC85" s="70">
        <v>0</v>
      </c>
      <c r="RYD85" s="70">
        <v>0</v>
      </c>
      <c r="RYE85" s="70">
        <v>0</v>
      </c>
      <c r="RYF85" s="70">
        <v>0</v>
      </c>
      <c r="RYG85" s="70">
        <v>0</v>
      </c>
      <c r="RYH85" s="70">
        <v>0</v>
      </c>
      <c r="RYI85" s="70">
        <v>0</v>
      </c>
      <c r="RYJ85" s="70">
        <v>0</v>
      </c>
      <c r="RYK85" s="70">
        <v>0</v>
      </c>
      <c r="RYL85" s="70">
        <v>0</v>
      </c>
      <c r="RYM85" s="70">
        <v>0</v>
      </c>
      <c r="RYN85" s="70">
        <v>0</v>
      </c>
      <c r="RYO85" s="70">
        <v>0</v>
      </c>
      <c r="RYP85" s="70">
        <v>0</v>
      </c>
      <c r="RYQ85" s="70">
        <v>0</v>
      </c>
      <c r="RYR85" s="70">
        <v>0</v>
      </c>
      <c r="RYS85" s="70">
        <v>0</v>
      </c>
      <c r="RYT85" s="70">
        <v>0</v>
      </c>
      <c r="RYU85" s="70">
        <v>0</v>
      </c>
      <c r="RYV85" s="70">
        <v>0</v>
      </c>
      <c r="RYW85" s="70">
        <v>0</v>
      </c>
      <c r="RYX85" s="70">
        <v>0</v>
      </c>
      <c r="RYY85" s="70">
        <v>0</v>
      </c>
      <c r="RYZ85" s="70">
        <v>0</v>
      </c>
      <c r="RZA85" s="70">
        <v>0</v>
      </c>
      <c r="RZB85" s="70">
        <v>0</v>
      </c>
      <c r="RZC85" s="70">
        <v>0</v>
      </c>
      <c r="RZD85" s="70">
        <v>0</v>
      </c>
      <c r="RZE85" s="70">
        <v>0</v>
      </c>
      <c r="RZF85" s="70">
        <v>0</v>
      </c>
      <c r="RZG85" s="70">
        <v>0</v>
      </c>
      <c r="RZH85" s="70">
        <v>0</v>
      </c>
      <c r="RZI85" s="70">
        <v>0</v>
      </c>
      <c r="RZJ85" s="70">
        <v>0</v>
      </c>
      <c r="RZK85" s="70">
        <v>0</v>
      </c>
      <c r="RZL85" s="70">
        <v>0</v>
      </c>
      <c r="RZM85" s="70">
        <v>0</v>
      </c>
      <c r="RZN85" s="70">
        <v>0</v>
      </c>
      <c r="RZO85" s="70">
        <v>0</v>
      </c>
      <c r="RZP85" s="70">
        <v>0</v>
      </c>
      <c r="RZQ85" s="70">
        <v>0</v>
      </c>
      <c r="RZR85" s="70">
        <v>0</v>
      </c>
      <c r="RZS85" s="70">
        <v>0</v>
      </c>
      <c r="RZT85" s="70">
        <v>0</v>
      </c>
      <c r="RZU85" s="70">
        <v>0</v>
      </c>
      <c r="RZV85" s="70">
        <v>0</v>
      </c>
      <c r="RZW85" s="70">
        <v>0</v>
      </c>
      <c r="RZX85" s="70">
        <v>0</v>
      </c>
      <c r="RZY85" s="70">
        <v>0</v>
      </c>
      <c r="RZZ85" s="70">
        <v>0</v>
      </c>
      <c r="SAA85" s="70">
        <v>0</v>
      </c>
      <c r="SAB85" s="70">
        <v>0</v>
      </c>
      <c r="SAC85" s="70">
        <v>0</v>
      </c>
      <c r="SAD85" s="70">
        <v>0</v>
      </c>
      <c r="SAE85" s="70">
        <v>0</v>
      </c>
      <c r="SAF85" s="70">
        <v>0</v>
      </c>
      <c r="SAG85" s="70">
        <v>0</v>
      </c>
      <c r="SAH85" s="70">
        <v>0</v>
      </c>
      <c r="SAI85" s="70">
        <v>0</v>
      </c>
      <c r="SAJ85" s="70">
        <v>0</v>
      </c>
      <c r="SAK85" s="70">
        <v>0</v>
      </c>
      <c r="SAL85" s="70">
        <v>0</v>
      </c>
      <c r="SAM85" s="70">
        <v>0</v>
      </c>
      <c r="SAN85" s="70">
        <v>0</v>
      </c>
      <c r="SAO85" s="70">
        <v>0</v>
      </c>
      <c r="SAP85" s="70">
        <v>0</v>
      </c>
      <c r="SAQ85" s="70">
        <v>0</v>
      </c>
      <c r="SAR85" s="70">
        <v>0</v>
      </c>
      <c r="SAS85" s="70">
        <v>0</v>
      </c>
      <c r="SAT85" s="70">
        <v>0</v>
      </c>
      <c r="SAU85" s="70">
        <v>0</v>
      </c>
      <c r="SAV85" s="70">
        <v>0</v>
      </c>
      <c r="SAW85" s="70">
        <v>0</v>
      </c>
      <c r="SAX85" s="70">
        <v>0</v>
      </c>
      <c r="SAY85" s="70">
        <v>0</v>
      </c>
      <c r="SAZ85" s="70">
        <v>0</v>
      </c>
      <c r="SBA85" s="70">
        <v>0</v>
      </c>
      <c r="SBB85" s="70">
        <v>0</v>
      </c>
      <c r="SBC85" s="70">
        <v>0</v>
      </c>
      <c r="SBD85" s="70">
        <v>0</v>
      </c>
      <c r="SBE85" s="70">
        <v>0</v>
      </c>
      <c r="SBF85" s="70">
        <v>0</v>
      </c>
      <c r="SBG85" s="70">
        <v>0</v>
      </c>
      <c r="SBH85" s="70">
        <v>0</v>
      </c>
      <c r="SBI85" s="70">
        <v>0</v>
      </c>
      <c r="SBJ85" s="70">
        <v>0</v>
      </c>
      <c r="SBK85" s="70">
        <v>0</v>
      </c>
      <c r="SBL85" s="70">
        <v>0</v>
      </c>
      <c r="SBM85" s="70">
        <v>0</v>
      </c>
      <c r="SBN85" s="70">
        <v>0</v>
      </c>
      <c r="SBO85" s="70">
        <v>0</v>
      </c>
      <c r="SBP85" s="70">
        <v>0</v>
      </c>
      <c r="SBQ85" s="70">
        <v>0</v>
      </c>
      <c r="SBR85" s="70">
        <v>0</v>
      </c>
      <c r="SBS85" s="70">
        <v>0</v>
      </c>
      <c r="SBT85" s="70">
        <v>0</v>
      </c>
      <c r="SBU85" s="70">
        <v>0</v>
      </c>
      <c r="SBV85" s="70">
        <v>0</v>
      </c>
      <c r="SBW85" s="70">
        <v>0</v>
      </c>
      <c r="SBX85" s="70">
        <v>0</v>
      </c>
      <c r="SBY85" s="70">
        <v>0</v>
      </c>
      <c r="SBZ85" s="70">
        <v>0</v>
      </c>
      <c r="SCA85" s="70">
        <v>0</v>
      </c>
      <c r="SCB85" s="70">
        <v>0</v>
      </c>
      <c r="SCC85" s="70">
        <v>0</v>
      </c>
      <c r="SCD85" s="70">
        <v>0</v>
      </c>
      <c r="SCE85" s="70">
        <v>0</v>
      </c>
      <c r="SCF85" s="70">
        <v>0</v>
      </c>
      <c r="SCG85" s="70">
        <v>0</v>
      </c>
      <c r="SCH85" s="70">
        <v>0</v>
      </c>
      <c r="SCI85" s="70">
        <v>0</v>
      </c>
      <c r="SCJ85" s="70">
        <v>0</v>
      </c>
      <c r="SCK85" s="70">
        <v>0</v>
      </c>
      <c r="SCL85" s="70">
        <v>0</v>
      </c>
      <c r="SCM85" s="70">
        <v>0</v>
      </c>
      <c r="SCN85" s="70">
        <v>0</v>
      </c>
      <c r="SCO85" s="70">
        <v>0</v>
      </c>
      <c r="SCP85" s="70">
        <v>0</v>
      </c>
      <c r="SCQ85" s="70">
        <v>0</v>
      </c>
      <c r="SCR85" s="70">
        <v>0</v>
      </c>
      <c r="SCS85" s="70">
        <v>0</v>
      </c>
      <c r="SCT85" s="70">
        <v>0</v>
      </c>
      <c r="SCU85" s="70">
        <v>0</v>
      </c>
      <c r="SCV85" s="70">
        <v>0</v>
      </c>
      <c r="SCW85" s="70">
        <v>0</v>
      </c>
      <c r="SCX85" s="70">
        <v>0</v>
      </c>
      <c r="SCY85" s="70">
        <v>0</v>
      </c>
      <c r="SCZ85" s="70">
        <v>0</v>
      </c>
      <c r="SDA85" s="70">
        <v>0</v>
      </c>
      <c r="SDB85" s="70">
        <v>0</v>
      </c>
      <c r="SDC85" s="70">
        <v>0</v>
      </c>
      <c r="SDD85" s="70">
        <v>0</v>
      </c>
      <c r="SDE85" s="70">
        <v>0</v>
      </c>
      <c r="SDF85" s="70">
        <v>0</v>
      </c>
      <c r="SDG85" s="70">
        <v>0</v>
      </c>
      <c r="SDH85" s="70">
        <v>0</v>
      </c>
      <c r="SDI85" s="70">
        <v>0</v>
      </c>
      <c r="SDJ85" s="70">
        <v>0</v>
      </c>
      <c r="SDK85" s="70">
        <v>0</v>
      </c>
      <c r="SDL85" s="70">
        <v>0</v>
      </c>
      <c r="SDM85" s="70">
        <v>0</v>
      </c>
      <c r="SDN85" s="70">
        <v>0</v>
      </c>
      <c r="SDO85" s="70">
        <v>0</v>
      </c>
      <c r="SDP85" s="70">
        <v>0</v>
      </c>
      <c r="SDQ85" s="70">
        <v>0</v>
      </c>
      <c r="SDR85" s="70">
        <v>0</v>
      </c>
      <c r="SDS85" s="70">
        <v>0</v>
      </c>
      <c r="SDT85" s="70">
        <v>0</v>
      </c>
      <c r="SDU85" s="70">
        <v>0</v>
      </c>
      <c r="SDV85" s="70">
        <v>0</v>
      </c>
      <c r="SDW85" s="70">
        <v>0</v>
      </c>
      <c r="SDX85" s="70">
        <v>0</v>
      </c>
      <c r="SDY85" s="70">
        <v>0</v>
      </c>
      <c r="SDZ85" s="70">
        <v>0</v>
      </c>
      <c r="SEA85" s="70">
        <v>0</v>
      </c>
      <c r="SEB85" s="70">
        <v>0</v>
      </c>
      <c r="SEC85" s="70">
        <v>0</v>
      </c>
      <c r="SED85" s="70">
        <v>0</v>
      </c>
      <c r="SEE85" s="70">
        <v>0</v>
      </c>
      <c r="SEF85" s="70">
        <v>0</v>
      </c>
      <c r="SEG85" s="70">
        <v>0</v>
      </c>
      <c r="SEH85" s="70">
        <v>0</v>
      </c>
      <c r="SEI85" s="70">
        <v>0</v>
      </c>
      <c r="SEJ85" s="70">
        <v>0</v>
      </c>
      <c r="SEK85" s="70">
        <v>0</v>
      </c>
      <c r="SEL85" s="70">
        <v>0</v>
      </c>
      <c r="SEM85" s="70">
        <v>0</v>
      </c>
      <c r="SEN85" s="70">
        <v>0</v>
      </c>
      <c r="SEO85" s="70">
        <v>0</v>
      </c>
      <c r="SEP85" s="70">
        <v>0</v>
      </c>
      <c r="SEQ85" s="70">
        <v>0</v>
      </c>
      <c r="SER85" s="70">
        <v>0</v>
      </c>
      <c r="SES85" s="70">
        <v>0</v>
      </c>
      <c r="SET85" s="70">
        <v>0</v>
      </c>
      <c r="SEU85" s="70">
        <v>0</v>
      </c>
      <c r="SEV85" s="70">
        <v>0</v>
      </c>
      <c r="SEW85" s="70">
        <v>0</v>
      </c>
      <c r="SEX85" s="70">
        <v>0</v>
      </c>
      <c r="SEY85" s="70">
        <v>0</v>
      </c>
      <c r="SEZ85" s="70">
        <v>0</v>
      </c>
      <c r="SFA85" s="70">
        <v>0</v>
      </c>
      <c r="SFB85" s="70">
        <v>0</v>
      </c>
      <c r="SFC85" s="70">
        <v>0</v>
      </c>
      <c r="SFD85" s="70">
        <v>0</v>
      </c>
      <c r="SFE85" s="70">
        <v>0</v>
      </c>
      <c r="SFF85" s="70">
        <v>0</v>
      </c>
      <c r="SFG85" s="70">
        <v>0</v>
      </c>
      <c r="SFH85" s="70">
        <v>0</v>
      </c>
      <c r="SFI85" s="70">
        <v>0</v>
      </c>
      <c r="SFJ85" s="70">
        <v>0</v>
      </c>
      <c r="SFK85" s="70">
        <v>0</v>
      </c>
      <c r="SFL85" s="70">
        <v>0</v>
      </c>
      <c r="SFM85" s="70">
        <v>0</v>
      </c>
      <c r="SFN85" s="70">
        <v>0</v>
      </c>
      <c r="SFO85" s="70">
        <v>0</v>
      </c>
      <c r="SFP85" s="70">
        <v>0</v>
      </c>
      <c r="SFQ85" s="70">
        <v>0</v>
      </c>
      <c r="SFR85" s="70">
        <v>0</v>
      </c>
      <c r="SFS85" s="70">
        <v>0</v>
      </c>
      <c r="SFT85" s="70">
        <v>0</v>
      </c>
      <c r="SFU85" s="70">
        <v>0</v>
      </c>
      <c r="SFV85" s="70">
        <v>0</v>
      </c>
      <c r="SFW85" s="70">
        <v>0</v>
      </c>
      <c r="SFX85" s="70">
        <v>0</v>
      </c>
      <c r="SFY85" s="70">
        <v>0</v>
      </c>
      <c r="SFZ85" s="70">
        <v>0</v>
      </c>
      <c r="SGA85" s="70">
        <v>0</v>
      </c>
      <c r="SGB85" s="70">
        <v>0</v>
      </c>
      <c r="SGC85" s="70">
        <v>0</v>
      </c>
      <c r="SGD85" s="70">
        <v>0</v>
      </c>
      <c r="SGE85" s="70">
        <v>0</v>
      </c>
      <c r="SGF85" s="70">
        <v>0</v>
      </c>
      <c r="SGG85" s="70">
        <v>0</v>
      </c>
      <c r="SGH85" s="70">
        <v>0</v>
      </c>
      <c r="SGI85" s="70">
        <v>0</v>
      </c>
      <c r="SGJ85" s="70">
        <v>0</v>
      </c>
      <c r="SGK85" s="70">
        <v>0</v>
      </c>
      <c r="SGL85" s="70">
        <v>0</v>
      </c>
      <c r="SGM85" s="70">
        <v>0</v>
      </c>
      <c r="SGN85" s="70">
        <v>0</v>
      </c>
      <c r="SGO85" s="70">
        <v>0</v>
      </c>
      <c r="SGP85" s="70">
        <v>0</v>
      </c>
      <c r="SGQ85" s="70">
        <v>0</v>
      </c>
      <c r="SGR85" s="70">
        <v>0</v>
      </c>
      <c r="SGS85" s="70">
        <v>0</v>
      </c>
      <c r="SGT85" s="70">
        <v>0</v>
      </c>
      <c r="SGU85" s="70">
        <v>0</v>
      </c>
      <c r="SGV85" s="70">
        <v>0</v>
      </c>
      <c r="SGW85" s="70">
        <v>0</v>
      </c>
      <c r="SGX85" s="70">
        <v>0</v>
      </c>
      <c r="SGY85" s="70">
        <v>0</v>
      </c>
      <c r="SGZ85" s="70">
        <v>0</v>
      </c>
      <c r="SHA85" s="70">
        <v>0</v>
      </c>
      <c r="SHB85" s="70">
        <v>0</v>
      </c>
      <c r="SHC85" s="70">
        <v>0</v>
      </c>
      <c r="SHD85" s="70">
        <v>0</v>
      </c>
      <c r="SHE85" s="70">
        <v>0</v>
      </c>
      <c r="SHF85" s="70">
        <v>0</v>
      </c>
      <c r="SHG85" s="70">
        <v>0</v>
      </c>
      <c r="SHH85" s="70">
        <v>0</v>
      </c>
      <c r="SHI85" s="70">
        <v>0</v>
      </c>
      <c r="SHJ85" s="70">
        <v>0</v>
      </c>
      <c r="SHK85" s="70">
        <v>0</v>
      </c>
      <c r="SHL85" s="70">
        <v>0</v>
      </c>
      <c r="SHM85" s="70">
        <v>0</v>
      </c>
      <c r="SHN85" s="70">
        <v>0</v>
      </c>
      <c r="SHO85" s="70">
        <v>0</v>
      </c>
      <c r="SHP85" s="70">
        <v>0</v>
      </c>
      <c r="SHQ85" s="70">
        <v>0</v>
      </c>
      <c r="SHR85" s="70">
        <v>0</v>
      </c>
      <c r="SHS85" s="70">
        <v>0</v>
      </c>
      <c r="SHT85" s="70">
        <v>0</v>
      </c>
      <c r="SHU85" s="70">
        <v>0</v>
      </c>
      <c r="SHV85" s="70">
        <v>0</v>
      </c>
      <c r="SHW85" s="70">
        <v>0</v>
      </c>
      <c r="SHX85" s="70">
        <v>0</v>
      </c>
      <c r="SHY85" s="70">
        <v>0</v>
      </c>
      <c r="SHZ85" s="70">
        <v>0</v>
      </c>
      <c r="SIA85" s="70">
        <v>0</v>
      </c>
      <c r="SIB85" s="70">
        <v>0</v>
      </c>
      <c r="SIC85" s="70">
        <v>0</v>
      </c>
      <c r="SID85" s="70">
        <v>0</v>
      </c>
      <c r="SIE85" s="70">
        <v>0</v>
      </c>
      <c r="SIF85" s="70">
        <v>0</v>
      </c>
      <c r="SIG85" s="70">
        <v>0</v>
      </c>
      <c r="SIH85" s="70">
        <v>0</v>
      </c>
      <c r="SII85" s="70">
        <v>0</v>
      </c>
      <c r="SIJ85" s="70">
        <v>0</v>
      </c>
      <c r="SIK85" s="70">
        <v>0</v>
      </c>
      <c r="SIL85" s="70">
        <v>0</v>
      </c>
      <c r="SIM85" s="70">
        <v>0</v>
      </c>
      <c r="SIN85" s="70">
        <v>0</v>
      </c>
      <c r="SIO85" s="70">
        <v>0</v>
      </c>
      <c r="SIP85" s="70">
        <v>0</v>
      </c>
      <c r="SIQ85" s="70">
        <v>0</v>
      </c>
      <c r="SIR85" s="70">
        <v>0</v>
      </c>
      <c r="SIS85" s="70">
        <v>0</v>
      </c>
      <c r="SIT85" s="70">
        <v>0</v>
      </c>
      <c r="SIU85" s="70">
        <v>0</v>
      </c>
      <c r="SIV85" s="70">
        <v>0</v>
      </c>
      <c r="SIW85" s="70">
        <v>0</v>
      </c>
      <c r="SIX85" s="70">
        <v>0</v>
      </c>
      <c r="SIY85" s="70">
        <v>0</v>
      </c>
      <c r="SIZ85" s="70">
        <v>0</v>
      </c>
      <c r="SJA85" s="70">
        <v>0</v>
      </c>
      <c r="SJB85" s="70">
        <v>0</v>
      </c>
      <c r="SJC85" s="70">
        <v>0</v>
      </c>
      <c r="SJD85" s="70">
        <v>0</v>
      </c>
      <c r="SJE85" s="70">
        <v>0</v>
      </c>
      <c r="SJF85" s="70">
        <v>0</v>
      </c>
      <c r="SJG85" s="70">
        <v>0</v>
      </c>
      <c r="SJH85" s="70">
        <v>0</v>
      </c>
      <c r="SJI85" s="70">
        <v>0</v>
      </c>
      <c r="SJJ85" s="70">
        <v>0</v>
      </c>
      <c r="SJK85" s="70">
        <v>0</v>
      </c>
      <c r="SJL85" s="70">
        <v>0</v>
      </c>
      <c r="SJM85" s="70">
        <v>0</v>
      </c>
      <c r="SJN85" s="70">
        <v>0</v>
      </c>
      <c r="SJO85" s="70">
        <v>0</v>
      </c>
      <c r="SJP85" s="70">
        <v>0</v>
      </c>
      <c r="SJQ85" s="70">
        <v>0</v>
      </c>
      <c r="SJR85" s="70">
        <v>0</v>
      </c>
      <c r="SJS85" s="70">
        <v>0</v>
      </c>
      <c r="SJT85" s="70">
        <v>0</v>
      </c>
      <c r="SJU85" s="70">
        <v>0</v>
      </c>
      <c r="SJV85" s="70">
        <v>0</v>
      </c>
      <c r="SJW85" s="70">
        <v>0</v>
      </c>
      <c r="SJX85" s="70">
        <v>0</v>
      </c>
      <c r="SJY85" s="70">
        <v>0</v>
      </c>
      <c r="SJZ85" s="70">
        <v>0</v>
      </c>
      <c r="SKA85" s="70">
        <v>0</v>
      </c>
      <c r="SKB85" s="70">
        <v>0</v>
      </c>
      <c r="SKC85" s="70">
        <v>0</v>
      </c>
      <c r="SKD85" s="70">
        <v>0</v>
      </c>
      <c r="SKE85" s="70">
        <v>0</v>
      </c>
      <c r="SKF85" s="70">
        <v>0</v>
      </c>
      <c r="SKG85" s="70">
        <v>0</v>
      </c>
      <c r="SKH85" s="70">
        <v>0</v>
      </c>
      <c r="SKI85" s="70">
        <v>0</v>
      </c>
      <c r="SKJ85" s="70">
        <v>0</v>
      </c>
      <c r="SKK85" s="70">
        <v>0</v>
      </c>
      <c r="SKL85" s="70">
        <v>0</v>
      </c>
      <c r="SKM85" s="70">
        <v>0</v>
      </c>
      <c r="SKN85" s="70">
        <v>0</v>
      </c>
      <c r="SKO85" s="70">
        <v>0</v>
      </c>
      <c r="SKP85" s="70">
        <v>0</v>
      </c>
      <c r="SKQ85" s="70">
        <v>0</v>
      </c>
      <c r="SKR85" s="70">
        <v>0</v>
      </c>
      <c r="SKS85" s="70">
        <v>0</v>
      </c>
      <c r="SKT85" s="70">
        <v>0</v>
      </c>
      <c r="SKU85" s="70">
        <v>0</v>
      </c>
      <c r="SKV85" s="70">
        <v>0</v>
      </c>
      <c r="SKW85" s="70">
        <v>0</v>
      </c>
      <c r="SKX85" s="70">
        <v>0</v>
      </c>
      <c r="SKY85" s="70">
        <v>0</v>
      </c>
      <c r="SKZ85" s="70">
        <v>0</v>
      </c>
      <c r="SLA85" s="70">
        <v>0</v>
      </c>
      <c r="SLB85" s="70">
        <v>0</v>
      </c>
      <c r="SLC85" s="70">
        <v>0</v>
      </c>
      <c r="SLD85" s="70">
        <v>0</v>
      </c>
      <c r="SLE85" s="70">
        <v>0</v>
      </c>
      <c r="SLF85" s="70">
        <v>0</v>
      </c>
      <c r="SLG85" s="70">
        <v>0</v>
      </c>
      <c r="SLH85" s="70">
        <v>0</v>
      </c>
      <c r="SLI85" s="70">
        <v>0</v>
      </c>
      <c r="SLJ85" s="70">
        <v>0</v>
      </c>
      <c r="SLK85" s="70">
        <v>0</v>
      </c>
      <c r="SLL85" s="70">
        <v>0</v>
      </c>
      <c r="SLM85" s="70">
        <v>0</v>
      </c>
      <c r="SLN85" s="70">
        <v>0</v>
      </c>
      <c r="SLO85" s="70">
        <v>0</v>
      </c>
      <c r="SLP85" s="70">
        <v>0</v>
      </c>
      <c r="SLQ85" s="70">
        <v>0</v>
      </c>
      <c r="SLR85" s="70">
        <v>0</v>
      </c>
      <c r="SLS85" s="70">
        <v>0</v>
      </c>
      <c r="SLT85" s="70">
        <v>0</v>
      </c>
      <c r="SLU85" s="70">
        <v>0</v>
      </c>
      <c r="SLV85" s="70">
        <v>0</v>
      </c>
      <c r="SLW85" s="70">
        <v>0</v>
      </c>
      <c r="SLX85" s="70">
        <v>0</v>
      </c>
      <c r="SLY85" s="70">
        <v>0</v>
      </c>
      <c r="SLZ85" s="70">
        <v>0</v>
      </c>
      <c r="SMA85" s="70">
        <v>0</v>
      </c>
      <c r="SMB85" s="70">
        <v>0</v>
      </c>
      <c r="SMC85" s="70">
        <v>0</v>
      </c>
      <c r="SMD85" s="70">
        <v>0</v>
      </c>
      <c r="SME85" s="70">
        <v>0</v>
      </c>
      <c r="SMF85" s="70">
        <v>0</v>
      </c>
      <c r="SMG85" s="70">
        <v>0</v>
      </c>
      <c r="SMH85" s="70">
        <v>0</v>
      </c>
      <c r="SMI85" s="70">
        <v>0</v>
      </c>
      <c r="SMJ85" s="70">
        <v>0</v>
      </c>
      <c r="SMK85" s="70">
        <v>0</v>
      </c>
      <c r="SML85" s="70">
        <v>0</v>
      </c>
      <c r="SMM85" s="70">
        <v>0</v>
      </c>
      <c r="SMN85" s="70">
        <v>0</v>
      </c>
      <c r="SMO85" s="70">
        <v>0</v>
      </c>
      <c r="SMP85" s="70">
        <v>0</v>
      </c>
      <c r="SMQ85" s="70">
        <v>0</v>
      </c>
      <c r="SMR85" s="70">
        <v>0</v>
      </c>
      <c r="SMS85" s="70">
        <v>0</v>
      </c>
      <c r="SMT85" s="70">
        <v>0</v>
      </c>
      <c r="SMU85" s="70">
        <v>0</v>
      </c>
      <c r="SMV85" s="70">
        <v>0</v>
      </c>
      <c r="SMW85" s="70">
        <v>0</v>
      </c>
      <c r="SMX85" s="70">
        <v>0</v>
      </c>
      <c r="SMY85" s="70">
        <v>0</v>
      </c>
      <c r="SMZ85" s="70">
        <v>0</v>
      </c>
      <c r="SNA85" s="70">
        <v>0</v>
      </c>
      <c r="SNB85" s="70">
        <v>0</v>
      </c>
      <c r="SNC85" s="70">
        <v>0</v>
      </c>
      <c r="SND85" s="70">
        <v>0</v>
      </c>
      <c r="SNE85" s="70">
        <v>0</v>
      </c>
      <c r="SNF85" s="70">
        <v>0</v>
      </c>
      <c r="SNG85" s="70">
        <v>0</v>
      </c>
      <c r="SNH85" s="70">
        <v>0</v>
      </c>
      <c r="SNI85" s="70">
        <v>0</v>
      </c>
      <c r="SNJ85" s="70">
        <v>0</v>
      </c>
      <c r="SNK85" s="70">
        <v>0</v>
      </c>
      <c r="SNL85" s="70">
        <v>0</v>
      </c>
      <c r="SNM85" s="70">
        <v>0</v>
      </c>
      <c r="SNN85" s="70">
        <v>0</v>
      </c>
      <c r="SNO85" s="70">
        <v>0</v>
      </c>
      <c r="SNP85" s="70">
        <v>0</v>
      </c>
      <c r="SNQ85" s="70">
        <v>0</v>
      </c>
      <c r="SNR85" s="70">
        <v>0</v>
      </c>
      <c r="SNS85" s="70">
        <v>0</v>
      </c>
      <c r="SNT85" s="70">
        <v>0</v>
      </c>
      <c r="SNU85" s="70">
        <v>0</v>
      </c>
      <c r="SNV85" s="70">
        <v>0</v>
      </c>
      <c r="SNW85" s="70">
        <v>0</v>
      </c>
      <c r="SNX85" s="70">
        <v>0</v>
      </c>
      <c r="SNY85" s="70">
        <v>0</v>
      </c>
      <c r="SNZ85" s="70">
        <v>0</v>
      </c>
      <c r="SOA85" s="70">
        <v>0</v>
      </c>
      <c r="SOB85" s="70">
        <v>0</v>
      </c>
      <c r="SOC85" s="70">
        <v>0</v>
      </c>
      <c r="SOD85" s="70">
        <v>0</v>
      </c>
      <c r="SOE85" s="70">
        <v>0</v>
      </c>
      <c r="SOF85" s="70">
        <v>0</v>
      </c>
      <c r="SOG85" s="70">
        <v>0</v>
      </c>
      <c r="SOH85" s="70">
        <v>0</v>
      </c>
      <c r="SOI85" s="70">
        <v>0</v>
      </c>
      <c r="SOJ85" s="70">
        <v>0</v>
      </c>
      <c r="SOK85" s="70">
        <v>0</v>
      </c>
      <c r="SOL85" s="70">
        <v>0</v>
      </c>
      <c r="SOM85" s="70">
        <v>0</v>
      </c>
      <c r="SON85" s="70">
        <v>0</v>
      </c>
      <c r="SOO85" s="70">
        <v>0</v>
      </c>
      <c r="SOP85" s="70">
        <v>0</v>
      </c>
      <c r="SOQ85" s="70">
        <v>0</v>
      </c>
      <c r="SOR85" s="70">
        <v>0</v>
      </c>
      <c r="SOS85" s="70">
        <v>0</v>
      </c>
      <c r="SOT85" s="70">
        <v>0</v>
      </c>
      <c r="SOU85" s="70">
        <v>0</v>
      </c>
      <c r="SOV85" s="70">
        <v>0</v>
      </c>
      <c r="SOW85" s="70">
        <v>0</v>
      </c>
      <c r="SOX85" s="70">
        <v>0</v>
      </c>
      <c r="SOY85" s="70">
        <v>0</v>
      </c>
      <c r="SOZ85" s="70">
        <v>0</v>
      </c>
      <c r="SPA85" s="70">
        <v>0</v>
      </c>
      <c r="SPB85" s="70">
        <v>0</v>
      </c>
      <c r="SPC85" s="70">
        <v>0</v>
      </c>
      <c r="SPD85" s="70">
        <v>0</v>
      </c>
      <c r="SPE85" s="70">
        <v>0</v>
      </c>
      <c r="SPF85" s="70">
        <v>0</v>
      </c>
      <c r="SPG85" s="70">
        <v>0</v>
      </c>
      <c r="SPH85" s="70">
        <v>0</v>
      </c>
      <c r="SPI85" s="70">
        <v>0</v>
      </c>
      <c r="SPJ85" s="70">
        <v>0</v>
      </c>
      <c r="SPK85" s="70">
        <v>0</v>
      </c>
      <c r="SPL85" s="70">
        <v>0</v>
      </c>
      <c r="SPM85" s="70">
        <v>0</v>
      </c>
      <c r="SPN85" s="70">
        <v>0</v>
      </c>
      <c r="SPO85" s="70">
        <v>0</v>
      </c>
      <c r="SPP85" s="70">
        <v>0</v>
      </c>
      <c r="SPQ85" s="70">
        <v>0</v>
      </c>
      <c r="SPR85" s="70">
        <v>0</v>
      </c>
      <c r="SPS85" s="70">
        <v>0</v>
      </c>
      <c r="SPT85" s="70">
        <v>0</v>
      </c>
      <c r="SPU85" s="70">
        <v>0</v>
      </c>
      <c r="SPV85" s="70">
        <v>0</v>
      </c>
      <c r="SPW85" s="70">
        <v>0</v>
      </c>
      <c r="SPX85" s="70">
        <v>0</v>
      </c>
      <c r="SPY85" s="70">
        <v>0</v>
      </c>
      <c r="SPZ85" s="70">
        <v>0</v>
      </c>
      <c r="SQA85" s="70">
        <v>0</v>
      </c>
      <c r="SQB85" s="70">
        <v>0</v>
      </c>
      <c r="SQC85" s="70">
        <v>0</v>
      </c>
      <c r="SQD85" s="70">
        <v>0</v>
      </c>
      <c r="SQE85" s="70">
        <v>0</v>
      </c>
      <c r="SQF85" s="70">
        <v>0</v>
      </c>
      <c r="SQG85" s="70">
        <v>0</v>
      </c>
      <c r="SQH85" s="70">
        <v>0</v>
      </c>
      <c r="SQI85" s="70">
        <v>0</v>
      </c>
      <c r="SQJ85" s="70">
        <v>0</v>
      </c>
      <c r="SQK85" s="70">
        <v>0</v>
      </c>
      <c r="SQL85" s="70">
        <v>0</v>
      </c>
      <c r="SQM85" s="70">
        <v>0</v>
      </c>
      <c r="SQN85" s="70">
        <v>0</v>
      </c>
      <c r="SQO85" s="70">
        <v>0</v>
      </c>
      <c r="SQP85" s="70">
        <v>0</v>
      </c>
      <c r="SQQ85" s="70">
        <v>0</v>
      </c>
      <c r="SQR85" s="70">
        <v>0</v>
      </c>
      <c r="SQS85" s="70">
        <v>0</v>
      </c>
      <c r="SQT85" s="70">
        <v>0</v>
      </c>
      <c r="SQU85" s="70">
        <v>0</v>
      </c>
      <c r="SQV85" s="70">
        <v>0</v>
      </c>
      <c r="SQW85" s="70">
        <v>0</v>
      </c>
      <c r="SQX85" s="70">
        <v>0</v>
      </c>
      <c r="SQY85" s="70">
        <v>0</v>
      </c>
      <c r="SQZ85" s="70">
        <v>0</v>
      </c>
      <c r="SRA85" s="70">
        <v>0</v>
      </c>
      <c r="SRB85" s="70">
        <v>0</v>
      </c>
      <c r="SRC85" s="70">
        <v>0</v>
      </c>
      <c r="SRD85" s="70">
        <v>0</v>
      </c>
      <c r="SRE85" s="70">
        <v>0</v>
      </c>
      <c r="SRF85" s="70">
        <v>0</v>
      </c>
      <c r="SRG85" s="70">
        <v>0</v>
      </c>
      <c r="SRH85" s="70">
        <v>0</v>
      </c>
      <c r="SRI85" s="70">
        <v>0</v>
      </c>
      <c r="SRJ85" s="70">
        <v>0</v>
      </c>
      <c r="SRK85" s="70">
        <v>0</v>
      </c>
      <c r="SRL85" s="70">
        <v>0</v>
      </c>
      <c r="SRM85" s="70">
        <v>0</v>
      </c>
      <c r="SRN85" s="70">
        <v>0</v>
      </c>
      <c r="SRO85" s="70">
        <v>0</v>
      </c>
      <c r="SRP85" s="70">
        <v>0</v>
      </c>
      <c r="SRQ85" s="70">
        <v>0</v>
      </c>
      <c r="SRR85" s="70">
        <v>0</v>
      </c>
      <c r="SRS85" s="70">
        <v>0</v>
      </c>
      <c r="SRT85" s="70">
        <v>0</v>
      </c>
      <c r="SRU85" s="70">
        <v>0</v>
      </c>
      <c r="SRV85" s="70">
        <v>0</v>
      </c>
      <c r="SRW85" s="70">
        <v>0</v>
      </c>
      <c r="SRX85" s="70">
        <v>0</v>
      </c>
      <c r="SRY85" s="70">
        <v>0</v>
      </c>
      <c r="SRZ85" s="70">
        <v>0</v>
      </c>
      <c r="SSA85" s="70">
        <v>0</v>
      </c>
      <c r="SSB85" s="70">
        <v>0</v>
      </c>
      <c r="SSC85" s="70">
        <v>0</v>
      </c>
      <c r="SSD85" s="70">
        <v>0</v>
      </c>
      <c r="SSE85" s="70">
        <v>0</v>
      </c>
      <c r="SSF85" s="70">
        <v>0</v>
      </c>
      <c r="SSG85" s="70">
        <v>0</v>
      </c>
      <c r="SSH85" s="70">
        <v>0</v>
      </c>
      <c r="SSI85" s="70">
        <v>0</v>
      </c>
      <c r="SSJ85" s="70">
        <v>0</v>
      </c>
      <c r="SSK85" s="70">
        <v>0</v>
      </c>
      <c r="SSL85" s="70">
        <v>0</v>
      </c>
      <c r="SSM85" s="70">
        <v>0</v>
      </c>
      <c r="SSN85" s="70">
        <v>0</v>
      </c>
      <c r="SSO85" s="70">
        <v>0</v>
      </c>
      <c r="SSP85" s="70">
        <v>0</v>
      </c>
      <c r="SSQ85" s="70">
        <v>0</v>
      </c>
      <c r="SSR85" s="70">
        <v>0</v>
      </c>
      <c r="SSS85" s="70">
        <v>0</v>
      </c>
      <c r="SST85" s="70">
        <v>0</v>
      </c>
      <c r="SSU85" s="70">
        <v>0</v>
      </c>
      <c r="SSV85" s="70">
        <v>0</v>
      </c>
      <c r="SSW85" s="70">
        <v>0</v>
      </c>
      <c r="SSX85" s="70">
        <v>0</v>
      </c>
      <c r="SSY85" s="70">
        <v>0</v>
      </c>
      <c r="SSZ85" s="70">
        <v>0</v>
      </c>
      <c r="STA85" s="70">
        <v>0</v>
      </c>
      <c r="STB85" s="70">
        <v>0</v>
      </c>
      <c r="STC85" s="70">
        <v>0</v>
      </c>
      <c r="STD85" s="70">
        <v>0</v>
      </c>
      <c r="STE85" s="70">
        <v>0</v>
      </c>
      <c r="STF85" s="70">
        <v>0</v>
      </c>
      <c r="STG85" s="70">
        <v>0</v>
      </c>
      <c r="STH85" s="70">
        <v>0</v>
      </c>
      <c r="STI85" s="70">
        <v>0</v>
      </c>
      <c r="STJ85" s="70">
        <v>0</v>
      </c>
      <c r="STK85" s="70">
        <v>0</v>
      </c>
      <c r="STL85" s="70">
        <v>0</v>
      </c>
      <c r="STM85" s="70">
        <v>0</v>
      </c>
      <c r="STN85" s="70">
        <v>0</v>
      </c>
      <c r="STO85" s="70">
        <v>0</v>
      </c>
      <c r="STP85" s="70">
        <v>0</v>
      </c>
      <c r="STQ85" s="70">
        <v>0</v>
      </c>
      <c r="STR85" s="70">
        <v>0</v>
      </c>
      <c r="STS85" s="70">
        <v>0</v>
      </c>
      <c r="STT85" s="70">
        <v>0</v>
      </c>
      <c r="STU85" s="70">
        <v>0</v>
      </c>
      <c r="STV85" s="70">
        <v>0</v>
      </c>
      <c r="STW85" s="70">
        <v>0</v>
      </c>
      <c r="STX85" s="70">
        <v>0</v>
      </c>
      <c r="STY85" s="70">
        <v>0</v>
      </c>
      <c r="STZ85" s="70">
        <v>0</v>
      </c>
      <c r="SUA85" s="70">
        <v>0</v>
      </c>
      <c r="SUB85" s="70">
        <v>0</v>
      </c>
      <c r="SUC85" s="70">
        <v>0</v>
      </c>
      <c r="SUD85" s="70">
        <v>0</v>
      </c>
      <c r="SUE85" s="70">
        <v>0</v>
      </c>
      <c r="SUF85" s="70">
        <v>0</v>
      </c>
      <c r="SUG85" s="70">
        <v>0</v>
      </c>
      <c r="SUH85" s="70">
        <v>0</v>
      </c>
      <c r="SUI85" s="70">
        <v>0</v>
      </c>
      <c r="SUJ85" s="70">
        <v>0</v>
      </c>
      <c r="SUK85" s="70">
        <v>0</v>
      </c>
      <c r="SUL85" s="70">
        <v>0</v>
      </c>
      <c r="SUM85" s="70">
        <v>0</v>
      </c>
      <c r="SUN85" s="70">
        <v>0</v>
      </c>
      <c r="SUO85" s="70">
        <v>0</v>
      </c>
      <c r="SUP85" s="70">
        <v>0</v>
      </c>
      <c r="SUQ85" s="70">
        <v>0</v>
      </c>
      <c r="SUR85" s="70">
        <v>0</v>
      </c>
      <c r="SUS85" s="70">
        <v>0</v>
      </c>
      <c r="SUT85" s="70">
        <v>0</v>
      </c>
      <c r="SUU85" s="70">
        <v>0</v>
      </c>
      <c r="SUV85" s="70">
        <v>0</v>
      </c>
      <c r="SUW85" s="70">
        <v>0</v>
      </c>
      <c r="SUX85" s="70">
        <v>0</v>
      </c>
      <c r="SUY85" s="70">
        <v>0</v>
      </c>
      <c r="SUZ85" s="70">
        <v>0</v>
      </c>
      <c r="SVA85" s="70">
        <v>0</v>
      </c>
      <c r="SVB85" s="70">
        <v>0</v>
      </c>
      <c r="SVC85" s="70">
        <v>0</v>
      </c>
      <c r="SVD85" s="70">
        <v>0</v>
      </c>
      <c r="SVE85" s="70">
        <v>0</v>
      </c>
      <c r="SVF85" s="70">
        <v>0</v>
      </c>
      <c r="SVG85" s="70">
        <v>0</v>
      </c>
      <c r="SVH85" s="70">
        <v>0</v>
      </c>
      <c r="SVI85" s="70">
        <v>0</v>
      </c>
      <c r="SVJ85" s="70">
        <v>0</v>
      </c>
      <c r="SVK85" s="70">
        <v>0</v>
      </c>
      <c r="SVL85" s="70">
        <v>0</v>
      </c>
      <c r="SVM85" s="70">
        <v>0</v>
      </c>
      <c r="SVN85" s="70">
        <v>0</v>
      </c>
      <c r="SVO85" s="70">
        <v>0</v>
      </c>
      <c r="SVP85" s="70">
        <v>0</v>
      </c>
      <c r="SVQ85" s="70">
        <v>0</v>
      </c>
      <c r="SVR85" s="70">
        <v>0</v>
      </c>
      <c r="SVS85" s="70">
        <v>0</v>
      </c>
      <c r="SVT85" s="70">
        <v>0</v>
      </c>
      <c r="SVU85" s="70">
        <v>0</v>
      </c>
      <c r="SVV85" s="70">
        <v>0</v>
      </c>
      <c r="SVW85" s="70">
        <v>0</v>
      </c>
      <c r="SVX85" s="70">
        <v>0</v>
      </c>
      <c r="SVY85" s="70">
        <v>0</v>
      </c>
      <c r="SVZ85" s="70">
        <v>0</v>
      </c>
      <c r="SWA85" s="70">
        <v>0</v>
      </c>
      <c r="SWB85" s="70">
        <v>0</v>
      </c>
      <c r="SWC85" s="70">
        <v>0</v>
      </c>
      <c r="SWD85" s="70">
        <v>0</v>
      </c>
      <c r="SWE85" s="70">
        <v>0</v>
      </c>
      <c r="SWF85" s="70">
        <v>0</v>
      </c>
      <c r="SWG85" s="70">
        <v>0</v>
      </c>
      <c r="SWH85" s="70">
        <v>0</v>
      </c>
      <c r="SWI85" s="70">
        <v>0</v>
      </c>
      <c r="SWJ85" s="70">
        <v>0</v>
      </c>
      <c r="SWK85" s="70">
        <v>0</v>
      </c>
      <c r="SWL85" s="70">
        <v>0</v>
      </c>
      <c r="SWM85" s="70">
        <v>0</v>
      </c>
      <c r="SWN85" s="70">
        <v>0</v>
      </c>
      <c r="SWO85" s="70">
        <v>0</v>
      </c>
      <c r="SWP85" s="70">
        <v>0</v>
      </c>
      <c r="SWQ85" s="70">
        <v>0</v>
      </c>
      <c r="SWR85" s="70">
        <v>0</v>
      </c>
      <c r="SWS85" s="70">
        <v>0</v>
      </c>
      <c r="SWT85" s="70">
        <v>0</v>
      </c>
      <c r="SWU85" s="70">
        <v>0</v>
      </c>
      <c r="SWV85" s="70">
        <v>0</v>
      </c>
      <c r="SWW85" s="70">
        <v>0</v>
      </c>
      <c r="SWX85" s="70">
        <v>0</v>
      </c>
      <c r="SWY85" s="70">
        <v>0</v>
      </c>
      <c r="SWZ85" s="70">
        <v>0</v>
      </c>
      <c r="SXA85" s="70">
        <v>0</v>
      </c>
      <c r="SXB85" s="70">
        <v>0</v>
      </c>
      <c r="SXC85" s="70">
        <v>0</v>
      </c>
      <c r="SXD85" s="70">
        <v>0</v>
      </c>
      <c r="SXE85" s="70">
        <v>0</v>
      </c>
      <c r="SXF85" s="70">
        <v>0</v>
      </c>
      <c r="SXG85" s="70">
        <v>0</v>
      </c>
      <c r="SXH85" s="70">
        <v>0</v>
      </c>
      <c r="SXI85" s="70">
        <v>0</v>
      </c>
      <c r="SXJ85" s="70">
        <v>0</v>
      </c>
      <c r="SXK85" s="70">
        <v>0</v>
      </c>
      <c r="SXL85" s="70">
        <v>0</v>
      </c>
      <c r="SXM85" s="70">
        <v>0</v>
      </c>
      <c r="SXN85" s="70">
        <v>0</v>
      </c>
      <c r="SXO85" s="70">
        <v>0</v>
      </c>
      <c r="SXP85" s="70">
        <v>0</v>
      </c>
      <c r="SXQ85" s="70">
        <v>0</v>
      </c>
      <c r="SXR85" s="70">
        <v>0</v>
      </c>
      <c r="SXS85" s="70">
        <v>0</v>
      </c>
      <c r="SXT85" s="70">
        <v>0</v>
      </c>
      <c r="SXU85" s="70">
        <v>0</v>
      </c>
      <c r="SXV85" s="70">
        <v>0</v>
      </c>
      <c r="SXW85" s="70">
        <v>0</v>
      </c>
      <c r="SXX85" s="70">
        <v>0</v>
      </c>
      <c r="SXY85" s="70">
        <v>0</v>
      </c>
      <c r="SXZ85" s="70">
        <v>0</v>
      </c>
      <c r="SYA85" s="70">
        <v>0</v>
      </c>
      <c r="SYB85" s="70">
        <v>0</v>
      </c>
      <c r="SYC85" s="70">
        <v>0</v>
      </c>
      <c r="SYD85" s="70">
        <v>0</v>
      </c>
      <c r="SYE85" s="70">
        <v>0</v>
      </c>
      <c r="SYF85" s="70">
        <v>0</v>
      </c>
      <c r="SYG85" s="70">
        <v>0</v>
      </c>
      <c r="SYH85" s="70">
        <v>0</v>
      </c>
      <c r="SYI85" s="70">
        <v>0</v>
      </c>
      <c r="SYJ85" s="70">
        <v>0</v>
      </c>
      <c r="SYK85" s="70">
        <v>0</v>
      </c>
      <c r="SYL85" s="70">
        <v>0</v>
      </c>
      <c r="SYM85" s="70">
        <v>0</v>
      </c>
      <c r="SYN85" s="70">
        <v>0</v>
      </c>
      <c r="SYO85" s="70">
        <v>0</v>
      </c>
      <c r="SYP85" s="70">
        <v>0</v>
      </c>
      <c r="SYQ85" s="70">
        <v>0</v>
      </c>
      <c r="SYR85" s="70">
        <v>0</v>
      </c>
      <c r="SYS85" s="70">
        <v>0</v>
      </c>
      <c r="SYT85" s="70">
        <v>0</v>
      </c>
      <c r="SYU85" s="70">
        <v>0</v>
      </c>
      <c r="SYV85" s="70">
        <v>0</v>
      </c>
      <c r="SYW85" s="70">
        <v>0</v>
      </c>
      <c r="SYX85" s="70">
        <v>0</v>
      </c>
      <c r="SYY85" s="70">
        <v>0</v>
      </c>
      <c r="SYZ85" s="70">
        <v>0</v>
      </c>
      <c r="SZA85" s="70">
        <v>0</v>
      </c>
      <c r="SZB85" s="70">
        <v>0</v>
      </c>
      <c r="SZC85" s="70">
        <v>0</v>
      </c>
      <c r="SZD85" s="70">
        <v>0</v>
      </c>
      <c r="SZE85" s="70">
        <v>0</v>
      </c>
      <c r="SZF85" s="70">
        <v>0</v>
      </c>
      <c r="SZG85" s="70">
        <v>0</v>
      </c>
      <c r="SZH85" s="70">
        <v>0</v>
      </c>
      <c r="SZI85" s="70">
        <v>0</v>
      </c>
      <c r="SZJ85" s="70">
        <v>0</v>
      </c>
      <c r="SZK85" s="70">
        <v>0</v>
      </c>
      <c r="SZL85" s="70">
        <v>0</v>
      </c>
      <c r="SZM85" s="70">
        <v>0</v>
      </c>
      <c r="SZN85" s="70">
        <v>0</v>
      </c>
      <c r="SZO85" s="70">
        <v>0</v>
      </c>
      <c r="SZP85" s="70">
        <v>0</v>
      </c>
      <c r="SZQ85" s="70">
        <v>0</v>
      </c>
      <c r="SZR85" s="70">
        <v>0</v>
      </c>
      <c r="SZS85" s="70">
        <v>0</v>
      </c>
      <c r="SZT85" s="70">
        <v>0</v>
      </c>
      <c r="SZU85" s="70">
        <v>0</v>
      </c>
      <c r="SZV85" s="70">
        <v>0</v>
      </c>
      <c r="SZW85" s="70">
        <v>0</v>
      </c>
      <c r="SZX85" s="70">
        <v>0</v>
      </c>
      <c r="SZY85" s="70">
        <v>0</v>
      </c>
      <c r="SZZ85" s="70">
        <v>0</v>
      </c>
      <c r="TAA85" s="70">
        <v>0</v>
      </c>
      <c r="TAB85" s="70">
        <v>0</v>
      </c>
      <c r="TAC85" s="70">
        <v>0</v>
      </c>
      <c r="TAD85" s="70">
        <v>0</v>
      </c>
      <c r="TAE85" s="70">
        <v>0</v>
      </c>
      <c r="TAF85" s="70">
        <v>0</v>
      </c>
      <c r="TAG85" s="70">
        <v>0</v>
      </c>
      <c r="TAH85" s="70">
        <v>0</v>
      </c>
      <c r="TAI85" s="70">
        <v>0</v>
      </c>
      <c r="TAJ85" s="70">
        <v>0</v>
      </c>
      <c r="TAK85" s="70">
        <v>0</v>
      </c>
      <c r="TAL85" s="70">
        <v>0</v>
      </c>
      <c r="TAM85" s="70">
        <v>0</v>
      </c>
      <c r="TAN85" s="70">
        <v>0</v>
      </c>
      <c r="TAO85" s="70">
        <v>0</v>
      </c>
      <c r="TAP85" s="70">
        <v>0</v>
      </c>
      <c r="TAQ85" s="70">
        <v>0</v>
      </c>
      <c r="TAR85" s="70">
        <v>0</v>
      </c>
      <c r="TAS85" s="70">
        <v>0</v>
      </c>
      <c r="TAT85" s="70">
        <v>0</v>
      </c>
      <c r="TAU85" s="70">
        <v>0</v>
      </c>
      <c r="TAV85" s="70">
        <v>0</v>
      </c>
      <c r="TAW85" s="70">
        <v>0</v>
      </c>
      <c r="TAX85" s="70">
        <v>0</v>
      </c>
      <c r="TAY85" s="70">
        <v>0</v>
      </c>
      <c r="TAZ85" s="70">
        <v>0</v>
      </c>
      <c r="TBA85" s="70">
        <v>0</v>
      </c>
      <c r="TBB85" s="70">
        <v>0</v>
      </c>
      <c r="TBC85" s="70">
        <v>0</v>
      </c>
      <c r="TBD85" s="70">
        <v>0</v>
      </c>
      <c r="TBE85" s="70">
        <v>0</v>
      </c>
      <c r="TBF85" s="70">
        <v>0</v>
      </c>
      <c r="TBG85" s="70">
        <v>0</v>
      </c>
      <c r="TBH85" s="70">
        <v>0</v>
      </c>
      <c r="TBI85" s="70">
        <v>0</v>
      </c>
      <c r="TBJ85" s="70">
        <v>0</v>
      </c>
      <c r="TBK85" s="70">
        <v>0</v>
      </c>
      <c r="TBL85" s="70">
        <v>0</v>
      </c>
      <c r="TBM85" s="70">
        <v>0</v>
      </c>
      <c r="TBN85" s="70">
        <v>0</v>
      </c>
      <c r="TBO85" s="70">
        <v>0</v>
      </c>
      <c r="TBP85" s="70">
        <v>0</v>
      </c>
      <c r="TBQ85" s="70">
        <v>0</v>
      </c>
      <c r="TBR85" s="70">
        <v>0</v>
      </c>
      <c r="TBS85" s="70">
        <v>0</v>
      </c>
      <c r="TBT85" s="70">
        <v>0</v>
      </c>
      <c r="TBU85" s="70">
        <v>0</v>
      </c>
      <c r="TBV85" s="70">
        <v>0</v>
      </c>
      <c r="TBW85" s="70">
        <v>0</v>
      </c>
      <c r="TBX85" s="70">
        <v>0</v>
      </c>
      <c r="TBY85" s="70">
        <v>0</v>
      </c>
      <c r="TBZ85" s="70">
        <v>0</v>
      </c>
      <c r="TCA85" s="70">
        <v>0</v>
      </c>
      <c r="TCB85" s="70">
        <v>0</v>
      </c>
      <c r="TCC85" s="70">
        <v>0</v>
      </c>
      <c r="TCD85" s="70">
        <v>0</v>
      </c>
      <c r="TCE85" s="70">
        <v>0</v>
      </c>
      <c r="TCF85" s="70">
        <v>0</v>
      </c>
      <c r="TCG85" s="70">
        <v>0</v>
      </c>
      <c r="TCH85" s="70">
        <v>0</v>
      </c>
      <c r="TCI85" s="70">
        <v>0</v>
      </c>
      <c r="TCJ85" s="70">
        <v>0</v>
      </c>
      <c r="TCK85" s="70">
        <v>0</v>
      </c>
      <c r="TCL85" s="70">
        <v>0</v>
      </c>
      <c r="TCM85" s="70">
        <v>0</v>
      </c>
      <c r="TCN85" s="70">
        <v>0</v>
      </c>
      <c r="TCO85" s="70">
        <v>0</v>
      </c>
      <c r="TCP85" s="70">
        <v>0</v>
      </c>
      <c r="TCQ85" s="70">
        <v>0</v>
      </c>
      <c r="TCR85" s="70">
        <v>0</v>
      </c>
      <c r="TCS85" s="70">
        <v>0</v>
      </c>
      <c r="TCT85" s="70">
        <v>0</v>
      </c>
      <c r="TCU85" s="70">
        <v>0</v>
      </c>
      <c r="TCV85" s="70">
        <v>0</v>
      </c>
      <c r="TCW85" s="70">
        <v>0</v>
      </c>
      <c r="TCX85" s="70">
        <v>0</v>
      </c>
      <c r="TCY85" s="70">
        <v>0</v>
      </c>
      <c r="TCZ85" s="70">
        <v>0</v>
      </c>
      <c r="TDA85" s="70">
        <v>0</v>
      </c>
      <c r="TDB85" s="70">
        <v>0</v>
      </c>
      <c r="TDC85" s="70">
        <v>0</v>
      </c>
      <c r="TDD85" s="70">
        <v>0</v>
      </c>
      <c r="TDE85" s="70">
        <v>0</v>
      </c>
      <c r="TDF85" s="70">
        <v>0</v>
      </c>
      <c r="TDG85" s="70">
        <v>0</v>
      </c>
      <c r="TDH85" s="70">
        <v>0</v>
      </c>
      <c r="TDI85" s="70">
        <v>0</v>
      </c>
      <c r="TDJ85" s="70">
        <v>0</v>
      </c>
      <c r="TDK85" s="70">
        <v>0</v>
      </c>
      <c r="TDL85" s="70">
        <v>0</v>
      </c>
      <c r="TDM85" s="70">
        <v>0</v>
      </c>
      <c r="TDN85" s="70">
        <v>0</v>
      </c>
      <c r="TDO85" s="70">
        <v>0</v>
      </c>
      <c r="TDP85" s="70">
        <v>0</v>
      </c>
      <c r="TDQ85" s="70">
        <v>0</v>
      </c>
      <c r="TDR85" s="70">
        <v>0</v>
      </c>
      <c r="TDS85" s="70">
        <v>0</v>
      </c>
      <c r="TDT85" s="70">
        <v>0</v>
      </c>
      <c r="TDU85" s="70">
        <v>0</v>
      </c>
      <c r="TDV85" s="70">
        <v>0</v>
      </c>
      <c r="TDW85" s="70">
        <v>0</v>
      </c>
      <c r="TDX85" s="70">
        <v>0</v>
      </c>
      <c r="TDY85" s="70">
        <v>0</v>
      </c>
      <c r="TDZ85" s="70">
        <v>0</v>
      </c>
      <c r="TEA85" s="70">
        <v>0</v>
      </c>
      <c r="TEB85" s="70">
        <v>0</v>
      </c>
      <c r="TEC85" s="70">
        <v>0</v>
      </c>
      <c r="TED85" s="70">
        <v>0</v>
      </c>
      <c r="TEE85" s="70">
        <v>0</v>
      </c>
      <c r="TEF85" s="70">
        <v>0</v>
      </c>
      <c r="TEG85" s="70">
        <v>0</v>
      </c>
      <c r="TEH85" s="70">
        <v>0</v>
      </c>
      <c r="TEI85" s="70">
        <v>0</v>
      </c>
      <c r="TEJ85" s="70">
        <v>0</v>
      </c>
      <c r="TEK85" s="70">
        <v>0</v>
      </c>
      <c r="TEL85" s="70">
        <v>0</v>
      </c>
      <c r="TEM85" s="70">
        <v>0</v>
      </c>
      <c r="TEN85" s="70">
        <v>0</v>
      </c>
      <c r="TEO85" s="70">
        <v>0</v>
      </c>
      <c r="TEP85" s="70">
        <v>0</v>
      </c>
      <c r="TEQ85" s="70">
        <v>0</v>
      </c>
      <c r="TER85" s="70">
        <v>0</v>
      </c>
      <c r="TES85" s="70">
        <v>0</v>
      </c>
      <c r="TET85" s="70">
        <v>0</v>
      </c>
      <c r="TEU85" s="70">
        <v>0</v>
      </c>
      <c r="TEV85" s="70">
        <v>0</v>
      </c>
      <c r="TEW85" s="70">
        <v>0</v>
      </c>
      <c r="TEX85" s="70">
        <v>0</v>
      </c>
      <c r="TEY85" s="70">
        <v>0</v>
      </c>
      <c r="TEZ85" s="70">
        <v>0</v>
      </c>
      <c r="TFA85" s="70">
        <v>0</v>
      </c>
      <c r="TFB85" s="70">
        <v>0</v>
      </c>
      <c r="TFC85" s="70">
        <v>0</v>
      </c>
      <c r="TFD85" s="70">
        <v>0</v>
      </c>
      <c r="TFE85" s="70">
        <v>0</v>
      </c>
      <c r="TFF85" s="70">
        <v>0</v>
      </c>
      <c r="TFG85" s="70">
        <v>0</v>
      </c>
      <c r="TFH85" s="70">
        <v>0</v>
      </c>
      <c r="TFI85" s="70">
        <v>0</v>
      </c>
      <c r="TFJ85" s="70">
        <v>0</v>
      </c>
      <c r="TFK85" s="70">
        <v>0</v>
      </c>
      <c r="TFL85" s="70">
        <v>0</v>
      </c>
      <c r="TFM85" s="70">
        <v>0</v>
      </c>
      <c r="TFN85" s="70">
        <v>0</v>
      </c>
      <c r="TFO85" s="70">
        <v>0</v>
      </c>
      <c r="TFP85" s="70">
        <v>0</v>
      </c>
      <c r="TFQ85" s="70">
        <v>0</v>
      </c>
      <c r="TFR85" s="70">
        <v>0</v>
      </c>
      <c r="TFS85" s="70">
        <v>0</v>
      </c>
      <c r="TFT85" s="70">
        <v>0</v>
      </c>
      <c r="TFU85" s="70">
        <v>0</v>
      </c>
      <c r="TFV85" s="70">
        <v>0</v>
      </c>
      <c r="TFW85" s="70">
        <v>0</v>
      </c>
      <c r="TFX85" s="70">
        <v>0</v>
      </c>
      <c r="TFY85" s="70">
        <v>0</v>
      </c>
      <c r="TFZ85" s="70">
        <v>0</v>
      </c>
      <c r="TGA85" s="70">
        <v>0</v>
      </c>
      <c r="TGB85" s="70">
        <v>0</v>
      </c>
      <c r="TGC85" s="70">
        <v>0</v>
      </c>
      <c r="TGD85" s="70">
        <v>0</v>
      </c>
      <c r="TGE85" s="70">
        <v>0</v>
      </c>
      <c r="TGF85" s="70">
        <v>0</v>
      </c>
      <c r="TGG85" s="70">
        <v>0</v>
      </c>
      <c r="TGH85" s="70">
        <v>0</v>
      </c>
      <c r="TGI85" s="70">
        <v>0</v>
      </c>
      <c r="TGJ85" s="70">
        <v>0</v>
      </c>
      <c r="TGK85" s="70">
        <v>0</v>
      </c>
      <c r="TGL85" s="70">
        <v>0</v>
      </c>
      <c r="TGM85" s="70">
        <v>0</v>
      </c>
      <c r="TGN85" s="70">
        <v>0</v>
      </c>
      <c r="TGO85" s="70">
        <v>0</v>
      </c>
      <c r="TGP85" s="70">
        <v>0</v>
      </c>
      <c r="TGQ85" s="70">
        <v>0</v>
      </c>
      <c r="TGR85" s="70">
        <v>0</v>
      </c>
      <c r="TGS85" s="70">
        <v>0</v>
      </c>
      <c r="TGT85" s="70">
        <v>0</v>
      </c>
      <c r="TGU85" s="70">
        <v>0</v>
      </c>
      <c r="TGV85" s="70">
        <v>0</v>
      </c>
      <c r="TGW85" s="70">
        <v>0</v>
      </c>
      <c r="TGX85" s="70">
        <v>0</v>
      </c>
      <c r="TGY85" s="70">
        <v>0</v>
      </c>
      <c r="TGZ85" s="70">
        <v>0</v>
      </c>
      <c r="THA85" s="70">
        <v>0</v>
      </c>
      <c r="THB85" s="70">
        <v>0</v>
      </c>
      <c r="THC85" s="70">
        <v>0</v>
      </c>
      <c r="THD85" s="70">
        <v>0</v>
      </c>
      <c r="THE85" s="70">
        <v>0</v>
      </c>
      <c r="THF85" s="70">
        <v>0</v>
      </c>
      <c r="THG85" s="70">
        <v>0</v>
      </c>
      <c r="THH85" s="70">
        <v>0</v>
      </c>
      <c r="THI85" s="70">
        <v>0</v>
      </c>
      <c r="THJ85" s="70">
        <v>0</v>
      </c>
      <c r="THK85" s="70">
        <v>0</v>
      </c>
      <c r="THL85" s="70">
        <v>0</v>
      </c>
      <c r="THM85" s="70">
        <v>0</v>
      </c>
      <c r="THN85" s="70">
        <v>0</v>
      </c>
      <c r="THO85" s="70">
        <v>0</v>
      </c>
      <c r="THP85" s="70">
        <v>0</v>
      </c>
      <c r="THQ85" s="70">
        <v>0</v>
      </c>
      <c r="THR85" s="70">
        <v>0</v>
      </c>
      <c r="THS85" s="70">
        <v>0</v>
      </c>
      <c r="THT85" s="70">
        <v>0</v>
      </c>
      <c r="THU85" s="70">
        <v>0</v>
      </c>
      <c r="THV85" s="70">
        <v>0</v>
      </c>
      <c r="THW85" s="70">
        <v>0</v>
      </c>
      <c r="THX85" s="70">
        <v>0</v>
      </c>
      <c r="THY85" s="70">
        <v>0</v>
      </c>
      <c r="THZ85" s="70">
        <v>0</v>
      </c>
      <c r="TIA85" s="70">
        <v>0</v>
      </c>
      <c r="TIB85" s="70">
        <v>0</v>
      </c>
      <c r="TIC85" s="70">
        <v>0</v>
      </c>
      <c r="TID85" s="70">
        <v>0</v>
      </c>
      <c r="TIE85" s="70">
        <v>0</v>
      </c>
      <c r="TIF85" s="70">
        <v>0</v>
      </c>
      <c r="TIG85" s="70">
        <v>0</v>
      </c>
      <c r="TIH85" s="70">
        <v>0</v>
      </c>
      <c r="TII85" s="70">
        <v>0</v>
      </c>
      <c r="TIJ85" s="70">
        <v>0</v>
      </c>
      <c r="TIK85" s="70">
        <v>0</v>
      </c>
      <c r="TIL85" s="70">
        <v>0</v>
      </c>
      <c r="TIM85" s="70">
        <v>0</v>
      </c>
      <c r="TIN85" s="70">
        <v>0</v>
      </c>
      <c r="TIO85" s="70">
        <v>0</v>
      </c>
      <c r="TIP85" s="70">
        <v>0</v>
      </c>
      <c r="TIQ85" s="70">
        <v>0</v>
      </c>
      <c r="TIR85" s="70">
        <v>0</v>
      </c>
      <c r="TIS85" s="70">
        <v>0</v>
      </c>
      <c r="TIT85" s="70">
        <v>0</v>
      </c>
      <c r="TIU85" s="70">
        <v>0</v>
      </c>
      <c r="TIV85" s="70">
        <v>0</v>
      </c>
      <c r="TIW85" s="70">
        <v>0</v>
      </c>
      <c r="TIX85" s="70">
        <v>0</v>
      </c>
      <c r="TIY85" s="70">
        <v>0</v>
      </c>
      <c r="TIZ85" s="70">
        <v>0</v>
      </c>
      <c r="TJA85" s="70">
        <v>0</v>
      </c>
      <c r="TJB85" s="70">
        <v>0</v>
      </c>
      <c r="TJC85" s="70">
        <v>0</v>
      </c>
      <c r="TJD85" s="70">
        <v>0</v>
      </c>
      <c r="TJE85" s="70">
        <v>0</v>
      </c>
      <c r="TJF85" s="70">
        <v>0</v>
      </c>
      <c r="TJG85" s="70">
        <v>0</v>
      </c>
      <c r="TJH85" s="70">
        <v>0</v>
      </c>
      <c r="TJI85" s="70">
        <v>0</v>
      </c>
      <c r="TJJ85" s="70">
        <v>0</v>
      </c>
      <c r="TJK85" s="70">
        <v>0</v>
      </c>
      <c r="TJL85" s="70">
        <v>0</v>
      </c>
      <c r="TJM85" s="70">
        <v>0</v>
      </c>
      <c r="TJN85" s="70">
        <v>0</v>
      </c>
      <c r="TJO85" s="70">
        <v>0</v>
      </c>
      <c r="TJP85" s="70">
        <v>0</v>
      </c>
      <c r="TJQ85" s="70">
        <v>0</v>
      </c>
      <c r="TJR85" s="70">
        <v>0</v>
      </c>
      <c r="TJS85" s="70">
        <v>0</v>
      </c>
      <c r="TJT85" s="70">
        <v>0</v>
      </c>
      <c r="TJU85" s="70">
        <v>0</v>
      </c>
      <c r="TJV85" s="70">
        <v>0</v>
      </c>
      <c r="TJW85" s="70">
        <v>0</v>
      </c>
      <c r="TJX85" s="70">
        <v>0</v>
      </c>
      <c r="TJY85" s="70">
        <v>0</v>
      </c>
      <c r="TJZ85" s="70">
        <v>0</v>
      </c>
      <c r="TKA85" s="70">
        <v>0</v>
      </c>
      <c r="TKB85" s="70">
        <v>0</v>
      </c>
      <c r="TKC85" s="70">
        <v>0</v>
      </c>
      <c r="TKD85" s="70">
        <v>0</v>
      </c>
      <c r="TKE85" s="70">
        <v>0</v>
      </c>
      <c r="TKF85" s="70">
        <v>0</v>
      </c>
      <c r="TKG85" s="70">
        <v>0</v>
      </c>
      <c r="TKH85" s="70">
        <v>0</v>
      </c>
      <c r="TKI85" s="70">
        <v>0</v>
      </c>
      <c r="TKJ85" s="70">
        <v>0</v>
      </c>
      <c r="TKK85" s="70">
        <v>0</v>
      </c>
      <c r="TKL85" s="70">
        <v>0</v>
      </c>
      <c r="TKM85" s="70">
        <v>0</v>
      </c>
      <c r="TKN85" s="70">
        <v>0</v>
      </c>
      <c r="TKO85" s="70">
        <v>0</v>
      </c>
      <c r="TKP85" s="70">
        <v>0</v>
      </c>
      <c r="TKQ85" s="70">
        <v>0</v>
      </c>
      <c r="TKR85" s="70">
        <v>0</v>
      </c>
      <c r="TKS85" s="70">
        <v>0</v>
      </c>
      <c r="TKT85" s="70">
        <v>0</v>
      </c>
      <c r="TKU85" s="70">
        <v>0</v>
      </c>
      <c r="TKV85" s="70">
        <v>0</v>
      </c>
      <c r="TKW85" s="70">
        <v>0</v>
      </c>
      <c r="TKX85" s="70">
        <v>0</v>
      </c>
      <c r="TKY85" s="70">
        <v>0</v>
      </c>
      <c r="TKZ85" s="70">
        <v>0</v>
      </c>
      <c r="TLA85" s="70">
        <v>0</v>
      </c>
      <c r="TLB85" s="70">
        <v>0</v>
      </c>
      <c r="TLC85" s="70">
        <v>0</v>
      </c>
      <c r="TLD85" s="70">
        <v>0</v>
      </c>
      <c r="TLE85" s="70">
        <v>0</v>
      </c>
      <c r="TLF85" s="70">
        <v>0</v>
      </c>
      <c r="TLG85" s="70">
        <v>0</v>
      </c>
      <c r="TLH85" s="70">
        <v>0</v>
      </c>
      <c r="TLI85" s="70">
        <v>0</v>
      </c>
      <c r="TLJ85" s="70">
        <v>0</v>
      </c>
      <c r="TLK85" s="70">
        <v>0</v>
      </c>
      <c r="TLL85" s="70">
        <v>0</v>
      </c>
      <c r="TLM85" s="70">
        <v>0</v>
      </c>
      <c r="TLN85" s="70">
        <v>0</v>
      </c>
      <c r="TLO85" s="70">
        <v>0</v>
      </c>
      <c r="TLP85" s="70">
        <v>0</v>
      </c>
      <c r="TLQ85" s="70">
        <v>0</v>
      </c>
      <c r="TLR85" s="70">
        <v>0</v>
      </c>
      <c r="TLS85" s="70">
        <v>0</v>
      </c>
      <c r="TLT85" s="70">
        <v>0</v>
      </c>
      <c r="TLU85" s="70">
        <v>0</v>
      </c>
      <c r="TLV85" s="70">
        <v>0</v>
      </c>
      <c r="TLW85" s="70">
        <v>0</v>
      </c>
      <c r="TLX85" s="70">
        <v>0</v>
      </c>
      <c r="TLY85" s="70">
        <v>0</v>
      </c>
      <c r="TLZ85" s="70">
        <v>0</v>
      </c>
      <c r="TMA85" s="70">
        <v>0</v>
      </c>
      <c r="TMB85" s="70">
        <v>0</v>
      </c>
      <c r="TMC85" s="70">
        <v>0</v>
      </c>
      <c r="TMD85" s="70">
        <v>0</v>
      </c>
      <c r="TME85" s="70">
        <v>0</v>
      </c>
      <c r="TMF85" s="70">
        <v>0</v>
      </c>
      <c r="TMG85" s="70">
        <v>0</v>
      </c>
      <c r="TMH85" s="70">
        <v>0</v>
      </c>
      <c r="TMI85" s="70">
        <v>0</v>
      </c>
      <c r="TMJ85" s="70">
        <v>0</v>
      </c>
      <c r="TMK85" s="70">
        <v>0</v>
      </c>
      <c r="TML85" s="70">
        <v>0</v>
      </c>
      <c r="TMM85" s="70">
        <v>0</v>
      </c>
      <c r="TMN85" s="70">
        <v>0</v>
      </c>
      <c r="TMO85" s="70">
        <v>0</v>
      </c>
      <c r="TMP85" s="70">
        <v>0</v>
      </c>
      <c r="TMQ85" s="70">
        <v>0</v>
      </c>
      <c r="TMR85" s="70">
        <v>0</v>
      </c>
      <c r="TMS85" s="70">
        <v>0</v>
      </c>
      <c r="TMT85" s="70">
        <v>0</v>
      </c>
      <c r="TMU85" s="70">
        <v>0</v>
      </c>
      <c r="TMV85" s="70">
        <v>0</v>
      </c>
      <c r="TMW85" s="70">
        <v>0</v>
      </c>
      <c r="TMX85" s="70">
        <v>0</v>
      </c>
      <c r="TMY85" s="70">
        <v>0</v>
      </c>
      <c r="TMZ85" s="70">
        <v>0</v>
      </c>
      <c r="TNA85" s="70">
        <v>0</v>
      </c>
      <c r="TNB85" s="70">
        <v>0</v>
      </c>
      <c r="TNC85" s="70">
        <v>0</v>
      </c>
      <c r="TND85" s="70">
        <v>0</v>
      </c>
      <c r="TNE85" s="70">
        <v>0</v>
      </c>
      <c r="TNF85" s="70">
        <v>0</v>
      </c>
      <c r="TNG85" s="70">
        <v>0</v>
      </c>
      <c r="TNH85" s="70">
        <v>0</v>
      </c>
      <c r="TNI85" s="70">
        <v>0</v>
      </c>
      <c r="TNJ85" s="70">
        <v>0</v>
      </c>
      <c r="TNK85" s="70">
        <v>0</v>
      </c>
      <c r="TNL85" s="70">
        <v>0</v>
      </c>
      <c r="TNM85" s="70">
        <v>0</v>
      </c>
      <c r="TNN85" s="70">
        <v>0</v>
      </c>
      <c r="TNO85" s="70">
        <v>0</v>
      </c>
      <c r="TNP85" s="70">
        <v>0</v>
      </c>
      <c r="TNQ85" s="70">
        <v>0</v>
      </c>
      <c r="TNR85" s="70">
        <v>0</v>
      </c>
      <c r="TNS85" s="70">
        <v>0</v>
      </c>
      <c r="TNT85" s="70">
        <v>0</v>
      </c>
      <c r="TNU85" s="70">
        <v>0</v>
      </c>
      <c r="TNV85" s="70">
        <v>0</v>
      </c>
      <c r="TNW85" s="70">
        <v>0</v>
      </c>
      <c r="TNX85" s="70">
        <v>0</v>
      </c>
      <c r="TNY85" s="70">
        <v>0</v>
      </c>
      <c r="TNZ85" s="70">
        <v>0</v>
      </c>
      <c r="TOA85" s="70">
        <v>0</v>
      </c>
      <c r="TOB85" s="70">
        <v>0</v>
      </c>
      <c r="TOC85" s="70">
        <v>0</v>
      </c>
      <c r="TOD85" s="70">
        <v>0</v>
      </c>
      <c r="TOE85" s="70">
        <v>0</v>
      </c>
      <c r="TOF85" s="70">
        <v>0</v>
      </c>
      <c r="TOG85" s="70">
        <v>0</v>
      </c>
      <c r="TOH85" s="70">
        <v>0</v>
      </c>
      <c r="TOI85" s="70">
        <v>0</v>
      </c>
      <c r="TOJ85" s="70">
        <v>0</v>
      </c>
      <c r="TOK85" s="70">
        <v>0</v>
      </c>
      <c r="TOL85" s="70">
        <v>0</v>
      </c>
      <c r="TOM85" s="70">
        <v>0</v>
      </c>
      <c r="TON85" s="70">
        <v>0</v>
      </c>
      <c r="TOO85" s="70">
        <v>0</v>
      </c>
      <c r="TOP85" s="70">
        <v>0</v>
      </c>
      <c r="TOQ85" s="70">
        <v>0</v>
      </c>
      <c r="TOR85" s="70">
        <v>0</v>
      </c>
      <c r="TOS85" s="70">
        <v>0</v>
      </c>
      <c r="TOT85" s="70">
        <v>0</v>
      </c>
      <c r="TOU85" s="70">
        <v>0</v>
      </c>
      <c r="TOV85" s="70">
        <v>0</v>
      </c>
      <c r="TOW85" s="70">
        <v>0</v>
      </c>
      <c r="TOX85" s="70">
        <v>0</v>
      </c>
      <c r="TOY85" s="70">
        <v>0</v>
      </c>
      <c r="TOZ85" s="70">
        <v>0</v>
      </c>
      <c r="TPA85" s="70">
        <v>0</v>
      </c>
      <c r="TPB85" s="70">
        <v>0</v>
      </c>
      <c r="TPC85" s="70">
        <v>0</v>
      </c>
      <c r="TPD85" s="70">
        <v>0</v>
      </c>
      <c r="TPE85" s="70">
        <v>0</v>
      </c>
      <c r="TPF85" s="70">
        <v>0</v>
      </c>
      <c r="TPG85" s="70">
        <v>0</v>
      </c>
      <c r="TPH85" s="70">
        <v>0</v>
      </c>
      <c r="TPI85" s="70">
        <v>0</v>
      </c>
      <c r="TPJ85" s="70">
        <v>0</v>
      </c>
      <c r="TPK85" s="70">
        <v>0</v>
      </c>
      <c r="TPL85" s="70">
        <v>0</v>
      </c>
      <c r="TPM85" s="70">
        <v>0</v>
      </c>
      <c r="TPN85" s="70">
        <v>0</v>
      </c>
      <c r="TPO85" s="70">
        <v>0</v>
      </c>
      <c r="TPP85" s="70">
        <v>0</v>
      </c>
      <c r="TPQ85" s="70">
        <v>0</v>
      </c>
      <c r="TPR85" s="70">
        <v>0</v>
      </c>
      <c r="TPS85" s="70">
        <v>0</v>
      </c>
      <c r="TPT85" s="70">
        <v>0</v>
      </c>
      <c r="TPU85" s="70">
        <v>0</v>
      </c>
      <c r="TPV85" s="70">
        <v>0</v>
      </c>
      <c r="TPW85" s="70">
        <v>0</v>
      </c>
      <c r="TPX85" s="70">
        <v>0</v>
      </c>
      <c r="TPY85" s="70">
        <v>0</v>
      </c>
      <c r="TPZ85" s="70">
        <v>0</v>
      </c>
      <c r="TQA85" s="70">
        <v>0</v>
      </c>
      <c r="TQB85" s="70">
        <v>0</v>
      </c>
      <c r="TQC85" s="70">
        <v>0</v>
      </c>
      <c r="TQD85" s="70">
        <v>0</v>
      </c>
      <c r="TQE85" s="70">
        <v>0</v>
      </c>
      <c r="TQF85" s="70">
        <v>0</v>
      </c>
      <c r="TQG85" s="70">
        <v>0</v>
      </c>
      <c r="TQH85" s="70">
        <v>0</v>
      </c>
      <c r="TQI85" s="70">
        <v>0</v>
      </c>
      <c r="TQJ85" s="70">
        <v>0</v>
      </c>
      <c r="TQK85" s="70">
        <v>0</v>
      </c>
      <c r="TQL85" s="70">
        <v>0</v>
      </c>
      <c r="TQM85" s="70">
        <v>0</v>
      </c>
      <c r="TQN85" s="70">
        <v>0</v>
      </c>
      <c r="TQO85" s="70">
        <v>0</v>
      </c>
      <c r="TQP85" s="70">
        <v>0</v>
      </c>
      <c r="TQQ85" s="70">
        <v>0</v>
      </c>
      <c r="TQR85" s="70">
        <v>0</v>
      </c>
      <c r="TQS85" s="70">
        <v>0</v>
      </c>
      <c r="TQT85" s="70">
        <v>0</v>
      </c>
      <c r="TQU85" s="70">
        <v>0</v>
      </c>
      <c r="TQV85" s="70">
        <v>0</v>
      </c>
      <c r="TQW85" s="70">
        <v>0</v>
      </c>
      <c r="TQX85" s="70">
        <v>0</v>
      </c>
      <c r="TQY85" s="70">
        <v>0</v>
      </c>
      <c r="TQZ85" s="70">
        <v>0</v>
      </c>
      <c r="TRA85" s="70">
        <v>0</v>
      </c>
      <c r="TRB85" s="70">
        <v>0</v>
      </c>
      <c r="TRC85" s="70">
        <v>0</v>
      </c>
      <c r="TRD85" s="70">
        <v>0</v>
      </c>
      <c r="TRE85" s="70">
        <v>0</v>
      </c>
      <c r="TRF85" s="70">
        <v>0</v>
      </c>
      <c r="TRG85" s="70">
        <v>0</v>
      </c>
      <c r="TRH85" s="70">
        <v>0</v>
      </c>
      <c r="TRI85" s="70">
        <v>0</v>
      </c>
      <c r="TRJ85" s="70">
        <v>0</v>
      </c>
      <c r="TRK85" s="70">
        <v>0</v>
      </c>
      <c r="TRL85" s="70">
        <v>0</v>
      </c>
      <c r="TRM85" s="70">
        <v>0</v>
      </c>
      <c r="TRN85" s="70">
        <v>0</v>
      </c>
      <c r="TRO85" s="70">
        <v>0</v>
      </c>
      <c r="TRP85" s="70">
        <v>0</v>
      </c>
      <c r="TRQ85" s="70">
        <v>0</v>
      </c>
      <c r="TRR85" s="70">
        <v>0</v>
      </c>
      <c r="TRS85" s="70">
        <v>0</v>
      </c>
      <c r="TRT85" s="70">
        <v>0</v>
      </c>
      <c r="TRU85" s="70">
        <v>0</v>
      </c>
      <c r="TRV85" s="70">
        <v>0</v>
      </c>
      <c r="TRW85" s="70">
        <v>0</v>
      </c>
      <c r="TRX85" s="70">
        <v>0</v>
      </c>
      <c r="TRY85" s="70">
        <v>0</v>
      </c>
      <c r="TRZ85" s="70">
        <v>0</v>
      </c>
      <c r="TSA85" s="70">
        <v>0</v>
      </c>
      <c r="TSB85" s="70">
        <v>0</v>
      </c>
      <c r="TSC85" s="70">
        <v>0</v>
      </c>
      <c r="TSD85" s="70">
        <v>0</v>
      </c>
      <c r="TSE85" s="70">
        <v>0</v>
      </c>
      <c r="TSF85" s="70">
        <v>0</v>
      </c>
      <c r="TSG85" s="70">
        <v>0</v>
      </c>
      <c r="TSH85" s="70">
        <v>0</v>
      </c>
      <c r="TSI85" s="70">
        <v>0</v>
      </c>
      <c r="TSJ85" s="70">
        <v>0</v>
      </c>
      <c r="TSK85" s="70">
        <v>0</v>
      </c>
      <c r="TSL85" s="70">
        <v>0</v>
      </c>
      <c r="TSM85" s="70">
        <v>0</v>
      </c>
      <c r="TSN85" s="70">
        <v>0</v>
      </c>
      <c r="TSO85" s="70">
        <v>0</v>
      </c>
      <c r="TSP85" s="70">
        <v>0</v>
      </c>
      <c r="TSQ85" s="70">
        <v>0</v>
      </c>
      <c r="TSR85" s="70">
        <v>0</v>
      </c>
      <c r="TSS85" s="70">
        <v>0</v>
      </c>
      <c r="TST85" s="70">
        <v>0</v>
      </c>
      <c r="TSU85" s="70">
        <v>0</v>
      </c>
      <c r="TSV85" s="70">
        <v>0</v>
      </c>
      <c r="TSW85" s="70">
        <v>0</v>
      </c>
      <c r="TSX85" s="70">
        <v>0</v>
      </c>
      <c r="TSY85" s="70">
        <v>0</v>
      </c>
      <c r="TSZ85" s="70">
        <v>0</v>
      </c>
      <c r="TTA85" s="70">
        <v>0</v>
      </c>
      <c r="TTB85" s="70">
        <v>0</v>
      </c>
      <c r="TTC85" s="70">
        <v>0</v>
      </c>
      <c r="TTD85" s="70">
        <v>0</v>
      </c>
      <c r="TTE85" s="70">
        <v>0</v>
      </c>
      <c r="TTF85" s="70">
        <v>0</v>
      </c>
      <c r="TTG85" s="70">
        <v>0</v>
      </c>
      <c r="TTH85" s="70">
        <v>0</v>
      </c>
      <c r="TTI85" s="70">
        <v>0</v>
      </c>
      <c r="TTJ85" s="70">
        <v>0</v>
      </c>
      <c r="TTK85" s="70">
        <v>0</v>
      </c>
      <c r="TTL85" s="70">
        <v>0</v>
      </c>
      <c r="TTM85" s="70">
        <v>0</v>
      </c>
      <c r="TTN85" s="70">
        <v>0</v>
      </c>
      <c r="TTO85" s="70">
        <v>0</v>
      </c>
      <c r="TTP85" s="70">
        <v>0</v>
      </c>
      <c r="TTQ85" s="70">
        <v>0</v>
      </c>
      <c r="TTR85" s="70">
        <v>0</v>
      </c>
      <c r="TTS85" s="70">
        <v>0</v>
      </c>
      <c r="TTT85" s="70">
        <v>0</v>
      </c>
      <c r="TTU85" s="70">
        <v>0</v>
      </c>
      <c r="TTV85" s="70">
        <v>0</v>
      </c>
      <c r="TTW85" s="70">
        <v>0</v>
      </c>
      <c r="TTX85" s="70">
        <v>0</v>
      </c>
      <c r="TTY85" s="70">
        <v>0</v>
      </c>
      <c r="TTZ85" s="70">
        <v>0</v>
      </c>
      <c r="TUA85" s="70">
        <v>0</v>
      </c>
      <c r="TUB85" s="70">
        <v>0</v>
      </c>
      <c r="TUC85" s="70">
        <v>0</v>
      </c>
      <c r="TUD85" s="70">
        <v>0</v>
      </c>
      <c r="TUE85" s="70">
        <v>0</v>
      </c>
      <c r="TUF85" s="70">
        <v>0</v>
      </c>
      <c r="TUG85" s="70">
        <v>0</v>
      </c>
      <c r="TUH85" s="70">
        <v>0</v>
      </c>
      <c r="TUI85" s="70">
        <v>0</v>
      </c>
      <c r="TUJ85" s="70">
        <v>0</v>
      </c>
      <c r="TUK85" s="70">
        <v>0</v>
      </c>
      <c r="TUL85" s="70">
        <v>0</v>
      </c>
      <c r="TUM85" s="70">
        <v>0</v>
      </c>
      <c r="TUN85" s="70">
        <v>0</v>
      </c>
      <c r="TUO85" s="70">
        <v>0</v>
      </c>
      <c r="TUP85" s="70">
        <v>0</v>
      </c>
      <c r="TUQ85" s="70">
        <v>0</v>
      </c>
      <c r="TUR85" s="70">
        <v>0</v>
      </c>
      <c r="TUS85" s="70">
        <v>0</v>
      </c>
      <c r="TUT85" s="70">
        <v>0</v>
      </c>
      <c r="TUU85" s="70">
        <v>0</v>
      </c>
      <c r="TUV85" s="70">
        <v>0</v>
      </c>
      <c r="TUW85" s="70">
        <v>0</v>
      </c>
      <c r="TUX85" s="70">
        <v>0</v>
      </c>
      <c r="TUY85" s="70">
        <v>0</v>
      </c>
      <c r="TUZ85" s="70">
        <v>0</v>
      </c>
      <c r="TVA85" s="70">
        <v>0</v>
      </c>
      <c r="TVB85" s="70">
        <v>0</v>
      </c>
      <c r="TVC85" s="70">
        <v>0</v>
      </c>
      <c r="TVD85" s="70">
        <v>0</v>
      </c>
      <c r="TVE85" s="70">
        <v>0</v>
      </c>
      <c r="TVF85" s="70">
        <v>0</v>
      </c>
      <c r="TVG85" s="70">
        <v>0</v>
      </c>
      <c r="TVH85" s="70">
        <v>0</v>
      </c>
      <c r="TVI85" s="70">
        <v>0</v>
      </c>
      <c r="TVJ85" s="70">
        <v>0</v>
      </c>
      <c r="TVK85" s="70">
        <v>0</v>
      </c>
      <c r="TVL85" s="70">
        <v>0</v>
      </c>
      <c r="TVM85" s="70">
        <v>0</v>
      </c>
      <c r="TVN85" s="70">
        <v>0</v>
      </c>
      <c r="TVO85" s="70">
        <v>0</v>
      </c>
      <c r="TVP85" s="70">
        <v>0</v>
      </c>
      <c r="TVQ85" s="70">
        <v>0</v>
      </c>
      <c r="TVR85" s="70">
        <v>0</v>
      </c>
      <c r="TVS85" s="70">
        <v>0</v>
      </c>
      <c r="TVT85" s="70">
        <v>0</v>
      </c>
      <c r="TVU85" s="70">
        <v>0</v>
      </c>
      <c r="TVV85" s="70">
        <v>0</v>
      </c>
      <c r="TVW85" s="70">
        <v>0</v>
      </c>
      <c r="TVX85" s="70">
        <v>0</v>
      </c>
      <c r="TVY85" s="70">
        <v>0</v>
      </c>
      <c r="TVZ85" s="70">
        <v>0</v>
      </c>
      <c r="TWA85" s="70">
        <v>0</v>
      </c>
      <c r="TWB85" s="70">
        <v>0</v>
      </c>
      <c r="TWC85" s="70">
        <v>0</v>
      </c>
      <c r="TWD85" s="70">
        <v>0</v>
      </c>
      <c r="TWE85" s="70">
        <v>0</v>
      </c>
      <c r="TWF85" s="70">
        <v>0</v>
      </c>
      <c r="TWG85" s="70">
        <v>0</v>
      </c>
      <c r="TWH85" s="70">
        <v>0</v>
      </c>
      <c r="TWI85" s="70">
        <v>0</v>
      </c>
      <c r="TWJ85" s="70">
        <v>0</v>
      </c>
      <c r="TWK85" s="70">
        <v>0</v>
      </c>
      <c r="TWL85" s="70">
        <v>0</v>
      </c>
      <c r="TWM85" s="70">
        <v>0</v>
      </c>
      <c r="TWN85" s="70">
        <v>0</v>
      </c>
      <c r="TWO85" s="70">
        <v>0</v>
      </c>
      <c r="TWP85" s="70">
        <v>0</v>
      </c>
      <c r="TWQ85" s="70">
        <v>0</v>
      </c>
      <c r="TWR85" s="70">
        <v>0</v>
      </c>
      <c r="TWS85" s="70">
        <v>0</v>
      </c>
      <c r="TWT85" s="70">
        <v>0</v>
      </c>
      <c r="TWU85" s="70">
        <v>0</v>
      </c>
      <c r="TWV85" s="70">
        <v>0</v>
      </c>
      <c r="TWW85" s="70">
        <v>0</v>
      </c>
      <c r="TWX85" s="70">
        <v>0</v>
      </c>
      <c r="TWY85" s="70">
        <v>0</v>
      </c>
      <c r="TWZ85" s="70">
        <v>0</v>
      </c>
      <c r="TXA85" s="70">
        <v>0</v>
      </c>
      <c r="TXB85" s="70">
        <v>0</v>
      </c>
      <c r="TXC85" s="70">
        <v>0</v>
      </c>
      <c r="TXD85" s="70">
        <v>0</v>
      </c>
      <c r="TXE85" s="70">
        <v>0</v>
      </c>
      <c r="TXF85" s="70">
        <v>0</v>
      </c>
      <c r="TXG85" s="70">
        <v>0</v>
      </c>
      <c r="TXH85" s="70">
        <v>0</v>
      </c>
      <c r="TXI85" s="70">
        <v>0</v>
      </c>
      <c r="TXJ85" s="70">
        <v>0</v>
      </c>
      <c r="TXK85" s="70">
        <v>0</v>
      </c>
      <c r="TXL85" s="70">
        <v>0</v>
      </c>
      <c r="TXM85" s="70">
        <v>0</v>
      </c>
      <c r="TXN85" s="70">
        <v>0</v>
      </c>
      <c r="TXO85" s="70">
        <v>0</v>
      </c>
      <c r="TXP85" s="70">
        <v>0</v>
      </c>
      <c r="TXQ85" s="70">
        <v>0</v>
      </c>
      <c r="TXR85" s="70">
        <v>0</v>
      </c>
      <c r="TXS85" s="70">
        <v>0</v>
      </c>
      <c r="TXT85" s="70">
        <v>0</v>
      </c>
      <c r="TXU85" s="70">
        <v>0</v>
      </c>
      <c r="TXV85" s="70">
        <v>0</v>
      </c>
      <c r="TXW85" s="70">
        <v>0</v>
      </c>
      <c r="TXX85" s="70">
        <v>0</v>
      </c>
      <c r="TXY85" s="70">
        <v>0</v>
      </c>
      <c r="TXZ85" s="70">
        <v>0</v>
      </c>
      <c r="TYA85" s="70">
        <v>0</v>
      </c>
      <c r="TYB85" s="70">
        <v>0</v>
      </c>
      <c r="TYC85" s="70">
        <v>0</v>
      </c>
      <c r="TYD85" s="70">
        <v>0</v>
      </c>
      <c r="TYE85" s="70">
        <v>0</v>
      </c>
      <c r="TYF85" s="70">
        <v>0</v>
      </c>
      <c r="TYG85" s="70">
        <v>0</v>
      </c>
      <c r="TYH85" s="70">
        <v>0</v>
      </c>
      <c r="TYI85" s="70">
        <v>0</v>
      </c>
      <c r="TYJ85" s="70">
        <v>0</v>
      </c>
      <c r="TYK85" s="70">
        <v>0</v>
      </c>
      <c r="TYL85" s="70">
        <v>0</v>
      </c>
      <c r="TYM85" s="70">
        <v>0</v>
      </c>
      <c r="TYN85" s="70">
        <v>0</v>
      </c>
      <c r="TYO85" s="70">
        <v>0</v>
      </c>
      <c r="TYP85" s="70">
        <v>0</v>
      </c>
      <c r="TYQ85" s="70">
        <v>0</v>
      </c>
      <c r="TYR85" s="70">
        <v>0</v>
      </c>
      <c r="TYS85" s="70">
        <v>0</v>
      </c>
      <c r="TYT85" s="70">
        <v>0</v>
      </c>
      <c r="TYU85" s="70">
        <v>0</v>
      </c>
      <c r="TYV85" s="70">
        <v>0</v>
      </c>
      <c r="TYW85" s="70">
        <v>0</v>
      </c>
      <c r="TYX85" s="70">
        <v>0</v>
      </c>
      <c r="TYY85" s="70">
        <v>0</v>
      </c>
      <c r="TYZ85" s="70">
        <v>0</v>
      </c>
      <c r="TZA85" s="70">
        <v>0</v>
      </c>
      <c r="TZB85" s="70">
        <v>0</v>
      </c>
      <c r="TZC85" s="70">
        <v>0</v>
      </c>
      <c r="TZD85" s="70">
        <v>0</v>
      </c>
      <c r="TZE85" s="70">
        <v>0</v>
      </c>
      <c r="TZF85" s="70">
        <v>0</v>
      </c>
      <c r="TZG85" s="70">
        <v>0</v>
      </c>
      <c r="TZH85" s="70">
        <v>0</v>
      </c>
      <c r="TZI85" s="70">
        <v>0</v>
      </c>
      <c r="TZJ85" s="70">
        <v>0</v>
      </c>
      <c r="TZK85" s="70">
        <v>0</v>
      </c>
      <c r="TZL85" s="70">
        <v>0</v>
      </c>
      <c r="TZM85" s="70">
        <v>0</v>
      </c>
      <c r="TZN85" s="70">
        <v>0</v>
      </c>
      <c r="TZO85" s="70">
        <v>0</v>
      </c>
      <c r="TZP85" s="70">
        <v>0</v>
      </c>
      <c r="TZQ85" s="70">
        <v>0</v>
      </c>
      <c r="TZR85" s="70">
        <v>0</v>
      </c>
      <c r="TZS85" s="70">
        <v>0</v>
      </c>
      <c r="TZT85" s="70">
        <v>0</v>
      </c>
      <c r="TZU85" s="70">
        <v>0</v>
      </c>
      <c r="TZV85" s="70">
        <v>0</v>
      </c>
      <c r="TZW85" s="70">
        <v>0</v>
      </c>
      <c r="TZX85" s="70">
        <v>0</v>
      </c>
      <c r="TZY85" s="70">
        <v>0</v>
      </c>
      <c r="TZZ85" s="70">
        <v>0</v>
      </c>
      <c r="UAA85" s="70">
        <v>0</v>
      </c>
      <c r="UAB85" s="70">
        <v>0</v>
      </c>
      <c r="UAC85" s="70">
        <v>0</v>
      </c>
      <c r="UAD85" s="70">
        <v>0</v>
      </c>
      <c r="UAE85" s="70">
        <v>0</v>
      </c>
      <c r="UAF85" s="70">
        <v>0</v>
      </c>
      <c r="UAG85" s="70">
        <v>0</v>
      </c>
      <c r="UAH85" s="70">
        <v>0</v>
      </c>
      <c r="UAI85" s="70">
        <v>0</v>
      </c>
      <c r="UAJ85" s="70">
        <v>0</v>
      </c>
      <c r="UAK85" s="70">
        <v>0</v>
      </c>
      <c r="UAL85" s="70">
        <v>0</v>
      </c>
      <c r="UAM85" s="70">
        <v>0</v>
      </c>
      <c r="UAN85" s="70">
        <v>0</v>
      </c>
      <c r="UAO85" s="70">
        <v>0</v>
      </c>
      <c r="UAP85" s="70">
        <v>0</v>
      </c>
      <c r="UAQ85" s="70">
        <v>0</v>
      </c>
      <c r="UAR85" s="70">
        <v>0</v>
      </c>
      <c r="UAS85" s="70">
        <v>0</v>
      </c>
      <c r="UAT85" s="70">
        <v>0</v>
      </c>
      <c r="UAU85" s="70">
        <v>0</v>
      </c>
      <c r="UAV85" s="70">
        <v>0</v>
      </c>
      <c r="UAW85" s="70">
        <v>0</v>
      </c>
      <c r="UAX85" s="70">
        <v>0</v>
      </c>
      <c r="UAY85" s="70">
        <v>0</v>
      </c>
      <c r="UAZ85" s="70">
        <v>0</v>
      </c>
      <c r="UBA85" s="70">
        <v>0</v>
      </c>
      <c r="UBB85" s="70">
        <v>0</v>
      </c>
      <c r="UBC85" s="70">
        <v>0</v>
      </c>
      <c r="UBD85" s="70">
        <v>0</v>
      </c>
      <c r="UBE85" s="70">
        <v>0</v>
      </c>
      <c r="UBF85" s="70">
        <v>0</v>
      </c>
      <c r="UBG85" s="70">
        <v>0</v>
      </c>
      <c r="UBH85" s="70">
        <v>0</v>
      </c>
      <c r="UBI85" s="70">
        <v>0</v>
      </c>
      <c r="UBJ85" s="70">
        <v>0</v>
      </c>
      <c r="UBK85" s="70">
        <v>0</v>
      </c>
      <c r="UBL85" s="70">
        <v>0</v>
      </c>
      <c r="UBM85" s="70">
        <v>0</v>
      </c>
      <c r="UBN85" s="70">
        <v>0</v>
      </c>
      <c r="UBO85" s="70">
        <v>0</v>
      </c>
      <c r="UBP85" s="70">
        <v>0</v>
      </c>
      <c r="UBQ85" s="70">
        <v>0</v>
      </c>
      <c r="UBR85" s="70">
        <v>0</v>
      </c>
      <c r="UBS85" s="70">
        <v>0</v>
      </c>
      <c r="UBT85" s="70">
        <v>0</v>
      </c>
      <c r="UBU85" s="70">
        <v>0</v>
      </c>
      <c r="UBV85" s="70">
        <v>0</v>
      </c>
      <c r="UBW85" s="70">
        <v>0</v>
      </c>
      <c r="UBX85" s="70">
        <v>0</v>
      </c>
      <c r="UBY85" s="70">
        <v>0</v>
      </c>
      <c r="UBZ85" s="70">
        <v>0</v>
      </c>
      <c r="UCA85" s="70">
        <v>0</v>
      </c>
      <c r="UCB85" s="70">
        <v>0</v>
      </c>
      <c r="UCC85" s="70">
        <v>0</v>
      </c>
      <c r="UCD85" s="70">
        <v>0</v>
      </c>
      <c r="UCE85" s="70">
        <v>0</v>
      </c>
      <c r="UCF85" s="70">
        <v>0</v>
      </c>
      <c r="UCG85" s="70">
        <v>0</v>
      </c>
      <c r="UCH85" s="70">
        <v>0</v>
      </c>
      <c r="UCI85" s="70">
        <v>0</v>
      </c>
      <c r="UCJ85" s="70">
        <v>0</v>
      </c>
      <c r="UCK85" s="70">
        <v>0</v>
      </c>
      <c r="UCL85" s="70">
        <v>0</v>
      </c>
      <c r="UCM85" s="70">
        <v>0</v>
      </c>
      <c r="UCN85" s="70">
        <v>0</v>
      </c>
      <c r="UCO85" s="70">
        <v>0</v>
      </c>
      <c r="UCP85" s="70">
        <v>0</v>
      </c>
      <c r="UCQ85" s="70">
        <v>0</v>
      </c>
      <c r="UCR85" s="70">
        <v>0</v>
      </c>
      <c r="UCS85" s="70">
        <v>0</v>
      </c>
      <c r="UCT85" s="70">
        <v>0</v>
      </c>
      <c r="UCU85" s="70">
        <v>0</v>
      </c>
      <c r="UCV85" s="70">
        <v>0</v>
      </c>
      <c r="UCW85" s="70">
        <v>0</v>
      </c>
      <c r="UCX85" s="70">
        <v>0</v>
      </c>
      <c r="UCY85" s="70">
        <v>0</v>
      </c>
      <c r="UCZ85" s="70">
        <v>0</v>
      </c>
      <c r="UDA85" s="70">
        <v>0</v>
      </c>
      <c r="UDB85" s="70">
        <v>0</v>
      </c>
      <c r="UDC85" s="70">
        <v>0</v>
      </c>
      <c r="UDD85" s="70">
        <v>0</v>
      </c>
      <c r="UDE85" s="70">
        <v>0</v>
      </c>
      <c r="UDF85" s="70">
        <v>0</v>
      </c>
      <c r="UDG85" s="70">
        <v>0</v>
      </c>
      <c r="UDH85" s="70">
        <v>0</v>
      </c>
      <c r="UDI85" s="70">
        <v>0</v>
      </c>
      <c r="UDJ85" s="70">
        <v>0</v>
      </c>
      <c r="UDK85" s="70">
        <v>0</v>
      </c>
      <c r="UDL85" s="70">
        <v>0</v>
      </c>
      <c r="UDM85" s="70">
        <v>0</v>
      </c>
      <c r="UDN85" s="70">
        <v>0</v>
      </c>
      <c r="UDO85" s="70">
        <v>0</v>
      </c>
      <c r="UDP85" s="70">
        <v>0</v>
      </c>
      <c r="UDQ85" s="70">
        <v>0</v>
      </c>
      <c r="UDR85" s="70">
        <v>0</v>
      </c>
      <c r="UDS85" s="70">
        <v>0</v>
      </c>
      <c r="UDT85" s="70">
        <v>0</v>
      </c>
      <c r="UDU85" s="70">
        <v>0</v>
      </c>
      <c r="UDV85" s="70">
        <v>0</v>
      </c>
      <c r="UDW85" s="70">
        <v>0</v>
      </c>
      <c r="UDX85" s="70">
        <v>0</v>
      </c>
      <c r="UDY85" s="70">
        <v>0</v>
      </c>
      <c r="UDZ85" s="70">
        <v>0</v>
      </c>
      <c r="UEA85" s="70">
        <v>0</v>
      </c>
      <c r="UEB85" s="70">
        <v>0</v>
      </c>
      <c r="UEC85" s="70">
        <v>0</v>
      </c>
      <c r="UED85" s="70">
        <v>0</v>
      </c>
      <c r="UEE85" s="70">
        <v>0</v>
      </c>
      <c r="UEF85" s="70">
        <v>0</v>
      </c>
      <c r="UEG85" s="70">
        <v>0</v>
      </c>
      <c r="UEH85" s="70">
        <v>0</v>
      </c>
      <c r="UEI85" s="70">
        <v>0</v>
      </c>
      <c r="UEJ85" s="70">
        <v>0</v>
      </c>
      <c r="UEK85" s="70">
        <v>0</v>
      </c>
      <c r="UEL85" s="70">
        <v>0</v>
      </c>
      <c r="UEM85" s="70">
        <v>0</v>
      </c>
      <c r="UEN85" s="70">
        <v>0</v>
      </c>
      <c r="UEO85" s="70">
        <v>0</v>
      </c>
      <c r="UEP85" s="70">
        <v>0</v>
      </c>
      <c r="UEQ85" s="70">
        <v>0</v>
      </c>
      <c r="UER85" s="70">
        <v>0</v>
      </c>
      <c r="UES85" s="70">
        <v>0</v>
      </c>
      <c r="UET85" s="70">
        <v>0</v>
      </c>
      <c r="UEU85" s="70">
        <v>0</v>
      </c>
      <c r="UEV85" s="70">
        <v>0</v>
      </c>
      <c r="UEW85" s="70">
        <v>0</v>
      </c>
      <c r="UEX85" s="70">
        <v>0</v>
      </c>
      <c r="UEY85" s="70">
        <v>0</v>
      </c>
      <c r="UEZ85" s="70">
        <v>0</v>
      </c>
      <c r="UFA85" s="70">
        <v>0</v>
      </c>
      <c r="UFB85" s="70">
        <v>0</v>
      </c>
      <c r="UFC85" s="70">
        <v>0</v>
      </c>
      <c r="UFD85" s="70">
        <v>0</v>
      </c>
      <c r="UFE85" s="70">
        <v>0</v>
      </c>
      <c r="UFF85" s="70">
        <v>0</v>
      </c>
      <c r="UFG85" s="70">
        <v>0</v>
      </c>
      <c r="UFH85" s="70">
        <v>0</v>
      </c>
      <c r="UFI85" s="70">
        <v>0</v>
      </c>
      <c r="UFJ85" s="70">
        <v>0</v>
      </c>
      <c r="UFK85" s="70">
        <v>0</v>
      </c>
      <c r="UFL85" s="70">
        <v>0</v>
      </c>
      <c r="UFM85" s="70">
        <v>0</v>
      </c>
      <c r="UFN85" s="70">
        <v>0</v>
      </c>
      <c r="UFO85" s="70">
        <v>0</v>
      </c>
      <c r="UFP85" s="70">
        <v>0</v>
      </c>
      <c r="UFQ85" s="70">
        <v>0</v>
      </c>
      <c r="UFR85" s="70">
        <v>0</v>
      </c>
      <c r="UFS85" s="70">
        <v>0</v>
      </c>
      <c r="UFT85" s="70">
        <v>0</v>
      </c>
      <c r="UFU85" s="70">
        <v>0</v>
      </c>
      <c r="UFV85" s="70">
        <v>0</v>
      </c>
      <c r="UFW85" s="70">
        <v>0</v>
      </c>
      <c r="UFX85" s="70">
        <v>0</v>
      </c>
      <c r="UFY85" s="70">
        <v>0</v>
      </c>
      <c r="UFZ85" s="70">
        <v>0</v>
      </c>
      <c r="UGA85" s="70">
        <v>0</v>
      </c>
      <c r="UGB85" s="70">
        <v>0</v>
      </c>
      <c r="UGC85" s="70">
        <v>0</v>
      </c>
      <c r="UGD85" s="70">
        <v>0</v>
      </c>
      <c r="UGE85" s="70">
        <v>0</v>
      </c>
      <c r="UGF85" s="70">
        <v>0</v>
      </c>
      <c r="UGG85" s="70">
        <v>0</v>
      </c>
      <c r="UGH85" s="70">
        <v>0</v>
      </c>
      <c r="UGI85" s="70">
        <v>0</v>
      </c>
      <c r="UGJ85" s="70">
        <v>0</v>
      </c>
      <c r="UGK85" s="70">
        <v>0</v>
      </c>
      <c r="UGL85" s="70">
        <v>0</v>
      </c>
      <c r="UGM85" s="70">
        <v>0</v>
      </c>
      <c r="UGN85" s="70">
        <v>0</v>
      </c>
      <c r="UGO85" s="70">
        <v>0</v>
      </c>
      <c r="UGP85" s="70">
        <v>0</v>
      </c>
      <c r="UGQ85" s="70">
        <v>0</v>
      </c>
      <c r="UGR85" s="70">
        <v>0</v>
      </c>
      <c r="UGS85" s="70">
        <v>0</v>
      </c>
      <c r="UGT85" s="70">
        <v>0</v>
      </c>
      <c r="UGU85" s="70">
        <v>0</v>
      </c>
      <c r="UGV85" s="70">
        <v>0</v>
      </c>
      <c r="UGW85" s="70">
        <v>0</v>
      </c>
      <c r="UGX85" s="70">
        <v>0</v>
      </c>
      <c r="UGY85" s="70">
        <v>0</v>
      </c>
      <c r="UGZ85" s="70">
        <v>0</v>
      </c>
      <c r="UHA85" s="70">
        <v>0</v>
      </c>
      <c r="UHB85" s="70">
        <v>0</v>
      </c>
      <c r="UHC85" s="70">
        <v>0</v>
      </c>
      <c r="UHD85" s="70">
        <v>0</v>
      </c>
      <c r="UHE85" s="70">
        <v>0</v>
      </c>
      <c r="UHF85" s="70">
        <v>0</v>
      </c>
      <c r="UHG85" s="70">
        <v>0</v>
      </c>
      <c r="UHH85" s="70">
        <v>0</v>
      </c>
      <c r="UHI85" s="70">
        <v>0</v>
      </c>
      <c r="UHJ85" s="70">
        <v>0</v>
      </c>
      <c r="UHK85" s="70">
        <v>0</v>
      </c>
      <c r="UHL85" s="70">
        <v>0</v>
      </c>
      <c r="UHM85" s="70">
        <v>0</v>
      </c>
      <c r="UHN85" s="70">
        <v>0</v>
      </c>
      <c r="UHO85" s="70">
        <v>0</v>
      </c>
      <c r="UHP85" s="70">
        <v>0</v>
      </c>
      <c r="UHQ85" s="70">
        <v>0</v>
      </c>
      <c r="UHR85" s="70">
        <v>0</v>
      </c>
      <c r="UHS85" s="70">
        <v>0</v>
      </c>
      <c r="UHT85" s="70">
        <v>0</v>
      </c>
      <c r="UHU85" s="70">
        <v>0</v>
      </c>
      <c r="UHV85" s="70">
        <v>0</v>
      </c>
      <c r="UHW85" s="70">
        <v>0</v>
      </c>
      <c r="UHX85" s="70">
        <v>0</v>
      </c>
      <c r="UHY85" s="70">
        <v>0</v>
      </c>
      <c r="UHZ85" s="70">
        <v>0</v>
      </c>
      <c r="UIA85" s="70">
        <v>0</v>
      </c>
      <c r="UIB85" s="70">
        <v>0</v>
      </c>
      <c r="UIC85" s="70">
        <v>0</v>
      </c>
      <c r="UID85" s="70">
        <v>0</v>
      </c>
      <c r="UIE85" s="70">
        <v>0</v>
      </c>
      <c r="UIF85" s="70">
        <v>0</v>
      </c>
      <c r="UIG85" s="70">
        <v>0</v>
      </c>
      <c r="UIH85" s="70">
        <v>0</v>
      </c>
      <c r="UII85" s="70">
        <v>0</v>
      </c>
      <c r="UIJ85" s="70">
        <v>0</v>
      </c>
      <c r="UIK85" s="70">
        <v>0</v>
      </c>
      <c r="UIL85" s="70">
        <v>0</v>
      </c>
      <c r="UIM85" s="70">
        <v>0</v>
      </c>
      <c r="UIN85" s="70">
        <v>0</v>
      </c>
      <c r="UIO85" s="70">
        <v>0</v>
      </c>
      <c r="UIP85" s="70">
        <v>0</v>
      </c>
      <c r="UIQ85" s="70">
        <v>0</v>
      </c>
      <c r="UIR85" s="70">
        <v>0</v>
      </c>
      <c r="UIS85" s="70">
        <v>0</v>
      </c>
      <c r="UIT85" s="70">
        <v>0</v>
      </c>
      <c r="UIU85" s="70">
        <v>0</v>
      </c>
      <c r="UIV85" s="70">
        <v>0</v>
      </c>
      <c r="UIW85" s="70">
        <v>0</v>
      </c>
      <c r="UIX85" s="70">
        <v>0</v>
      </c>
      <c r="UIY85" s="70">
        <v>0</v>
      </c>
      <c r="UIZ85" s="70">
        <v>0</v>
      </c>
      <c r="UJA85" s="70">
        <v>0</v>
      </c>
      <c r="UJB85" s="70">
        <v>0</v>
      </c>
      <c r="UJC85" s="70">
        <v>0</v>
      </c>
      <c r="UJD85" s="70">
        <v>0</v>
      </c>
      <c r="UJE85" s="70">
        <v>0</v>
      </c>
      <c r="UJF85" s="70">
        <v>0</v>
      </c>
      <c r="UJG85" s="70">
        <v>0</v>
      </c>
      <c r="UJH85" s="70">
        <v>0</v>
      </c>
      <c r="UJI85" s="70">
        <v>0</v>
      </c>
      <c r="UJJ85" s="70">
        <v>0</v>
      </c>
      <c r="UJK85" s="70">
        <v>0</v>
      </c>
      <c r="UJL85" s="70">
        <v>0</v>
      </c>
      <c r="UJM85" s="70">
        <v>0</v>
      </c>
      <c r="UJN85" s="70">
        <v>0</v>
      </c>
      <c r="UJO85" s="70">
        <v>0</v>
      </c>
      <c r="UJP85" s="70">
        <v>0</v>
      </c>
      <c r="UJQ85" s="70">
        <v>0</v>
      </c>
      <c r="UJR85" s="70">
        <v>0</v>
      </c>
      <c r="UJS85" s="70">
        <v>0</v>
      </c>
      <c r="UJT85" s="70">
        <v>0</v>
      </c>
      <c r="UJU85" s="70">
        <v>0</v>
      </c>
      <c r="UJV85" s="70">
        <v>0</v>
      </c>
      <c r="UJW85" s="70">
        <v>0</v>
      </c>
      <c r="UJX85" s="70">
        <v>0</v>
      </c>
      <c r="UJY85" s="70">
        <v>0</v>
      </c>
      <c r="UJZ85" s="70">
        <v>0</v>
      </c>
      <c r="UKA85" s="70">
        <v>0</v>
      </c>
      <c r="UKB85" s="70">
        <v>0</v>
      </c>
      <c r="UKC85" s="70">
        <v>0</v>
      </c>
      <c r="UKD85" s="70">
        <v>0</v>
      </c>
      <c r="UKE85" s="70">
        <v>0</v>
      </c>
      <c r="UKF85" s="70">
        <v>0</v>
      </c>
      <c r="UKG85" s="70">
        <v>0</v>
      </c>
      <c r="UKH85" s="70">
        <v>0</v>
      </c>
      <c r="UKI85" s="70">
        <v>0</v>
      </c>
      <c r="UKJ85" s="70">
        <v>0</v>
      </c>
      <c r="UKK85" s="70">
        <v>0</v>
      </c>
      <c r="UKL85" s="70">
        <v>0</v>
      </c>
      <c r="UKM85" s="70">
        <v>0</v>
      </c>
      <c r="UKN85" s="70">
        <v>0</v>
      </c>
      <c r="UKO85" s="70">
        <v>0</v>
      </c>
      <c r="UKP85" s="70">
        <v>0</v>
      </c>
      <c r="UKQ85" s="70">
        <v>0</v>
      </c>
      <c r="UKR85" s="70">
        <v>0</v>
      </c>
      <c r="UKS85" s="70">
        <v>0</v>
      </c>
      <c r="UKT85" s="70">
        <v>0</v>
      </c>
      <c r="UKU85" s="70">
        <v>0</v>
      </c>
      <c r="UKV85" s="70">
        <v>0</v>
      </c>
      <c r="UKW85" s="70">
        <v>0</v>
      </c>
      <c r="UKX85" s="70">
        <v>0</v>
      </c>
      <c r="UKY85" s="70">
        <v>0</v>
      </c>
      <c r="UKZ85" s="70">
        <v>0</v>
      </c>
      <c r="ULA85" s="70">
        <v>0</v>
      </c>
      <c r="ULB85" s="70">
        <v>0</v>
      </c>
      <c r="ULC85" s="70">
        <v>0</v>
      </c>
      <c r="ULD85" s="70">
        <v>0</v>
      </c>
      <c r="ULE85" s="70">
        <v>0</v>
      </c>
      <c r="ULF85" s="70">
        <v>0</v>
      </c>
      <c r="ULG85" s="70">
        <v>0</v>
      </c>
      <c r="ULH85" s="70">
        <v>0</v>
      </c>
      <c r="ULI85" s="70">
        <v>0</v>
      </c>
      <c r="ULJ85" s="70">
        <v>0</v>
      </c>
      <c r="ULK85" s="70">
        <v>0</v>
      </c>
      <c r="ULL85" s="70">
        <v>0</v>
      </c>
      <c r="ULM85" s="70">
        <v>0</v>
      </c>
      <c r="ULN85" s="70">
        <v>0</v>
      </c>
      <c r="ULO85" s="70">
        <v>0</v>
      </c>
      <c r="ULP85" s="70">
        <v>0</v>
      </c>
      <c r="ULQ85" s="70">
        <v>0</v>
      </c>
      <c r="ULR85" s="70">
        <v>0</v>
      </c>
      <c r="ULS85" s="70">
        <v>0</v>
      </c>
      <c r="ULT85" s="70">
        <v>0</v>
      </c>
      <c r="ULU85" s="70">
        <v>0</v>
      </c>
      <c r="ULV85" s="70">
        <v>0</v>
      </c>
      <c r="ULW85" s="70">
        <v>0</v>
      </c>
      <c r="ULX85" s="70">
        <v>0</v>
      </c>
      <c r="ULY85" s="70">
        <v>0</v>
      </c>
      <c r="ULZ85" s="70">
        <v>0</v>
      </c>
      <c r="UMA85" s="70">
        <v>0</v>
      </c>
      <c r="UMB85" s="70">
        <v>0</v>
      </c>
      <c r="UMC85" s="70">
        <v>0</v>
      </c>
      <c r="UMD85" s="70">
        <v>0</v>
      </c>
      <c r="UME85" s="70">
        <v>0</v>
      </c>
      <c r="UMF85" s="70">
        <v>0</v>
      </c>
      <c r="UMG85" s="70">
        <v>0</v>
      </c>
      <c r="UMH85" s="70">
        <v>0</v>
      </c>
      <c r="UMI85" s="70">
        <v>0</v>
      </c>
      <c r="UMJ85" s="70">
        <v>0</v>
      </c>
      <c r="UMK85" s="70">
        <v>0</v>
      </c>
      <c r="UML85" s="70">
        <v>0</v>
      </c>
      <c r="UMM85" s="70">
        <v>0</v>
      </c>
      <c r="UMN85" s="70">
        <v>0</v>
      </c>
      <c r="UMO85" s="70">
        <v>0</v>
      </c>
      <c r="UMP85" s="70">
        <v>0</v>
      </c>
      <c r="UMQ85" s="70">
        <v>0</v>
      </c>
      <c r="UMR85" s="70">
        <v>0</v>
      </c>
      <c r="UMS85" s="70">
        <v>0</v>
      </c>
      <c r="UMT85" s="70">
        <v>0</v>
      </c>
      <c r="UMU85" s="70">
        <v>0</v>
      </c>
      <c r="UMV85" s="70">
        <v>0</v>
      </c>
      <c r="UMW85" s="70">
        <v>0</v>
      </c>
      <c r="UMX85" s="70">
        <v>0</v>
      </c>
      <c r="UMY85" s="70">
        <v>0</v>
      </c>
      <c r="UMZ85" s="70">
        <v>0</v>
      </c>
      <c r="UNA85" s="70">
        <v>0</v>
      </c>
      <c r="UNB85" s="70">
        <v>0</v>
      </c>
      <c r="UNC85" s="70">
        <v>0</v>
      </c>
      <c r="UND85" s="70">
        <v>0</v>
      </c>
      <c r="UNE85" s="70">
        <v>0</v>
      </c>
      <c r="UNF85" s="70">
        <v>0</v>
      </c>
      <c r="UNG85" s="70">
        <v>0</v>
      </c>
      <c r="UNH85" s="70">
        <v>0</v>
      </c>
      <c r="UNI85" s="70">
        <v>0</v>
      </c>
      <c r="UNJ85" s="70">
        <v>0</v>
      </c>
      <c r="UNK85" s="70">
        <v>0</v>
      </c>
      <c r="UNL85" s="70">
        <v>0</v>
      </c>
      <c r="UNM85" s="70">
        <v>0</v>
      </c>
      <c r="UNN85" s="70">
        <v>0</v>
      </c>
      <c r="UNO85" s="70">
        <v>0</v>
      </c>
      <c r="UNP85" s="70">
        <v>0</v>
      </c>
      <c r="UNQ85" s="70">
        <v>0</v>
      </c>
      <c r="UNR85" s="70">
        <v>0</v>
      </c>
      <c r="UNS85" s="70">
        <v>0</v>
      </c>
      <c r="UNT85" s="70">
        <v>0</v>
      </c>
      <c r="UNU85" s="70">
        <v>0</v>
      </c>
      <c r="UNV85" s="70">
        <v>0</v>
      </c>
      <c r="UNW85" s="70">
        <v>0</v>
      </c>
      <c r="UNX85" s="70">
        <v>0</v>
      </c>
      <c r="UNY85" s="70">
        <v>0</v>
      </c>
      <c r="UNZ85" s="70">
        <v>0</v>
      </c>
      <c r="UOA85" s="70">
        <v>0</v>
      </c>
      <c r="UOB85" s="70">
        <v>0</v>
      </c>
      <c r="UOC85" s="70">
        <v>0</v>
      </c>
      <c r="UOD85" s="70">
        <v>0</v>
      </c>
      <c r="UOE85" s="70">
        <v>0</v>
      </c>
      <c r="UOF85" s="70">
        <v>0</v>
      </c>
      <c r="UOG85" s="70">
        <v>0</v>
      </c>
      <c r="UOH85" s="70">
        <v>0</v>
      </c>
      <c r="UOI85" s="70">
        <v>0</v>
      </c>
      <c r="UOJ85" s="70">
        <v>0</v>
      </c>
      <c r="UOK85" s="70">
        <v>0</v>
      </c>
      <c r="UOL85" s="70">
        <v>0</v>
      </c>
      <c r="UOM85" s="70">
        <v>0</v>
      </c>
      <c r="UON85" s="70">
        <v>0</v>
      </c>
      <c r="UOO85" s="70">
        <v>0</v>
      </c>
      <c r="UOP85" s="70">
        <v>0</v>
      </c>
      <c r="UOQ85" s="70">
        <v>0</v>
      </c>
      <c r="UOR85" s="70">
        <v>0</v>
      </c>
      <c r="UOS85" s="70">
        <v>0</v>
      </c>
      <c r="UOT85" s="70">
        <v>0</v>
      </c>
      <c r="UOU85" s="70">
        <v>0</v>
      </c>
      <c r="UOV85" s="70">
        <v>0</v>
      </c>
      <c r="UOW85" s="70">
        <v>0</v>
      </c>
      <c r="UOX85" s="70">
        <v>0</v>
      </c>
      <c r="UOY85" s="70">
        <v>0</v>
      </c>
      <c r="UOZ85" s="70">
        <v>0</v>
      </c>
      <c r="UPA85" s="70">
        <v>0</v>
      </c>
      <c r="UPB85" s="70">
        <v>0</v>
      </c>
      <c r="UPC85" s="70">
        <v>0</v>
      </c>
      <c r="UPD85" s="70">
        <v>0</v>
      </c>
      <c r="UPE85" s="70">
        <v>0</v>
      </c>
      <c r="UPF85" s="70">
        <v>0</v>
      </c>
      <c r="UPG85" s="70">
        <v>0</v>
      </c>
      <c r="UPH85" s="70">
        <v>0</v>
      </c>
      <c r="UPI85" s="70">
        <v>0</v>
      </c>
      <c r="UPJ85" s="70">
        <v>0</v>
      </c>
      <c r="UPK85" s="70">
        <v>0</v>
      </c>
      <c r="UPL85" s="70">
        <v>0</v>
      </c>
      <c r="UPM85" s="70">
        <v>0</v>
      </c>
      <c r="UPN85" s="70">
        <v>0</v>
      </c>
      <c r="UPO85" s="70">
        <v>0</v>
      </c>
      <c r="UPP85" s="70">
        <v>0</v>
      </c>
      <c r="UPQ85" s="70">
        <v>0</v>
      </c>
      <c r="UPR85" s="70">
        <v>0</v>
      </c>
      <c r="UPS85" s="70">
        <v>0</v>
      </c>
      <c r="UPT85" s="70">
        <v>0</v>
      </c>
      <c r="UPU85" s="70">
        <v>0</v>
      </c>
      <c r="UPV85" s="70">
        <v>0</v>
      </c>
      <c r="UPW85" s="70">
        <v>0</v>
      </c>
      <c r="UPX85" s="70">
        <v>0</v>
      </c>
      <c r="UPY85" s="70">
        <v>0</v>
      </c>
      <c r="UPZ85" s="70">
        <v>0</v>
      </c>
      <c r="UQA85" s="70">
        <v>0</v>
      </c>
      <c r="UQB85" s="70">
        <v>0</v>
      </c>
      <c r="UQC85" s="70">
        <v>0</v>
      </c>
      <c r="UQD85" s="70">
        <v>0</v>
      </c>
      <c r="UQE85" s="70">
        <v>0</v>
      </c>
      <c r="UQF85" s="70">
        <v>0</v>
      </c>
      <c r="UQG85" s="70">
        <v>0</v>
      </c>
      <c r="UQH85" s="70">
        <v>0</v>
      </c>
      <c r="UQI85" s="70">
        <v>0</v>
      </c>
      <c r="UQJ85" s="70">
        <v>0</v>
      </c>
      <c r="UQK85" s="70">
        <v>0</v>
      </c>
      <c r="UQL85" s="70">
        <v>0</v>
      </c>
      <c r="UQM85" s="70">
        <v>0</v>
      </c>
      <c r="UQN85" s="70">
        <v>0</v>
      </c>
      <c r="UQO85" s="70">
        <v>0</v>
      </c>
      <c r="UQP85" s="70">
        <v>0</v>
      </c>
      <c r="UQQ85" s="70">
        <v>0</v>
      </c>
      <c r="UQR85" s="70">
        <v>0</v>
      </c>
      <c r="UQS85" s="70">
        <v>0</v>
      </c>
      <c r="UQT85" s="70">
        <v>0</v>
      </c>
      <c r="UQU85" s="70">
        <v>0</v>
      </c>
      <c r="UQV85" s="70">
        <v>0</v>
      </c>
      <c r="UQW85" s="70">
        <v>0</v>
      </c>
      <c r="UQX85" s="70">
        <v>0</v>
      </c>
      <c r="UQY85" s="70">
        <v>0</v>
      </c>
      <c r="UQZ85" s="70">
        <v>0</v>
      </c>
      <c r="URA85" s="70">
        <v>0</v>
      </c>
      <c r="URB85" s="70">
        <v>0</v>
      </c>
      <c r="URC85" s="70">
        <v>0</v>
      </c>
      <c r="URD85" s="70">
        <v>0</v>
      </c>
      <c r="URE85" s="70">
        <v>0</v>
      </c>
      <c r="URF85" s="70">
        <v>0</v>
      </c>
      <c r="URG85" s="70">
        <v>0</v>
      </c>
      <c r="URH85" s="70">
        <v>0</v>
      </c>
      <c r="URI85" s="70">
        <v>0</v>
      </c>
      <c r="URJ85" s="70">
        <v>0</v>
      </c>
      <c r="URK85" s="70">
        <v>0</v>
      </c>
      <c r="URL85" s="70">
        <v>0</v>
      </c>
      <c r="URM85" s="70">
        <v>0</v>
      </c>
      <c r="URN85" s="70">
        <v>0</v>
      </c>
      <c r="URO85" s="70">
        <v>0</v>
      </c>
      <c r="URP85" s="70">
        <v>0</v>
      </c>
      <c r="URQ85" s="70">
        <v>0</v>
      </c>
      <c r="URR85" s="70">
        <v>0</v>
      </c>
      <c r="URS85" s="70">
        <v>0</v>
      </c>
      <c r="URT85" s="70">
        <v>0</v>
      </c>
      <c r="URU85" s="70">
        <v>0</v>
      </c>
      <c r="URV85" s="70">
        <v>0</v>
      </c>
      <c r="URW85" s="70">
        <v>0</v>
      </c>
      <c r="URX85" s="70">
        <v>0</v>
      </c>
      <c r="URY85" s="70">
        <v>0</v>
      </c>
      <c r="URZ85" s="70">
        <v>0</v>
      </c>
      <c r="USA85" s="70">
        <v>0</v>
      </c>
      <c r="USB85" s="70">
        <v>0</v>
      </c>
      <c r="USC85" s="70">
        <v>0</v>
      </c>
      <c r="USD85" s="70">
        <v>0</v>
      </c>
      <c r="USE85" s="70">
        <v>0</v>
      </c>
      <c r="USF85" s="70">
        <v>0</v>
      </c>
      <c r="USG85" s="70">
        <v>0</v>
      </c>
      <c r="USH85" s="70">
        <v>0</v>
      </c>
      <c r="USI85" s="70">
        <v>0</v>
      </c>
      <c r="USJ85" s="70">
        <v>0</v>
      </c>
      <c r="USK85" s="70">
        <v>0</v>
      </c>
      <c r="USL85" s="70">
        <v>0</v>
      </c>
      <c r="USM85" s="70">
        <v>0</v>
      </c>
      <c r="USN85" s="70">
        <v>0</v>
      </c>
      <c r="USO85" s="70">
        <v>0</v>
      </c>
      <c r="USP85" s="70">
        <v>0</v>
      </c>
      <c r="USQ85" s="70">
        <v>0</v>
      </c>
      <c r="USR85" s="70">
        <v>0</v>
      </c>
      <c r="USS85" s="70">
        <v>0</v>
      </c>
      <c r="UST85" s="70">
        <v>0</v>
      </c>
      <c r="USU85" s="70">
        <v>0</v>
      </c>
      <c r="USV85" s="70">
        <v>0</v>
      </c>
      <c r="USW85" s="70">
        <v>0</v>
      </c>
      <c r="USX85" s="70">
        <v>0</v>
      </c>
      <c r="USY85" s="70">
        <v>0</v>
      </c>
      <c r="USZ85" s="70">
        <v>0</v>
      </c>
      <c r="UTA85" s="70">
        <v>0</v>
      </c>
      <c r="UTB85" s="70">
        <v>0</v>
      </c>
      <c r="UTC85" s="70">
        <v>0</v>
      </c>
      <c r="UTD85" s="70">
        <v>0</v>
      </c>
      <c r="UTE85" s="70">
        <v>0</v>
      </c>
      <c r="UTF85" s="70">
        <v>0</v>
      </c>
      <c r="UTG85" s="70">
        <v>0</v>
      </c>
      <c r="UTH85" s="70">
        <v>0</v>
      </c>
      <c r="UTI85" s="70">
        <v>0</v>
      </c>
      <c r="UTJ85" s="70">
        <v>0</v>
      </c>
      <c r="UTK85" s="70">
        <v>0</v>
      </c>
      <c r="UTL85" s="70">
        <v>0</v>
      </c>
      <c r="UTM85" s="70">
        <v>0</v>
      </c>
      <c r="UTN85" s="70">
        <v>0</v>
      </c>
      <c r="UTO85" s="70">
        <v>0</v>
      </c>
      <c r="UTP85" s="70">
        <v>0</v>
      </c>
      <c r="UTQ85" s="70">
        <v>0</v>
      </c>
      <c r="UTR85" s="70">
        <v>0</v>
      </c>
      <c r="UTS85" s="70">
        <v>0</v>
      </c>
      <c r="UTT85" s="70">
        <v>0</v>
      </c>
      <c r="UTU85" s="70">
        <v>0</v>
      </c>
      <c r="UTV85" s="70">
        <v>0</v>
      </c>
      <c r="UTW85" s="70">
        <v>0</v>
      </c>
      <c r="UTX85" s="70">
        <v>0</v>
      </c>
      <c r="UTY85" s="70">
        <v>0</v>
      </c>
      <c r="UTZ85" s="70">
        <v>0</v>
      </c>
      <c r="UUA85" s="70">
        <v>0</v>
      </c>
      <c r="UUB85" s="70">
        <v>0</v>
      </c>
      <c r="UUC85" s="70">
        <v>0</v>
      </c>
      <c r="UUD85" s="70">
        <v>0</v>
      </c>
      <c r="UUE85" s="70">
        <v>0</v>
      </c>
      <c r="UUF85" s="70">
        <v>0</v>
      </c>
      <c r="UUG85" s="70">
        <v>0</v>
      </c>
      <c r="UUH85" s="70">
        <v>0</v>
      </c>
      <c r="UUI85" s="70">
        <v>0</v>
      </c>
      <c r="UUJ85" s="70">
        <v>0</v>
      </c>
      <c r="UUK85" s="70">
        <v>0</v>
      </c>
      <c r="UUL85" s="70">
        <v>0</v>
      </c>
      <c r="UUM85" s="70">
        <v>0</v>
      </c>
      <c r="UUN85" s="70">
        <v>0</v>
      </c>
      <c r="UUO85" s="70">
        <v>0</v>
      </c>
      <c r="UUP85" s="70">
        <v>0</v>
      </c>
      <c r="UUQ85" s="70">
        <v>0</v>
      </c>
      <c r="UUR85" s="70">
        <v>0</v>
      </c>
      <c r="UUS85" s="70">
        <v>0</v>
      </c>
      <c r="UUT85" s="70">
        <v>0</v>
      </c>
      <c r="UUU85" s="70">
        <v>0</v>
      </c>
      <c r="UUV85" s="70">
        <v>0</v>
      </c>
      <c r="UUW85" s="70">
        <v>0</v>
      </c>
      <c r="UUX85" s="70">
        <v>0</v>
      </c>
      <c r="UUY85" s="70">
        <v>0</v>
      </c>
      <c r="UUZ85" s="70">
        <v>0</v>
      </c>
      <c r="UVA85" s="70">
        <v>0</v>
      </c>
      <c r="UVB85" s="70">
        <v>0</v>
      </c>
      <c r="UVC85" s="70">
        <v>0</v>
      </c>
      <c r="UVD85" s="70">
        <v>0</v>
      </c>
      <c r="UVE85" s="70">
        <v>0</v>
      </c>
      <c r="UVF85" s="70">
        <v>0</v>
      </c>
      <c r="UVG85" s="70">
        <v>0</v>
      </c>
      <c r="UVH85" s="70">
        <v>0</v>
      </c>
      <c r="UVI85" s="70">
        <v>0</v>
      </c>
      <c r="UVJ85" s="70">
        <v>0</v>
      </c>
      <c r="UVK85" s="70">
        <v>0</v>
      </c>
      <c r="UVL85" s="70">
        <v>0</v>
      </c>
      <c r="UVM85" s="70">
        <v>0</v>
      </c>
      <c r="UVN85" s="70">
        <v>0</v>
      </c>
      <c r="UVO85" s="70">
        <v>0</v>
      </c>
      <c r="UVP85" s="70">
        <v>0</v>
      </c>
      <c r="UVQ85" s="70">
        <v>0</v>
      </c>
      <c r="UVR85" s="70">
        <v>0</v>
      </c>
      <c r="UVS85" s="70">
        <v>0</v>
      </c>
      <c r="UVT85" s="70">
        <v>0</v>
      </c>
      <c r="UVU85" s="70">
        <v>0</v>
      </c>
      <c r="UVV85" s="70">
        <v>0</v>
      </c>
      <c r="UVW85" s="70">
        <v>0</v>
      </c>
      <c r="UVX85" s="70">
        <v>0</v>
      </c>
      <c r="UVY85" s="70">
        <v>0</v>
      </c>
      <c r="UVZ85" s="70">
        <v>0</v>
      </c>
      <c r="UWA85" s="70">
        <v>0</v>
      </c>
      <c r="UWB85" s="70">
        <v>0</v>
      </c>
      <c r="UWC85" s="70">
        <v>0</v>
      </c>
      <c r="UWD85" s="70">
        <v>0</v>
      </c>
      <c r="UWE85" s="70">
        <v>0</v>
      </c>
      <c r="UWF85" s="70">
        <v>0</v>
      </c>
      <c r="UWG85" s="70">
        <v>0</v>
      </c>
      <c r="UWH85" s="70">
        <v>0</v>
      </c>
      <c r="UWI85" s="70">
        <v>0</v>
      </c>
      <c r="UWJ85" s="70">
        <v>0</v>
      </c>
      <c r="UWK85" s="70">
        <v>0</v>
      </c>
      <c r="UWL85" s="70">
        <v>0</v>
      </c>
      <c r="UWM85" s="70">
        <v>0</v>
      </c>
      <c r="UWN85" s="70">
        <v>0</v>
      </c>
      <c r="UWO85" s="70">
        <v>0</v>
      </c>
      <c r="UWP85" s="70">
        <v>0</v>
      </c>
      <c r="UWQ85" s="70">
        <v>0</v>
      </c>
      <c r="UWR85" s="70">
        <v>0</v>
      </c>
      <c r="UWS85" s="70">
        <v>0</v>
      </c>
      <c r="UWT85" s="70">
        <v>0</v>
      </c>
      <c r="UWU85" s="70">
        <v>0</v>
      </c>
      <c r="UWV85" s="70">
        <v>0</v>
      </c>
      <c r="UWW85" s="70">
        <v>0</v>
      </c>
      <c r="UWX85" s="70">
        <v>0</v>
      </c>
      <c r="UWY85" s="70">
        <v>0</v>
      </c>
      <c r="UWZ85" s="70">
        <v>0</v>
      </c>
      <c r="UXA85" s="70">
        <v>0</v>
      </c>
      <c r="UXB85" s="70">
        <v>0</v>
      </c>
      <c r="UXC85" s="70">
        <v>0</v>
      </c>
      <c r="UXD85" s="70">
        <v>0</v>
      </c>
      <c r="UXE85" s="70">
        <v>0</v>
      </c>
      <c r="UXF85" s="70">
        <v>0</v>
      </c>
      <c r="UXG85" s="70">
        <v>0</v>
      </c>
      <c r="UXH85" s="70">
        <v>0</v>
      </c>
      <c r="UXI85" s="70">
        <v>0</v>
      </c>
      <c r="UXJ85" s="70">
        <v>0</v>
      </c>
      <c r="UXK85" s="70">
        <v>0</v>
      </c>
      <c r="UXL85" s="70">
        <v>0</v>
      </c>
      <c r="UXM85" s="70">
        <v>0</v>
      </c>
      <c r="UXN85" s="70">
        <v>0</v>
      </c>
      <c r="UXO85" s="70">
        <v>0</v>
      </c>
      <c r="UXP85" s="70">
        <v>0</v>
      </c>
      <c r="UXQ85" s="70">
        <v>0</v>
      </c>
      <c r="UXR85" s="70">
        <v>0</v>
      </c>
      <c r="UXS85" s="70">
        <v>0</v>
      </c>
      <c r="UXT85" s="70">
        <v>0</v>
      </c>
      <c r="UXU85" s="70">
        <v>0</v>
      </c>
      <c r="UXV85" s="70">
        <v>0</v>
      </c>
      <c r="UXW85" s="70">
        <v>0</v>
      </c>
      <c r="UXX85" s="70">
        <v>0</v>
      </c>
      <c r="UXY85" s="70">
        <v>0</v>
      </c>
      <c r="UXZ85" s="70">
        <v>0</v>
      </c>
      <c r="UYA85" s="70">
        <v>0</v>
      </c>
      <c r="UYB85" s="70">
        <v>0</v>
      </c>
      <c r="UYC85" s="70">
        <v>0</v>
      </c>
      <c r="UYD85" s="70">
        <v>0</v>
      </c>
      <c r="UYE85" s="70">
        <v>0</v>
      </c>
      <c r="UYF85" s="70">
        <v>0</v>
      </c>
      <c r="UYG85" s="70">
        <v>0</v>
      </c>
      <c r="UYH85" s="70">
        <v>0</v>
      </c>
      <c r="UYI85" s="70">
        <v>0</v>
      </c>
      <c r="UYJ85" s="70">
        <v>0</v>
      </c>
      <c r="UYK85" s="70">
        <v>0</v>
      </c>
      <c r="UYL85" s="70">
        <v>0</v>
      </c>
      <c r="UYM85" s="70">
        <v>0</v>
      </c>
      <c r="UYN85" s="70">
        <v>0</v>
      </c>
      <c r="UYO85" s="70">
        <v>0</v>
      </c>
      <c r="UYP85" s="70">
        <v>0</v>
      </c>
      <c r="UYQ85" s="70">
        <v>0</v>
      </c>
      <c r="UYR85" s="70">
        <v>0</v>
      </c>
      <c r="UYS85" s="70">
        <v>0</v>
      </c>
      <c r="UYT85" s="70">
        <v>0</v>
      </c>
      <c r="UYU85" s="70">
        <v>0</v>
      </c>
      <c r="UYV85" s="70">
        <v>0</v>
      </c>
      <c r="UYW85" s="70">
        <v>0</v>
      </c>
      <c r="UYX85" s="70">
        <v>0</v>
      </c>
      <c r="UYY85" s="70">
        <v>0</v>
      </c>
      <c r="UYZ85" s="70">
        <v>0</v>
      </c>
      <c r="UZA85" s="70">
        <v>0</v>
      </c>
      <c r="UZB85" s="70">
        <v>0</v>
      </c>
      <c r="UZC85" s="70">
        <v>0</v>
      </c>
      <c r="UZD85" s="70">
        <v>0</v>
      </c>
      <c r="UZE85" s="70">
        <v>0</v>
      </c>
      <c r="UZF85" s="70">
        <v>0</v>
      </c>
      <c r="UZG85" s="70">
        <v>0</v>
      </c>
      <c r="UZH85" s="70">
        <v>0</v>
      </c>
      <c r="UZI85" s="70">
        <v>0</v>
      </c>
      <c r="UZJ85" s="70">
        <v>0</v>
      </c>
      <c r="UZK85" s="70">
        <v>0</v>
      </c>
      <c r="UZL85" s="70">
        <v>0</v>
      </c>
      <c r="UZM85" s="70">
        <v>0</v>
      </c>
      <c r="UZN85" s="70">
        <v>0</v>
      </c>
      <c r="UZO85" s="70">
        <v>0</v>
      </c>
      <c r="UZP85" s="70">
        <v>0</v>
      </c>
      <c r="UZQ85" s="70">
        <v>0</v>
      </c>
      <c r="UZR85" s="70">
        <v>0</v>
      </c>
      <c r="UZS85" s="70">
        <v>0</v>
      </c>
      <c r="UZT85" s="70">
        <v>0</v>
      </c>
      <c r="UZU85" s="70">
        <v>0</v>
      </c>
      <c r="UZV85" s="70">
        <v>0</v>
      </c>
      <c r="UZW85" s="70">
        <v>0</v>
      </c>
      <c r="UZX85" s="70">
        <v>0</v>
      </c>
      <c r="UZY85" s="70">
        <v>0</v>
      </c>
      <c r="UZZ85" s="70">
        <v>0</v>
      </c>
      <c r="VAA85" s="70">
        <v>0</v>
      </c>
      <c r="VAB85" s="70">
        <v>0</v>
      </c>
      <c r="VAC85" s="70">
        <v>0</v>
      </c>
      <c r="VAD85" s="70">
        <v>0</v>
      </c>
      <c r="VAE85" s="70">
        <v>0</v>
      </c>
      <c r="VAF85" s="70">
        <v>0</v>
      </c>
      <c r="VAG85" s="70">
        <v>0</v>
      </c>
      <c r="VAH85" s="70">
        <v>0</v>
      </c>
      <c r="VAI85" s="70">
        <v>0</v>
      </c>
      <c r="VAJ85" s="70">
        <v>0</v>
      </c>
      <c r="VAK85" s="70">
        <v>0</v>
      </c>
      <c r="VAL85" s="70">
        <v>0</v>
      </c>
      <c r="VAM85" s="70">
        <v>0</v>
      </c>
      <c r="VAN85" s="70">
        <v>0</v>
      </c>
      <c r="VAO85" s="70">
        <v>0</v>
      </c>
      <c r="VAP85" s="70">
        <v>0</v>
      </c>
      <c r="VAQ85" s="70">
        <v>0</v>
      </c>
      <c r="VAR85" s="70">
        <v>0</v>
      </c>
      <c r="VAS85" s="70">
        <v>0</v>
      </c>
      <c r="VAT85" s="70">
        <v>0</v>
      </c>
      <c r="VAU85" s="70">
        <v>0</v>
      </c>
      <c r="VAV85" s="70">
        <v>0</v>
      </c>
      <c r="VAW85" s="70">
        <v>0</v>
      </c>
      <c r="VAX85" s="70">
        <v>0</v>
      </c>
      <c r="VAY85" s="70">
        <v>0</v>
      </c>
      <c r="VAZ85" s="70">
        <v>0</v>
      </c>
      <c r="VBA85" s="70">
        <v>0</v>
      </c>
      <c r="VBB85" s="70">
        <v>0</v>
      </c>
      <c r="VBC85" s="70">
        <v>0</v>
      </c>
      <c r="VBD85" s="70">
        <v>0</v>
      </c>
      <c r="VBE85" s="70">
        <v>0</v>
      </c>
      <c r="VBF85" s="70">
        <v>0</v>
      </c>
      <c r="VBG85" s="70">
        <v>0</v>
      </c>
      <c r="VBH85" s="70">
        <v>0</v>
      </c>
      <c r="VBI85" s="70">
        <v>0</v>
      </c>
      <c r="VBJ85" s="70">
        <v>0</v>
      </c>
      <c r="VBK85" s="70">
        <v>0</v>
      </c>
      <c r="VBL85" s="70">
        <v>0</v>
      </c>
      <c r="VBM85" s="70">
        <v>0</v>
      </c>
      <c r="VBN85" s="70">
        <v>0</v>
      </c>
      <c r="VBO85" s="70">
        <v>0</v>
      </c>
      <c r="VBP85" s="70">
        <v>0</v>
      </c>
      <c r="VBQ85" s="70">
        <v>0</v>
      </c>
      <c r="VBR85" s="70">
        <v>0</v>
      </c>
      <c r="VBS85" s="70">
        <v>0</v>
      </c>
      <c r="VBT85" s="70">
        <v>0</v>
      </c>
      <c r="VBU85" s="70">
        <v>0</v>
      </c>
      <c r="VBV85" s="70">
        <v>0</v>
      </c>
      <c r="VBW85" s="70">
        <v>0</v>
      </c>
      <c r="VBX85" s="70">
        <v>0</v>
      </c>
      <c r="VBY85" s="70">
        <v>0</v>
      </c>
      <c r="VBZ85" s="70">
        <v>0</v>
      </c>
      <c r="VCA85" s="70">
        <v>0</v>
      </c>
      <c r="VCB85" s="70">
        <v>0</v>
      </c>
      <c r="VCC85" s="70">
        <v>0</v>
      </c>
      <c r="VCD85" s="70">
        <v>0</v>
      </c>
      <c r="VCE85" s="70">
        <v>0</v>
      </c>
      <c r="VCF85" s="70">
        <v>0</v>
      </c>
      <c r="VCG85" s="70">
        <v>0</v>
      </c>
      <c r="VCH85" s="70">
        <v>0</v>
      </c>
      <c r="VCI85" s="70">
        <v>0</v>
      </c>
      <c r="VCJ85" s="70">
        <v>0</v>
      </c>
      <c r="VCK85" s="70">
        <v>0</v>
      </c>
      <c r="VCL85" s="70">
        <v>0</v>
      </c>
      <c r="VCM85" s="70">
        <v>0</v>
      </c>
      <c r="VCN85" s="70">
        <v>0</v>
      </c>
      <c r="VCO85" s="70">
        <v>0</v>
      </c>
      <c r="VCP85" s="70">
        <v>0</v>
      </c>
      <c r="VCQ85" s="70">
        <v>0</v>
      </c>
      <c r="VCR85" s="70">
        <v>0</v>
      </c>
      <c r="VCS85" s="70">
        <v>0</v>
      </c>
      <c r="VCT85" s="70">
        <v>0</v>
      </c>
      <c r="VCU85" s="70">
        <v>0</v>
      </c>
      <c r="VCV85" s="70">
        <v>0</v>
      </c>
      <c r="VCW85" s="70">
        <v>0</v>
      </c>
      <c r="VCX85" s="70">
        <v>0</v>
      </c>
      <c r="VCY85" s="70">
        <v>0</v>
      </c>
      <c r="VCZ85" s="70">
        <v>0</v>
      </c>
      <c r="VDA85" s="70">
        <v>0</v>
      </c>
      <c r="VDB85" s="70">
        <v>0</v>
      </c>
      <c r="VDC85" s="70">
        <v>0</v>
      </c>
      <c r="VDD85" s="70">
        <v>0</v>
      </c>
      <c r="VDE85" s="70">
        <v>0</v>
      </c>
      <c r="VDF85" s="70">
        <v>0</v>
      </c>
      <c r="VDG85" s="70">
        <v>0</v>
      </c>
      <c r="VDH85" s="70">
        <v>0</v>
      </c>
      <c r="VDI85" s="70">
        <v>0</v>
      </c>
      <c r="VDJ85" s="70">
        <v>0</v>
      </c>
      <c r="VDK85" s="70">
        <v>0</v>
      </c>
      <c r="VDL85" s="70">
        <v>0</v>
      </c>
      <c r="VDM85" s="70">
        <v>0</v>
      </c>
      <c r="VDN85" s="70">
        <v>0</v>
      </c>
      <c r="VDO85" s="70">
        <v>0</v>
      </c>
      <c r="VDP85" s="70">
        <v>0</v>
      </c>
      <c r="VDQ85" s="70">
        <v>0</v>
      </c>
      <c r="VDR85" s="70">
        <v>0</v>
      </c>
      <c r="VDS85" s="70">
        <v>0</v>
      </c>
      <c r="VDT85" s="70">
        <v>0</v>
      </c>
      <c r="VDU85" s="70">
        <v>0</v>
      </c>
      <c r="VDV85" s="70">
        <v>0</v>
      </c>
      <c r="VDW85" s="70">
        <v>0</v>
      </c>
      <c r="VDX85" s="70">
        <v>0</v>
      </c>
      <c r="VDY85" s="70">
        <v>0</v>
      </c>
      <c r="VDZ85" s="70">
        <v>0</v>
      </c>
      <c r="VEA85" s="70">
        <v>0</v>
      </c>
      <c r="VEB85" s="70">
        <v>0</v>
      </c>
      <c r="VEC85" s="70">
        <v>0</v>
      </c>
      <c r="VED85" s="70">
        <v>0</v>
      </c>
      <c r="VEE85" s="70">
        <v>0</v>
      </c>
      <c r="VEF85" s="70">
        <v>0</v>
      </c>
      <c r="VEG85" s="70">
        <v>0</v>
      </c>
      <c r="VEH85" s="70">
        <v>0</v>
      </c>
      <c r="VEI85" s="70">
        <v>0</v>
      </c>
      <c r="VEJ85" s="70">
        <v>0</v>
      </c>
      <c r="VEK85" s="70">
        <v>0</v>
      </c>
      <c r="VEL85" s="70">
        <v>0</v>
      </c>
      <c r="VEM85" s="70">
        <v>0</v>
      </c>
      <c r="VEN85" s="70">
        <v>0</v>
      </c>
      <c r="VEO85" s="70">
        <v>0</v>
      </c>
      <c r="VEP85" s="70">
        <v>0</v>
      </c>
      <c r="VEQ85" s="70">
        <v>0</v>
      </c>
      <c r="VER85" s="70">
        <v>0</v>
      </c>
      <c r="VES85" s="70">
        <v>0</v>
      </c>
      <c r="VET85" s="70">
        <v>0</v>
      </c>
      <c r="VEU85" s="70">
        <v>0</v>
      </c>
      <c r="VEV85" s="70">
        <v>0</v>
      </c>
      <c r="VEW85" s="70">
        <v>0</v>
      </c>
      <c r="VEX85" s="70">
        <v>0</v>
      </c>
      <c r="VEY85" s="70">
        <v>0</v>
      </c>
      <c r="VEZ85" s="70">
        <v>0</v>
      </c>
      <c r="VFA85" s="70">
        <v>0</v>
      </c>
      <c r="VFB85" s="70">
        <v>0</v>
      </c>
      <c r="VFC85" s="70">
        <v>0</v>
      </c>
      <c r="VFD85" s="70">
        <v>0</v>
      </c>
      <c r="VFE85" s="70">
        <v>0</v>
      </c>
      <c r="VFF85" s="70">
        <v>0</v>
      </c>
      <c r="VFG85" s="70">
        <v>0</v>
      </c>
      <c r="VFH85" s="70">
        <v>0</v>
      </c>
      <c r="VFI85" s="70">
        <v>0</v>
      </c>
      <c r="VFJ85" s="70">
        <v>0</v>
      </c>
      <c r="VFK85" s="70">
        <v>0</v>
      </c>
      <c r="VFL85" s="70">
        <v>0</v>
      </c>
      <c r="VFM85" s="70">
        <v>0</v>
      </c>
      <c r="VFN85" s="70">
        <v>0</v>
      </c>
      <c r="VFO85" s="70">
        <v>0</v>
      </c>
      <c r="VFP85" s="70">
        <v>0</v>
      </c>
      <c r="VFQ85" s="70">
        <v>0</v>
      </c>
      <c r="VFR85" s="70">
        <v>0</v>
      </c>
      <c r="VFS85" s="70">
        <v>0</v>
      </c>
      <c r="VFT85" s="70">
        <v>0</v>
      </c>
      <c r="VFU85" s="70">
        <v>0</v>
      </c>
      <c r="VFV85" s="70">
        <v>0</v>
      </c>
      <c r="VFW85" s="70">
        <v>0</v>
      </c>
      <c r="VFX85" s="70">
        <v>0</v>
      </c>
      <c r="VFY85" s="70">
        <v>0</v>
      </c>
      <c r="VFZ85" s="70">
        <v>0</v>
      </c>
      <c r="VGA85" s="70">
        <v>0</v>
      </c>
      <c r="VGB85" s="70">
        <v>0</v>
      </c>
      <c r="VGC85" s="70">
        <v>0</v>
      </c>
      <c r="VGD85" s="70">
        <v>0</v>
      </c>
      <c r="VGE85" s="70">
        <v>0</v>
      </c>
      <c r="VGF85" s="70">
        <v>0</v>
      </c>
      <c r="VGG85" s="70">
        <v>0</v>
      </c>
      <c r="VGH85" s="70">
        <v>0</v>
      </c>
      <c r="VGI85" s="70">
        <v>0</v>
      </c>
      <c r="VGJ85" s="70">
        <v>0</v>
      </c>
      <c r="VGK85" s="70">
        <v>0</v>
      </c>
      <c r="VGL85" s="70">
        <v>0</v>
      </c>
      <c r="VGM85" s="70">
        <v>0</v>
      </c>
      <c r="VGN85" s="70">
        <v>0</v>
      </c>
      <c r="VGO85" s="70">
        <v>0</v>
      </c>
      <c r="VGP85" s="70">
        <v>0</v>
      </c>
      <c r="VGQ85" s="70">
        <v>0</v>
      </c>
      <c r="VGR85" s="70">
        <v>0</v>
      </c>
      <c r="VGS85" s="70">
        <v>0</v>
      </c>
      <c r="VGT85" s="70">
        <v>0</v>
      </c>
      <c r="VGU85" s="70">
        <v>0</v>
      </c>
      <c r="VGV85" s="70">
        <v>0</v>
      </c>
      <c r="VGW85" s="70">
        <v>0</v>
      </c>
      <c r="VGX85" s="70">
        <v>0</v>
      </c>
      <c r="VGY85" s="70">
        <v>0</v>
      </c>
      <c r="VGZ85" s="70">
        <v>0</v>
      </c>
      <c r="VHA85" s="70">
        <v>0</v>
      </c>
      <c r="VHB85" s="70">
        <v>0</v>
      </c>
      <c r="VHC85" s="70">
        <v>0</v>
      </c>
      <c r="VHD85" s="70">
        <v>0</v>
      </c>
      <c r="VHE85" s="70">
        <v>0</v>
      </c>
      <c r="VHF85" s="70">
        <v>0</v>
      </c>
      <c r="VHG85" s="70">
        <v>0</v>
      </c>
      <c r="VHH85" s="70">
        <v>0</v>
      </c>
      <c r="VHI85" s="70">
        <v>0</v>
      </c>
      <c r="VHJ85" s="70">
        <v>0</v>
      </c>
      <c r="VHK85" s="70">
        <v>0</v>
      </c>
      <c r="VHL85" s="70">
        <v>0</v>
      </c>
      <c r="VHM85" s="70">
        <v>0</v>
      </c>
      <c r="VHN85" s="70">
        <v>0</v>
      </c>
      <c r="VHO85" s="70">
        <v>0</v>
      </c>
      <c r="VHP85" s="70">
        <v>0</v>
      </c>
      <c r="VHQ85" s="70">
        <v>0</v>
      </c>
      <c r="VHR85" s="70">
        <v>0</v>
      </c>
      <c r="VHS85" s="70">
        <v>0</v>
      </c>
      <c r="VHT85" s="70">
        <v>0</v>
      </c>
      <c r="VHU85" s="70">
        <v>0</v>
      </c>
      <c r="VHV85" s="70">
        <v>0</v>
      </c>
      <c r="VHW85" s="70">
        <v>0</v>
      </c>
      <c r="VHX85" s="70">
        <v>0</v>
      </c>
      <c r="VHY85" s="70">
        <v>0</v>
      </c>
      <c r="VHZ85" s="70">
        <v>0</v>
      </c>
      <c r="VIA85" s="70">
        <v>0</v>
      </c>
      <c r="VIB85" s="70">
        <v>0</v>
      </c>
      <c r="VIC85" s="70">
        <v>0</v>
      </c>
      <c r="VID85" s="70">
        <v>0</v>
      </c>
      <c r="VIE85" s="70">
        <v>0</v>
      </c>
      <c r="VIF85" s="70">
        <v>0</v>
      </c>
      <c r="VIG85" s="70">
        <v>0</v>
      </c>
      <c r="VIH85" s="70">
        <v>0</v>
      </c>
      <c r="VII85" s="70">
        <v>0</v>
      </c>
      <c r="VIJ85" s="70">
        <v>0</v>
      </c>
      <c r="VIK85" s="70">
        <v>0</v>
      </c>
      <c r="VIL85" s="70">
        <v>0</v>
      </c>
      <c r="VIM85" s="70">
        <v>0</v>
      </c>
      <c r="VIN85" s="70">
        <v>0</v>
      </c>
      <c r="VIO85" s="70">
        <v>0</v>
      </c>
      <c r="VIP85" s="70">
        <v>0</v>
      </c>
      <c r="VIQ85" s="70">
        <v>0</v>
      </c>
      <c r="VIR85" s="70">
        <v>0</v>
      </c>
      <c r="VIS85" s="70">
        <v>0</v>
      </c>
      <c r="VIT85" s="70">
        <v>0</v>
      </c>
      <c r="VIU85" s="70">
        <v>0</v>
      </c>
      <c r="VIV85" s="70">
        <v>0</v>
      </c>
      <c r="VIW85" s="70">
        <v>0</v>
      </c>
      <c r="VIX85" s="70">
        <v>0</v>
      </c>
      <c r="VIY85" s="70">
        <v>0</v>
      </c>
      <c r="VIZ85" s="70">
        <v>0</v>
      </c>
      <c r="VJA85" s="70">
        <v>0</v>
      </c>
      <c r="VJB85" s="70">
        <v>0</v>
      </c>
      <c r="VJC85" s="70">
        <v>0</v>
      </c>
      <c r="VJD85" s="70">
        <v>0</v>
      </c>
      <c r="VJE85" s="70">
        <v>0</v>
      </c>
      <c r="VJF85" s="70">
        <v>0</v>
      </c>
      <c r="VJG85" s="70">
        <v>0</v>
      </c>
      <c r="VJH85" s="70">
        <v>0</v>
      </c>
      <c r="VJI85" s="70">
        <v>0</v>
      </c>
      <c r="VJJ85" s="70">
        <v>0</v>
      </c>
      <c r="VJK85" s="70">
        <v>0</v>
      </c>
      <c r="VJL85" s="70">
        <v>0</v>
      </c>
      <c r="VJM85" s="70">
        <v>0</v>
      </c>
      <c r="VJN85" s="70">
        <v>0</v>
      </c>
      <c r="VJO85" s="70">
        <v>0</v>
      </c>
      <c r="VJP85" s="70">
        <v>0</v>
      </c>
      <c r="VJQ85" s="70">
        <v>0</v>
      </c>
      <c r="VJR85" s="70">
        <v>0</v>
      </c>
      <c r="VJS85" s="70">
        <v>0</v>
      </c>
      <c r="VJT85" s="70">
        <v>0</v>
      </c>
      <c r="VJU85" s="70">
        <v>0</v>
      </c>
      <c r="VJV85" s="70">
        <v>0</v>
      </c>
      <c r="VJW85" s="70">
        <v>0</v>
      </c>
      <c r="VJX85" s="70">
        <v>0</v>
      </c>
      <c r="VJY85" s="70">
        <v>0</v>
      </c>
      <c r="VJZ85" s="70">
        <v>0</v>
      </c>
      <c r="VKA85" s="70">
        <v>0</v>
      </c>
      <c r="VKB85" s="70">
        <v>0</v>
      </c>
      <c r="VKC85" s="70">
        <v>0</v>
      </c>
      <c r="VKD85" s="70">
        <v>0</v>
      </c>
      <c r="VKE85" s="70">
        <v>0</v>
      </c>
      <c r="VKF85" s="70">
        <v>0</v>
      </c>
      <c r="VKG85" s="70">
        <v>0</v>
      </c>
      <c r="VKH85" s="70">
        <v>0</v>
      </c>
      <c r="VKI85" s="70">
        <v>0</v>
      </c>
      <c r="VKJ85" s="70">
        <v>0</v>
      </c>
      <c r="VKK85" s="70">
        <v>0</v>
      </c>
      <c r="VKL85" s="70">
        <v>0</v>
      </c>
      <c r="VKM85" s="70">
        <v>0</v>
      </c>
      <c r="VKN85" s="70">
        <v>0</v>
      </c>
      <c r="VKO85" s="70">
        <v>0</v>
      </c>
      <c r="VKP85" s="70">
        <v>0</v>
      </c>
      <c r="VKQ85" s="70">
        <v>0</v>
      </c>
      <c r="VKR85" s="70">
        <v>0</v>
      </c>
      <c r="VKS85" s="70">
        <v>0</v>
      </c>
      <c r="VKT85" s="70">
        <v>0</v>
      </c>
      <c r="VKU85" s="70">
        <v>0</v>
      </c>
      <c r="VKV85" s="70">
        <v>0</v>
      </c>
      <c r="VKW85" s="70">
        <v>0</v>
      </c>
      <c r="VKX85" s="70">
        <v>0</v>
      </c>
      <c r="VKY85" s="70">
        <v>0</v>
      </c>
      <c r="VKZ85" s="70">
        <v>0</v>
      </c>
      <c r="VLA85" s="70">
        <v>0</v>
      </c>
      <c r="VLB85" s="70">
        <v>0</v>
      </c>
      <c r="VLC85" s="70">
        <v>0</v>
      </c>
      <c r="VLD85" s="70">
        <v>0</v>
      </c>
      <c r="VLE85" s="70">
        <v>0</v>
      </c>
      <c r="VLF85" s="70">
        <v>0</v>
      </c>
      <c r="VLG85" s="70">
        <v>0</v>
      </c>
      <c r="VLH85" s="70">
        <v>0</v>
      </c>
      <c r="VLI85" s="70">
        <v>0</v>
      </c>
      <c r="VLJ85" s="70">
        <v>0</v>
      </c>
      <c r="VLK85" s="70">
        <v>0</v>
      </c>
      <c r="VLL85" s="70">
        <v>0</v>
      </c>
      <c r="VLM85" s="70">
        <v>0</v>
      </c>
      <c r="VLN85" s="70">
        <v>0</v>
      </c>
      <c r="VLO85" s="70">
        <v>0</v>
      </c>
      <c r="VLP85" s="70">
        <v>0</v>
      </c>
      <c r="VLQ85" s="70">
        <v>0</v>
      </c>
      <c r="VLR85" s="70">
        <v>0</v>
      </c>
      <c r="VLS85" s="70">
        <v>0</v>
      </c>
      <c r="VLT85" s="70">
        <v>0</v>
      </c>
      <c r="VLU85" s="70">
        <v>0</v>
      </c>
      <c r="VLV85" s="70">
        <v>0</v>
      </c>
      <c r="VLW85" s="70">
        <v>0</v>
      </c>
      <c r="VLX85" s="70">
        <v>0</v>
      </c>
      <c r="VLY85" s="70">
        <v>0</v>
      </c>
      <c r="VLZ85" s="70">
        <v>0</v>
      </c>
      <c r="VMA85" s="70">
        <v>0</v>
      </c>
      <c r="VMB85" s="70">
        <v>0</v>
      </c>
      <c r="VMC85" s="70">
        <v>0</v>
      </c>
      <c r="VMD85" s="70">
        <v>0</v>
      </c>
      <c r="VME85" s="70">
        <v>0</v>
      </c>
      <c r="VMF85" s="70">
        <v>0</v>
      </c>
      <c r="VMG85" s="70">
        <v>0</v>
      </c>
      <c r="VMH85" s="70">
        <v>0</v>
      </c>
      <c r="VMI85" s="70">
        <v>0</v>
      </c>
      <c r="VMJ85" s="70">
        <v>0</v>
      </c>
      <c r="VMK85" s="70">
        <v>0</v>
      </c>
      <c r="VML85" s="70">
        <v>0</v>
      </c>
      <c r="VMM85" s="70">
        <v>0</v>
      </c>
      <c r="VMN85" s="70">
        <v>0</v>
      </c>
      <c r="VMO85" s="70">
        <v>0</v>
      </c>
      <c r="VMP85" s="70">
        <v>0</v>
      </c>
      <c r="VMQ85" s="70">
        <v>0</v>
      </c>
      <c r="VMR85" s="70">
        <v>0</v>
      </c>
      <c r="VMS85" s="70">
        <v>0</v>
      </c>
      <c r="VMT85" s="70">
        <v>0</v>
      </c>
      <c r="VMU85" s="70">
        <v>0</v>
      </c>
      <c r="VMV85" s="70">
        <v>0</v>
      </c>
      <c r="VMW85" s="70">
        <v>0</v>
      </c>
      <c r="VMX85" s="70">
        <v>0</v>
      </c>
      <c r="VMY85" s="70">
        <v>0</v>
      </c>
      <c r="VMZ85" s="70">
        <v>0</v>
      </c>
      <c r="VNA85" s="70">
        <v>0</v>
      </c>
      <c r="VNB85" s="70">
        <v>0</v>
      </c>
      <c r="VNC85" s="70">
        <v>0</v>
      </c>
      <c r="VND85" s="70">
        <v>0</v>
      </c>
      <c r="VNE85" s="70">
        <v>0</v>
      </c>
      <c r="VNF85" s="70">
        <v>0</v>
      </c>
      <c r="VNG85" s="70">
        <v>0</v>
      </c>
      <c r="VNH85" s="70">
        <v>0</v>
      </c>
      <c r="VNI85" s="70">
        <v>0</v>
      </c>
      <c r="VNJ85" s="70">
        <v>0</v>
      </c>
      <c r="VNK85" s="70">
        <v>0</v>
      </c>
      <c r="VNL85" s="70">
        <v>0</v>
      </c>
      <c r="VNM85" s="70">
        <v>0</v>
      </c>
      <c r="VNN85" s="70">
        <v>0</v>
      </c>
      <c r="VNO85" s="70">
        <v>0</v>
      </c>
      <c r="VNP85" s="70">
        <v>0</v>
      </c>
      <c r="VNQ85" s="70">
        <v>0</v>
      </c>
      <c r="VNR85" s="70">
        <v>0</v>
      </c>
      <c r="VNS85" s="70">
        <v>0</v>
      </c>
      <c r="VNT85" s="70">
        <v>0</v>
      </c>
      <c r="VNU85" s="70">
        <v>0</v>
      </c>
      <c r="VNV85" s="70">
        <v>0</v>
      </c>
      <c r="VNW85" s="70">
        <v>0</v>
      </c>
      <c r="VNX85" s="70">
        <v>0</v>
      </c>
      <c r="VNY85" s="70">
        <v>0</v>
      </c>
      <c r="VNZ85" s="70">
        <v>0</v>
      </c>
      <c r="VOA85" s="70">
        <v>0</v>
      </c>
      <c r="VOB85" s="70">
        <v>0</v>
      </c>
      <c r="VOC85" s="70">
        <v>0</v>
      </c>
      <c r="VOD85" s="70">
        <v>0</v>
      </c>
      <c r="VOE85" s="70">
        <v>0</v>
      </c>
      <c r="VOF85" s="70">
        <v>0</v>
      </c>
      <c r="VOG85" s="70">
        <v>0</v>
      </c>
      <c r="VOH85" s="70">
        <v>0</v>
      </c>
      <c r="VOI85" s="70">
        <v>0</v>
      </c>
      <c r="VOJ85" s="70">
        <v>0</v>
      </c>
      <c r="VOK85" s="70">
        <v>0</v>
      </c>
      <c r="VOL85" s="70">
        <v>0</v>
      </c>
      <c r="VOM85" s="70">
        <v>0</v>
      </c>
      <c r="VON85" s="70">
        <v>0</v>
      </c>
      <c r="VOO85" s="70">
        <v>0</v>
      </c>
      <c r="VOP85" s="70">
        <v>0</v>
      </c>
      <c r="VOQ85" s="70">
        <v>0</v>
      </c>
      <c r="VOR85" s="70">
        <v>0</v>
      </c>
      <c r="VOS85" s="70">
        <v>0</v>
      </c>
      <c r="VOT85" s="70">
        <v>0</v>
      </c>
      <c r="VOU85" s="70">
        <v>0</v>
      </c>
      <c r="VOV85" s="70">
        <v>0</v>
      </c>
      <c r="VOW85" s="70">
        <v>0</v>
      </c>
      <c r="VOX85" s="70">
        <v>0</v>
      </c>
      <c r="VOY85" s="70">
        <v>0</v>
      </c>
      <c r="VOZ85" s="70">
        <v>0</v>
      </c>
      <c r="VPA85" s="70">
        <v>0</v>
      </c>
      <c r="VPB85" s="70">
        <v>0</v>
      </c>
      <c r="VPC85" s="70">
        <v>0</v>
      </c>
      <c r="VPD85" s="70">
        <v>0</v>
      </c>
      <c r="VPE85" s="70">
        <v>0</v>
      </c>
      <c r="VPF85" s="70">
        <v>0</v>
      </c>
      <c r="VPG85" s="70">
        <v>0</v>
      </c>
      <c r="VPH85" s="70">
        <v>0</v>
      </c>
      <c r="VPI85" s="70">
        <v>0</v>
      </c>
      <c r="VPJ85" s="70">
        <v>0</v>
      </c>
      <c r="VPK85" s="70">
        <v>0</v>
      </c>
      <c r="VPL85" s="70">
        <v>0</v>
      </c>
      <c r="VPM85" s="70">
        <v>0</v>
      </c>
      <c r="VPN85" s="70">
        <v>0</v>
      </c>
      <c r="VPO85" s="70">
        <v>0</v>
      </c>
      <c r="VPP85" s="70">
        <v>0</v>
      </c>
      <c r="VPQ85" s="70">
        <v>0</v>
      </c>
      <c r="VPR85" s="70">
        <v>0</v>
      </c>
      <c r="VPS85" s="70">
        <v>0</v>
      </c>
      <c r="VPT85" s="70">
        <v>0</v>
      </c>
      <c r="VPU85" s="70">
        <v>0</v>
      </c>
      <c r="VPV85" s="70">
        <v>0</v>
      </c>
      <c r="VPW85" s="70">
        <v>0</v>
      </c>
      <c r="VPX85" s="70">
        <v>0</v>
      </c>
      <c r="VPY85" s="70">
        <v>0</v>
      </c>
      <c r="VPZ85" s="70">
        <v>0</v>
      </c>
      <c r="VQA85" s="70">
        <v>0</v>
      </c>
      <c r="VQB85" s="70">
        <v>0</v>
      </c>
      <c r="VQC85" s="70">
        <v>0</v>
      </c>
      <c r="VQD85" s="70">
        <v>0</v>
      </c>
      <c r="VQE85" s="70">
        <v>0</v>
      </c>
      <c r="VQF85" s="70">
        <v>0</v>
      </c>
      <c r="VQG85" s="70">
        <v>0</v>
      </c>
      <c r="VQH85" s="70">
        <v>0</v>
      </c>
      <c r="VQI85" s="70">
        <v>0</v>
      </c>
      <c r="VQJ85" s="70">
        <v>0</v>
      </c>
      <c r="VQK85" s="70">
        <v>0</v>
      </c>
      <c r="VQL85" s="70">
        <v>0</v>
      </c>
      <c r="VQM85" s="70">
        <v>0</v>
      </c>
      <c r="VQN85" s="70">
        <v>0</v>
      </c>
      <c r="VQO85" s="70">
        <v>0</v>
      </c>
      <c r="VQP85" s="70">
        <v>0</v>
      </c>
      <c r="VQQ85" s="70">
        <v>0</v>
      </c>
      <c r="VQR85" s="70">
        <v>0</v>
      </c>
      <c r="VQS85" s="70">
        <v>0</v>
      </c>
      <c r="VQT85" s="70">
        <v>0</v>
      </c>
      <c r="VQU85" s="70">
        <v>0</v>
      </c>
      <c r="VQV85" s="70">
        <v>0</v>
      </c>
      <c r="VQW85" s="70">
        <v>0</v>
      </c>
      <c r="VQX85" s="70">
        <v>0</v>
      </c>
      <c r="VQY85" s="70">
        <v>0</v>
      </c>
      <c r="VQZ85" s="70">
        <v>0</v>
      </c>
      <c r="VRA85" s="70">
        <v>0</v>
      </c>
      <c r="VRB85" s="70">
        <v>0</v>
      </c>
      <c r="VRC85" s="70">
        <v>0</v>
      </c>
      <c r="VRD85" s="70">
        <v>0</v>
      </c>
      <c r="VRE85" s="70">
        <v>0</v>
      </c>
      <c r="VRF85" s="70">
        <v>0</v>
      </c>
      <c r="VRG85" s="70">
        <v>0</v>
      </c>
      <c r="VRH85" s="70">
        <v>0</v>
      </c>
      <c r="VRI85" s="70">
        <v>0</v>
      </c>
      <c r="VRJ85" s="70">
        <v>0</v>
      </c>
      <c r="VRK85" s="70">
        <v>0</v>
      </c>
      <c r="VRL85" s="70">
        <v>0</v>
      </c>
      <c r="VRM85" s="70">
        <v>0</v>
      </c>
      <c r="VRN85" s="70">
        <v>0</v>
      </c>
      <c r="VRO85" s="70">
        <v>0</v>
      </c>
      <c r="VRP85" s="70">
        <v>0</v>
      </c>
      <c r="VRQ85" s="70">
        <v>0</v>
      </c>
      <c r="VRR85" s="70">
        <v>0</v>
      </c>
      <c r="VRS85" s="70">
        <v>0</v>
      </c>
      <c r="VRT85" s="70">
        <v>0</v>
      </c>
      <c r="VRU85" s="70">
        <v>0</v>
      </c>
      <c r="VRV85" s="70">
        <v>0</v>
      </c>
      <c r="VRW85" s="70">
        <v>0</v>
      </c>
      <c r="VRX85" s="70">
        <v>0</v>
      </c>
      <c r="VRY85" s="70">
        <v>0</v>
      </c>
      <c r="VRZ85" s="70">
        <v>0</v>
      </c>
      <c r="VSA85" s="70">
        <v>0</v>
      </c>
      <c r="VSB85" s="70">
        <v>0</v>
      </c>
      <c r="VSC85" s="70">
        <v>0</v>
      </c>
      <c r="VSD85" s="70">
        <v>0</v>
      </c>
      <c r="VSE85" s="70">
        <v>0</v>
      </c>
      <c r="VSF85" s="70">
        <v>0</v>
      </c>
      <c r="VSG85" s="70">
        <v>0</v>
      </c>
      <c r="VSH85" s="70">
        <v>0</v>
      </c>
      <c r="VSI85" s="70">
        <v>0</v>
      </c>
      <c r="VSJ85" s="70">
        <v>0</v>
      </c>
      <c r="VSK85" s="70">
        <v>0</v>
      </c>
      <c r="VSL85" s="70">
        <v>0</v>
      </c>
      <c r="VSM85" s="70">
        <v>0</v>
      </c>
      <c r="VSN85" s="70">
        <v>0</v>
      </c>
      <c r="VSO85" s="70">
        <v>0</v>
      </c>
      <c r="VSP85" s="70">
        <v>0</v>
      </c>
      <c r="VSQ85" s="70">
        <v>0</v>
      </c>
      <c r="VSR85" s="70">
        <v>0</v>
      </c>
      <c r="VSS85" s="70">
        <v>0</v>
      </c>
      <c r="VST85" s="70">
        <v>0</v>
      </c>
      <c r="VSU85" s="70">
        <v>0</v>
      </c>
      <c r="VSV85" s="70">
        <v>0</v>
      </c>
      <c r="VSW85" s="70">
        <v>0</v>
      </c>
      <c r="VSX85" s="70">
        <v>0</v>
      </c>
      <c r="VSY85" s="70">
        <v>0</v>
      </c>
      <c r="VSZ85" s="70">
        <v>0</v>
      </c>
      <c r="VTA85" s="70">
        <v>0</v>
      </c>
      <c r="VTB85" s="70">
        <v>0</v>
      </c>
      <c r="VTC85" s="70">
        <v>0</v>
      </c>
      <c r="VTD85" s="70">
        <v>0</v>
      </c>
      <c r="VTE85" s="70">
        <v>0</v>
      </c>
      <c r="VTF85" s="70">
        <v>0</v>
      </c>
      <c r="VTG85" s="70">
        <v>0</v>
      </c>
      <c r="VTH85" s="70">
        <v>0</v>
      </c>
      <c r="VTI85" s="70">
        <v>0</v>
      </c>
      <c r="VTJ85" s="70">
        <v>0</v>
      </c>
      <c r="VTK85" s="70">
        <v>0</v>
      </c>
      <c r="VTL85" s="70">
        <v>0</v>
      </c>
      <c r="VTM85" s="70">
        <v>0</v>
      </c>
      <c r="VTN85" s="70">
        <v>0</v>
      </c>
      <c r="VTO85" s="70">
        <v>0</v>
      </c>
      <c r="VTP85" s="70">
        <v>0</v>
      </c>
      <c r="VTQ85" s="70">
        <v>0</v>
      </c>
      <c r="VTR85" s="70">
        <v>0</v>
      </c>
      <c r="VTS85" s="70">
        <v>0</v>
      </c>
      <c r="VTT85" s="70">
        <v>0</v>
      </c>
      <c r="VTU85" s="70">
        <v>0</v>
      </c>
      <c r="VTV85" s="70">
        <v>0</v>
      </c>
      <c r="VTW85" s="70">
        <v>0</v>
      </c>
      <c r="VTX85" s="70">
        <v>0</v>
      </c>
      <c r="VTY85" s="70">
        <v>0</v>
      </c>
      <c r="VTZ85" s="70">
        <v>0</v>
      </c>
      <c r="VUA85" s="70">
        <v>0</v>
      </c>
      <c r="VUB85" s="70">
        <v>0</v>
      </c>
      <c r="VUC85" s="70">
        <v>0</v>
      </c>
      <c r="VUD85" s="70">
        <v>0</v>
      </c>
      <c r="VUE85" s="70">
        <v>0</v>
      </c>
      <c r="VUF85" s="70">
        <v>0</v>
      </c>
      <c r="VUG85" s="70">
        <v>0</v>
      </c>
      <c r="VUH85" s="70">
        <v>0</v>
      </c>
      <c r="VUI85" s="70">
        <v>0</v>
      </c>
      <c r="VUJ85" s="70">
        <v>0</v>
      </c>
      <c r="VUK85" s="70">
        <v>0</v>
      </c>
      <c r="VUL85" s="70">
        <v>0</v>
      </c>
      <c r="VUM85" s="70">
        <v>0</v>
      </c>
      <c r="VUN85" s="70">
        <v>0</v>
      </c>
      <c r="VUO85" s="70">
        <v>0</v>
      </c>
      <c r="VUP85" s="70">
        <v>0</v>
      </c>
      <c r="VUQ85" s="70">
        <v>0</v>
      </c>
      <c r="VUR85" s="70">
        <v>0</v>
      </c>
      <c r="VUS85" s="70">
        <v>0</v>
      </c>
      <c r="VUT85" s="70">
        <v>0</v>
      </c>
      <c r="VUU85" s="70">
        <v>0</v>
      </c>
      <c r="VUV85" s="70">
        <v>0</v>
      </c>
      <c r="VUW85" s="70">
        <v>0</v>
      </c>
      <c r="VUX85" s="70">
        <v>0</v>
      </c>
      <c r="VUY85" s="70">
        <v>0</v>
      </c>
      <c r="VUZ85" s="70">
        <v>0</v>
      </c>
      <c r="VVA85" s="70">
        <v>0</v>
      </c>
      <c r="VVB85" s="70">
        <v>0</v>
      </c>
      <c r="VVC85" s="70">
        <v>0</v>
      </c>
      <c r="VVD85" s="70">
        <v>0</v>
      </c>
      <c r="VVE85" s="70">
        <v>0</v>
      </c>
      <c r="VVF85" s="70">
        <v>0</v>
      </c>
      <c r="VVG85" s="70">
        <v>0</v>
      </c>
      <c r="VVH85" s="70">
        <v>0</v>
      </c>
      <c r="VVI85" s="70">
        <v>0</v>
      </c>
      <c r="VVJ85" s="70">
        <v>0</v>
      </c>
      <c r="VVK85" s="70">
        <v>0</v>
      </c>
      <c r="VVL85" s="70">
        <v>0</v>
      </c>
      <c r="VVM85" s="70">
        <v>0</v>
      </c>
      <c r="VVN85" s="70">
        <v>0</v>
      </c>
      <c r="VVO85" s="70">
        <v>0</v>
      </c>
      <c r="VVP85" s="70">
        <v>0</v>
      </c>
      <c r="VVQ85" s="70">
        <v>0</v>
      </c>
      <c r="VVR85" s="70">
        <v>0</v>
      </c>
      <c r="VVS85" s="70">
        <v>0</v>
      </c>
      <c r="VVT85" s="70">
        <v>0</v>
      </c>
      <c r="VVU85" s="70">
        <v>0</v>
      </c>
      <c r="VVV85" s="70">
        <v>0</v>
      </c>
      <c r="VVW85" s="70">
        <v>0</v>
      </c>
      <c r="VVX85" s="70">
        <v>0</v>
      </c>
      <c r="VVY85" s="70">
        <v>0</v>
      </c>
      <c r="VVZ85" s="70">
        <v>0</v>
      </c>
      <c r="VWA85" s="70">
        <v>0</v>
      </c>
      <c r="VWB85" s="70">
        <v>0</v>
      </c>
      <c r="VWC85" s="70">
        <v>0</v>
      </c>
      <c r="VWD85" s="70">
        <v>0</v>
      </c>
      <c r="VWE85" s="70">
        <v>0</v>
      </c>
      <c r="VWF85" s="70">
        <v>0</v>
      </c>
      <c r="VWG85" s="70">
        <v>0</v>
      </c>
      <c r="VWH85" s="70">
        <v>0</v>
      </c>
      <c r="VWI85" s="70">
        <v>0</v>
      </c>
      <c r="VWJ85" s="70">
        <v>0</v>
      </c>
      <c r="VWK85" s="70">
        <v>0</v>
      </c>
      <c r="VWL85" s="70">
        <v>0</v>
      </c>
      <c r="VWM85" s="70">
        <v>0</v>
      </c>
      <c r="VWN85" s="70">
        <v>0</v>
      </c>
      <c r="VWO85" s="70">
        <v>0</v>
      </c>
      <c r="VWP85" s="70">
        <v>0</v>
      </c>
      <c r="VWQ85" s="70">
        <v>0</v>
      </c>
      <c r="VWR85" s="70">
        <v>0</v>
      </c>
      <c r="VWS85" s="70">
        <v>0</v>
      </c>
      <c r="VWT85" s="70">
        <v>0</v>
      </c>
      <c r="VWU85" s="70">
        <v>0</v>
      </c>
      <c r="VWV85" s="70">
        <v>0</v>
      </c>
      <c r="VWW85" s="70">
        <v>0</v>
      </c>
      <c r="VWX85" s="70">
        <v>0</v>
      </c>
      <c r="VWY85" s="70">
        <v>0</v>
      </c>
      <c r="VWZ85" s="70">
        <v>0</v>
      </c>
      <c r="VXA85" s="70">
        <v>0</v>
      </c>
      <c r="VXB85" s="70">
        <v>0</v>
      </c>
      <c r="VXC85" s="70">
        <v>0</v>
      </c>
      <c r="VXD85" s="70">
        <v>0</v>
      </c>
      <c r="VXE85" s="70">
        <v>0</v>
      </c>
      <c r="VXF85" s="70">
        <v>0</v>
      </c>
      <c r="VXG85" s="70">
        <v>0</v>
      </c>
      <c r="VXH85" s="70">
        <v>0</v>
      </c>
      <c r="VXI85" s="70">
        <v>0</v>
      </c>
      <c r="VXJ85" s="70">
        <v>0</v>
      </c>
      <c r="VXK85" s="70">
        <v>0</v>
      </c>
      <c r="VXL85" s="70">
        <v>0</v>
      </c>
      <c r="VXM85" s="70">
        <v>0</v>
      </c>
      <c r="VXN85" s="70">
        <v>0</v>
      </c>
      <c r="VXO85" s="70">
        <v>0</v>
      </c>
      <c r="VXP85" s="70">
        <v>0</v>
      </c>
      <c r="VXQ85" s="70">
        <v>0</v>
      </c>
      <c r="VXR85" s="70">
        <v>0</v>
      </c>
      <c r="VXS85" s="70">
        <v>0</v>
      </c>
      <c r="VXT85" s="70">
        <v>0</v>
      </c>
      <c r="VXU85" s="70">
        <v>0</v>
      </c>
      <c r="VXV85" s="70">
        <v>0</v>
      </c>
      <c r="VXW85" s="70">
        <v>0</v>
      </c>
      <c r="VXX85" s="70">
        <v>0</v>
      </c>
      <c r="VXY85" s="70">
        <v>0</v>
      </c>
      <c r="VXZ85" s="70">
        <v>0</v>
      </c>
      <c r="VYA85" s="70">
        <v>0</v>
      </c>
      <c r="VYB85" s="70">
        <v>0</v>
      </c>
      <c r="VYC85" s="70">
        <v>0</v>
      </c>
      <c r="VYD85" s="70">
        <v>0</v>
      </c>
      <c r="VYE85" s="70">
        <v>0</v>
      </c>
      <c r="VYF85" s="70">
        <v>0</v>
      </c>
      <c r="VYG85" s="70">
        <v>0</v>
      </c>
      <c r="VYH85" s="70">
        <v>0</v>
      </c>
      <c r="VYI85" s="70">
        <v>0</v>
      </c>
      <c r="VYJ85" s="70">
        <v>0</v>
      </c>
      <c r="VYK85" s="70">
        <v>0</v>
      </c>
      <c r="VYL85" s="70">
        <v>0</v>
      </c>
      <c r="VYM85" s="70">
        <v>0</v>
      </c>
      <c r="VYN85" s="70">
        <v>0</v>
      </c>
      <c r="VYO85" s="70">
        <v>0</v>
      </c>
      <c r="VYP85" s="70">
        <v>0</v>
      </c>
      <c r="VYQ85" s="70">
        <v>0</v>
      </c>
      <c r="VYR85" s="70">
        <v>0</v>
      </c>
      <c r="VYS85" s="70">
        <v>0</v>
      </c>
      <c r="VYT85" s="70">
        <v>0</v>
      </c>
      <c r="VYU85" s="70">
        <v>0</v>
      </c>
      <c r="VYV85" s="70">
        <v>0</v>
      </c>
      <c r="VYW85" s="70">
        <v>0</v>
      </c>
      <c r="VYX85" s="70">
        <v>0</v>
      </c>
      <c r="VYY85" s="70">
        <v>0</v>
      </c>
      <c r="VYZ85" s="70">
        <v>0</v>
      </c>
      <c r="VZA85" s="70">
        <v>0</v>
      </c>
      <c r="VZB85" s="70">
        <v>0</v>
      </c>
      <c r="VZC85" s="70">
        <v>0</v>
      </c>
      <c r="VZD85" s="70">
        <v>0</v>
      </c>
      <c r="VZE85" s="70">
        <v>0</v>
      </c>
      <c r="VZF85" s="70">
        <v>0</v>
      </c>
      <c r="VZG85" s="70">
        <v>0</v>
      </c>
      <c r="VZH85" s="70">
        <v>0</v>
      </c>
      <c r="VZI85" s="70">
        <v>0</v>
      </c>
      <c r="VZJ85" s="70">
        <v>0</v>
      </c>
      <c r="VZK85" s="70">
        <v>0</v>
      </c>
      <c r="VZL85" s="70">
        <v>0</v>
      </c>
      <c r="VZM85" s="70">
        <v>0</v>
      </c>
      <c r="VZN85" s="70">
        <v>0</v>
      </c>
      <c r="VZO85" s="70">
        <v>0</v>
      </c>
      <c r="VZP85" s="70">
        <v>0</v>
      </c>
      <c r="VZQ85" s="70">
        <v>0</v>
      </c>
      <c r="VZR85" s="70">
        <v>0</v>
      </c>
      <c r="VZS85" s="70">
        <v>0</v>
      </c>
      <c r="VZT85" s="70">
        <v>0</v>
      </c>
      <c r="VZU85" s="70">
        <v>0</v>
      </c>
      <c r="VZV85" s="70">
        <v>0</v>
      </c>
      <c r="VZW85" s="70">
        <v>0</v>
      </c>
      <c r="VZX85" s="70">
        <v>0</v>
      </c>
      <c r="VZY85" s="70">
        <v>0</v>
      </c>
      <c r="VZZ85" s="70">
        <v>0</v>
      </c>
      <c r="WAA85" s="70">
        <v>0</v>
      </c>
      <c r="WAB85" s="70">
        <v>0</v>
      </c>
      <c r="WAC85" s="70">
        <v>0</v>
      </c>
      <c r="WAD85" s="70">
        <v>0</v>
      </c>
      <c r="WAE85" s="70">
        <v>0</v>
      </c>
      <c r="WAF85" s="70">
        <v>0</v>
      </c>
      <c r="WAG85" s="70">
        <v>0</v>
      </c>
      <c r="WAH85" s="70">
        <v>0</v>
      </c>
      <c r="WAI85" s="70">
        <v>0</v>
      </c>
      <c r="WAJ85" s="70">
        <v>0</v>
      </c>
      <c r="WAK85" s="70">
        <v>0</v>
      </c>
      <c r="WAL85" s="70">
        <v>0</v>
      </c>
      <c r="WAM85" s="70">
        <v>0</v>
      </c>
      <c r="WAN85" s="70">
        <v>0</v>
      </c>
      <c r="WAO85" s="70">
        <v>0</v>
      </c>
      <c r="WAP85" s="70">
        <v>0</v>
      </c>
      <c r="WAQ85" s="70">
        <v>0</v>
      </c>
      <c r="WAR85" s="70">
        <v>0</v>
      </c>
      <c r="WAS85" s="70">
        <v>0</v>
      </c>
      <c r="WAT85" s="70">
        <v>0</v>
      </c>
      <c r="WAU85" s="70">
        <v>0</v>
      </c>
      <c r="WAV85" s="70">
        <v>0</v>
      </c>
      <c r="WAW85" s="70">
        <v>0</v>
      </c>
      <c r="WAX85" s="70">
        <v>0</v>
      </c>
      <c r="WAY85" s="70">
        <v>0</v>
      </c>
      <c r="WAZ85" s="70">
        <v>0</v>
      </c>
      <c r="WBA85" s="70">
        <v>0</v>
      </c>
      <c r="WBB85" s="70">
        <v>0</v>
      </c>
      <c r="WBC85" s="70">
        <v>0</v>
      </c>
      <c r="WBD85" s="70">
        <v>0</v>
      </c>
      <c r="WBE85" s="70">
        <v>0</v>
      </c>
      <c r="WBF85" s="70">
        <v>0</v>
      </c>
      <c r="WBG85" s="70">
        <v>0</v>
      </c>
      <c r="WBH85" s="70">
        <v>0</v>
      </c>
      <c r="WBI85" s="70">
        <v>0</v>
      </c>
      <c r="WBJ85" s="70">
        <v>0</v>
      </c>
      <c r="WBK85" s="70">
        <v>0</v>
      </c>
      <c r="WBL85" s="70">
        <v>0</v>
      </c>
      <c r="WBM85" s="70">
        <v>0</v>
      </c>
      <c r="WBN85" s="70">
        <v>0</v>
      </c>
      <c r="WBO85" s="70">
        <v>0</v>
      </c>
      <c r="WBP85" s="70">
        <v>0</v>
      </c>
      <c r="WBQ85" s="70">
        <v>0</v>
      </c>
      <c r="WBR85" s="70">
        <v>0</v>
      </c>
      <c r="WBS85" s="70">
        <v>0</v>
      </c>
      <c r="WBT85" s="70">
        <v>0</v>
      </c>
      <c r="WBU85" s="70">
        <v>0</v>
      </c>
      <c r="WBV85" s="70">
        <v>0</v>
      </c>
      <c r="WBW85" s="70">
        <v>0</v>
      </c>
      <c r="WBX85" s="70">
        <v>0</v>
      </c>
      <c r="WBY85" s="70">
        <v>0</v>
      </c>
      <c r="WBZ85" s="70">
        <v>0</v>
      </c>
      <c r="WCA85" s="70">
        <v>0</v>
      </c>
      <c r="WCB85" s="70">
        <v>0</v>
      </c>
      <c r="WCC85" s="70">
        <v>0</v>
      </c>
      <c r="WCD85" s="70">
        <v>0</v>
      </c>
      <c r="WCE85" s="70">
        <v>0</v>
      </c>
      <c r="WCF85" s="70">
        <v>0</v>
      </c>
      <c r="WCG85" s="70">
        <v>0</v>
      </c>
      <c r="WCH85" s="70">
        <v>0</v>
      </c>
      <c r="WCI85" s="70">
        <v>0</v>
      </c>
      <c r="WCJ85" s="70">
        <v>0</v>
      </c>
      <c r="WCK85" s="70">
        <v>0</v>
      </c>
      <c r="WCL85" s="70">
        <v>0</v>
      </c>
      <c r="WCM85" s="70">
        <v>0</v>
      </c>
      <c r="WCN85" s="70">
        <v>0</v>
      </c>
      <c r="WCO85" s="70">
        <v>0</v>
      </c>
      <c r="WCP85" s="70">
        <v>0</v>
      </c>
      <c r="WCQ85" s="70">
        <v>0</v>
      </c>
      <c r="WCR85" s="70">
        <v>0</v>
      </c>
      <c r="WCS85" s="70">
        <v>0</v>
      </c>
      <c r="WCT85" s="70">
        <v>0</v>
      </c>
      <c r="WCU85" s="70">
        <v>0</v>
      </c>
      <c r="WCV85" s="70">
        <v>0</v>
      </c>
      <c r="WCW85" s="70">
        <v>0</v>
      </c>
      <c r="WCX85" s="70">
        <v>0</v>
      </c>
      <c r="WCY85" s="70">
        <v>0</v>
      </c>
      <c r="WCZ85" s="70">
        <v>0</v>
      </c>
      <c r="WDA85" s="70">
        <v>0</v>
      </c>
      <c r="WDB85" s="70">
        <v>0</v>
      </c>
      <c r="WDC85" s="70">
        <v>0</v>
      </c>
      <c r="WDD85" s="70">
        <v>0</v>
      </c>
      <c r="WDE85" s="70">
        <v>0</v>
      </c>
      <c r="WDF85" s="70">
        <v>0</v>
      </c>
      <c r="WDG85" s="70">
        <v>0</v>
      </c>
      <c r="WDH85" s="70">
        <v>0</v>
      </c>
      <c r="WDI85" s="70">
        <v>0</v>
      </c>
      <c r="WDJ85" s="70">
        <v>0</v>
      </c>
      <c r="WDK85" s="70">
        <v>0</v>
      </c>
      <c r="WDL85" s="70">
        <v>0</v>
      </c>
      <c r="WDM85" s="70">
        <v>0</v>
      </c>
      <c r="WDN85" s="70">
        <v>0</v>
      </c>
      <c r="WDO85" s="70">
        <v>0</v>
      </c>
      <c r="WDP85" s="70">
        <v>0</v>
      </c>
      <c r="WDQ85" s="70">
        <v>0</v>
      </c>
      <c r="WDR85" s="70">
        <v>0</v>
      </c>
      <c r="WDS85" s="70">
        <v>0</v>
      </c>
      <c r="WDT85" s="70">
        <v>0</v>
      </c>
      <c r="WDU85" s="70">
        <v>0</v>
      </c>
      <c r="WDV85" s="70">
        <v>0</v>
      </c>
      <c r="WDW85" s="70">
        <v>0</v>
      </c>
      <c r="WDX85" s="70">
        <v>0</v>
      </c>
      <c r="WDY85" s="70">
        <v>0</v>
      </c>
      <c r="WDZ85" s="70">
        <v>0</v>
      </c>
      <c r="WEA85" s="70">
        <v>0</v>
      </c>
      <c r="WEB85" s="70">
        <v>0</v>
      </c>
      <c r="WEC85" s="70">
        <v>0</v>
      </c>
      <c r="WED85" s="70">
        <v>0</v>
      </c>
      <c r="WEE85" s="70">
        <v>0</v>
      </c>
      <c r="WEF85" s="70">
        <v>0</v>
      </c>
      <c r="WEG85" s="70">
        <v>0</v>
      </c>
      <c r="WEH85" s="70">
        <v>0</v>
      </c>
      <c r="WEI85" s="70">
        <v>0</v>
      </c>
      <c r="WEJ85" s="70">
        <v>0</v>
      </c>
      <c r="WEK85" s="70">
        <v>0</v>
      </c>
      <c r="WEL85" s="70">
        <v>0</v>
      </c>
      <c r="WEM85" s="70">
        <v>0</v>
      </c>
      <c r="WEN85" s="70">
        <v>0</v>
      </c>
      <c r="WEO85" s="70">
        <v>0</v>
      </c>
      <c r="WEP85" s="70">
        <v>0</v>
      </c>
      <c r="WEQ85" s="70">
        <v>0</v>
      </c>
      <c r="WER85" s="70">
        <v>0</v>
      </c>
      <c r="WES85" s="70">
        <v>0</v>
      </c>
      <c r="WET85" s="70">
        <v>0</v>
      </c>
      <c r="WEU85" s="70">
        <v>0</v>
      </c>
      <c r="WEV85" s="70">
        <v>0</v>
      </c>
      <c r="WEW85" s="70">
        <v>0</v>
      </c>
      <c r="WEX85" s="70">
        <v>0</v>
      </c>
      <c r="WEY85" s="70">
        <v>0</v>
      </c>
      <c r="WEZ85" s="70">
        <v>0</v>
      </c>
      <c r="WFA85" s="70">
        <v>0</v>
      </c>
      <c r="WFB85" s="70">
        <v>0</v>
      </c>
      <c r="WFC85" s="70">
        <v>0</v>
      </c>
      <c r="WFD85" s="70">
        <v>0</v>
      </c>
      <c r="WFE85" s="70">
        <v>0</v>
      </c>
      <c r="WFF85" s="70">
        <v>0</v>
      </c>
      <c r="WFG85" s="70">
        <v>0</v>
      </c>
      <c r="WFH85" s="70">
        <v>0</v>
      </c>
      <c r="WFI85" s="70">
        <v>0</v>
      </c>
      <c r="WFJ85" s="70">
        <v>0</v>
      </c>
      <c r="WFK85" s="70">
        <v>0</v>
      </c>
      <c r="WFL85" s="70">
        <v>0</v>
      </c>
      <c r="WFM85" s="70">
        <v>0</v>
      </c>
      <c r="WFN85" s="70">
        <v>0</v>
      </c>
      <c r="WFO85" s="70">
        <v>0</v>
      </c>
      <c r="WFP85" s="70">
        <v>0</v>
      </c>
      <c r="WFQ85" s="70">
        <v>0</v>
      </c>
      <c r="WFR85" s="70">
        <v>0</v>
      </c>
      <c r="WFS85" s="70">
        <v>0</v>
      </c>
      <c r="WFT85" s="70">
        <v>0</v>
      </c>
      <c r="WFU85" s="70">
        <v>0</v>
      </c>
      <c r="WFV85" s="70">
        <v>0</v>
      </c>
      <c r="WFW85" s="70">
        <v>0</v>
      </c>
      <c r="WFX85" s="70">
        <v>0</v>
      </c>
      <c r="WFY85" s="70">
        <v>0</v>
      </c>
      <c r="WFZ85" s="70">
        <v>0</v>
      </c>
      <c r="WGA85" s="70">
        <v>0</v>
      </c>
      <c r="WGB85" s="70">
        <v>0</v>
      </c>
      <c r="WGC85" s="70">
        <v>0</v>
      </c>
      <c r="WGD85" s="70">
        <v>0</v>
      </c>
      <c r="WGE85" s="70">
        <v>0</v>
      </c>
      <c r="WGF85" s="70">
        <v>0</v>
      </c>
      <c r="WGG85" s="70">
        <v>0</v>
      </c>
      <c r="WGH85" s="70">
        <v>0</v>
      </c>
      <c r="WGI85" s="70">
        <v>0</v>
      </c>
      <c r="WGJ85" s="70">
        <v>0</v>
      </c>
      <c r="WGK85" s="70">
        <v>0</v>
      </c>
      <c r="WGL85" s="70">
        <v>0</v>
      </c>
      <c r="WGM85" s="70">
        <v>0</v>
      </c>
      <c r="WGN85" s="70">
        <v>0</v>
      </c>
      <c r="WGO85" s="70">
        <v>0</v>
      </c>
      <c r="WGP85" s="70">
        <v>0</v>
      </c>
      <c r="WGQ85" s="70">
        <v>0</v>
      </c>
      <c r="WGR85" s="70">
        <v>0</v>
      </c>
      <c r="WGS85" s="70">
        <v>0</v>
      </c>
      <c r="WGT85" s="70">
        <v>0</v>
      </c>
      <c r="WGU85" s="70">
        <v>0</v>
      </c>
      <c r="WGV85" s="70">
        <v>0</v>
      </c>
      <c r="WGW85" s="70">
        <v>0</v>
      </c>
      <c r="WGX85" s="70">
        <v>0</v>
      </c>
      <c r="WGY85" s="70">
        <v>0</v>
      </c>
      <c r="WGZ85" s="70">
        <v>0</v>
      </c>
      <c r="WHA85" s="70">
        <v>0</v>
      </c>
      <c r="WHB85" s="70">
        <v>0</v>
      </c>
      <c r="WHC85" s="70">
        <v>0</v>
      </c>
      <c r="WHD85" s="70">
        <v>0</v>
      </c>
      <c r="WHE85" s="70">
        <v>0</v>
      </c>
      <c r="WHF85" s="70">
        <v>0</v>
      </c>
      <c r="WHG85" s="70">
        <v>0</v>
      </c>
      <c r="WHH85" s="70">
        <v>0</v>
      </c>
      <c r="WHI85" s="70">
        <v>0</v>
      </c>
      <c r="WHJ85" s="70">
        <v>0</v>
      </c>
      <c r="WHK85" s="70">
        <v>0</v>
      </c>
      <c r="WHL85" s="70">
        <v>0</v>
      </c>
      <c r="WHM85" s="70">
        <v>0</v>
      </c>
      <c r="WHN85" s="70">
        <v>0</v>
      </c>
      <c r="WHO85" s="70">
        <v>0</v>
      </c>
      <c r="WHP85" s="70">
        <v>0</v>
      </c>
      <c r="WHQ85" s="70">
        <v>0</v>
      </c>
      <c r="WHR85" s="70">
        <v>0</v>
      </c>
      <c r="WHS85" s="70">
        <v>0</v>
      </c>
      <c r="WHT85" s="70">
        <v>0</v>
      </c>
      <c r="WHU85" s="70">
        <v>0</v>
      </c>
      <c r="WHV85" s="70">
        <v>0</v>
      </c>
      <c r="WHW85" s="70">
        <v>0</v>
      </c>
      <c r="WHX85" s="70">
        <v>0</v>
      </c>
      <c r="WHY85" s="70">
        <v>0</v>
      </c>
      <c r="WHZ85" s="70">
        <v>0</v>
      </c>
      <c r="WIA85" s="70">
        <v>0</v>
      </c>
      <c r="WIB85" s="70">
        <v>0</v>
      </c>
      <c r="WIC85" s="70">
        <v>0</v>
      </c>
      <c r="WID85" s="70">
        <v>0</v>
      </c>
      <c r="WIE85" s="70">
        <v>0</v>
      </c>
      <c r="WIF85" s="70">
        <v>0</v>
      </c>
      <c r="WIG85" s="70">
        <v>0</v>
      </c>
      <c r="WIH85" s="70">
        <v>0</v>
      </c>
      <c r="WII85" s="70">
        <v>0</v>
      </c>
      <c r="WIJ85" s="70">
        <v>0</v>
      </c>
      <c r="WIK85" s="70">
        <v>0</v>
      </c>
      <c r="WIL85" s="70">
        <v>0</v>
      </c>
      <c r="WIM85" s="70">
        <v>0</v>
      </c>
      <c r="WIN85" s="70">
        <v>0</v>
      </c>
      <c r="WIO85" s="70">
        <v>0</v>
      </c>
      <c r="WIP85" s="70">
        <v>0</v>
      </c>
      <c r="WIQ85" s="70">
        <v>0</v>
      </c>
      <c r="WIR85" s="70">
        <v>0</v>
      </c>
      <c r="WIS85" s="70">
        <v>0</v>
      </c>
      <c r="WIT85" s="70">
        <v>0</v>
      </c>
      <c r="WIU85" s="70">
        <v>0</v>
      </c>
      <c r="WIV85" s="70">
        <v>0</v>
      </c>
      <c r="WIW85" s="70">
        <v>0</v>
      </c>
      <c r="WIX85" s="70">
        <v>0</v>
      </c>
      <c r="WIY85" s="70">
        <v>0</v>
      </c>
      <c r="WIZ85" s="70">
        <v>0</v>
      </c>
      <c r="WJA85" s="70">
        <v>0</v>
      </c>
      <c r="WJB85" s="70">
        <v>0</v>
      </c>
      <c r="WJC85" s="70">
        <v>0</v>
      </c>
      <c r="WJD85" s="70">
        <v>0</v>
      </c>
      <c r="WJE85" s="70">
        <v>0</v>
      </c>
      <c r="WJF85" s="70">
        <v>0</v>
      </c>
      <c r="WJG85" s="70">
        <v>0</v>
      </c>
      <c r="WJH85" s="70">
        <v>0</v>
      </c>
      <c r="WJI85" s="70">
        <v>0</v>
      </c>
      <c r="WJJ85" s="70">
        <v>0</v>
      </c>
      <c r="WJK85" s="70">
        <v>0</v>
      </c>
      <c r="WJL85" s="70">
        <v>0</v>
      </c>
      <c r="WJM85" s="70">
        <v>0</v>
      </c>
      <c r="WJN85" s="70">
        <v>0</v>
      </c>
      <c r="WJO85" s="70">
        <v>0</v>
      </c>
      <c r="WJP85" s="70">
        <v>0</v>
      </c>
      <c r="WJQ85" s="70">
        <v>0</v>
      </c>
      <c r="WJR85" s="70">
        <v>0</v>
      </c>
      <c r="WJS85" s="70">
        <v>0</v>
      </c>
      <c r="WJT85" s="70">
        <v>0</v>
      </c>
      <c r="WJU85" s="70">
        <v>0</v>
      </c>
      <c r="WJV85" s="70">
        <v>0</v>
      </c>
      <c r="WJW85" s="70">
        <v>0</v>
      </c>
      <c r="WJX85" s="70">
        <v>0</v>
      </c>
      <c r="WJY85" s="70">
        <v>0</v>
      </c>
      <c r="WJZ85" s="70">
        <v>0</v>
      </c>
      <c r="WKA85" s="70">
        <v>0</v>
      </c>
      <c r="WKB85" s="70">
        <v>0</v>
      </c>
      <c r="WKC85" s="70">
        <v>0</v>
      </c>
      <c r="WKD85" s="70">
        <v>0</v>
      </c>
      <c r="WKE85" s="70">
        <v>0</v>
      </c>
      <c r="WKF85" s="70">
        <v>0</v>
      </c>
      <c r="WKG85" s="70">
        <v>0</v>
      </c>
      <c r="WKH85" s="70">
        <v>0</v>
      </c>
      <c r="WKI85" s="70">
        <v>0</v>
      </c>
      <c r="WKJ85" s="70">
        <v>0</v>
      </c>
      <c r="WKK85" s="70">
        <v>0</v>
      </c>
      <c r="WKL85" s="70">
        <v>0</v>
      </c>
      <c r="WKM85" s="70">
        <v>0</v>
      </c>
      <c r="WKN85" s="70">
        <v>0</v>
      </c>
      <c r="WKO85" s="70">
        <v>0</v>
      </c>
      <c r="WKP85" s="70">
        <v>0</v>
      </c>
      <c r="WKQ85" s="70">
        <v>0</v>
      </c>
      <c r="WKR85" s="70">
        <v>0</v>
      </c>
      <c r="WKS85" s="70">
        <v>0</v>
      </c>
      <c r="WKT85" s="70">
        <v>0</v>
      </c>
      <c r="WKU85" s="70">
        <v>0</v>
      </c>
      <c r="WKV85" s="70">
        <v>0</v>
      </c>
      <c r="WKW85" s="70">
        <v>0</v>
      </c>
      <c r="WKX85" s="70">
        <v>0</v>
      </c>
      <c r="WKY85" s="70">
        <v>0</v>
      </c>
      <c r="WKZ85" s="70">
        <v>0</v>
      </c>
      <c r="WLA85" s="70">
        <v>0</v>
      </c>
      <c r="WLB85" s="70">
        <v>0</v>
      </c>
      <c r="WLC85" s="70">
        <v>0</v>
      </c>
      <c r="WLD85" s="70">
        <v>0</v>
      </c>
      <c r="WLE85" s="70">
        <v>0</v>
      </c>
      <c r="WLF85" s="70">
        <v>0</v>
      </c>
      <c r="WLG85" s="70">
        <v>0</v>
      </c>
      <c r="WLH85" s="70">
        <v>0</v>
      </c>
      <c r="WLI85" s="70">
        <v>0</v>
      </c>
      <c r="WLJ85" s="70">
        <v>0</v>
      </c>
      <c r="WLK85" s="70">
        <v>0</v>
      </c>
      <c r="WLL85" s="70">
        <v>0</v>
      </c>
      <c r="WLM85" s="70">
        <v>0</v>
      </c>
      <c r="WLN85" s="70">
        <v>0</v>
      </c>
      <c r="WLO85" s="70">
        <v>0</v>
      </c>
      <c r="WLP85" s="70">
        <v>0</v>
      </c>
      <c r="WLQ85" s="70">
        <v>0</v>
      </c>
      <c r="WLR85" s="70">
        <v>0</v>
      </c>
      <c r="WLS85" s="70">
        <v>0</v>
      </c>
      <c r="WLT85" s="70">
        <v>0</v>
      </c>
      <c r="WLU85" s="70">
        <v>0</v>
      </c>
      <c r="WLV85" s="70">
        <v>0</v>
      </c>
      <c r="WLW85" s="70">
        <v>0</v>
      </c>
      <c r="WLX85" s="70">
        <v>0</v>
      </c>
      <c r="WLY85" s="70">
        <v>0</v>
      </c>
      <c r="WLZ85" s="70">
        <v>0</v>
      </c>
      <c r="WMA85" s="70">
        <v>0</v>
      </c>
      <c r="WMB85" s="70">
        <v>0</v>
      </c>
      <c r="WMC85" s="70">
        <v>0</v>
      </c>
      <c r="WMD85" s="70">
        <v>0</v>
      </c>
      <c r="WME85" s="70">
        <v>0</v>
      </c>
      <c r="WMF85" s="70">
        <v>0</v>
      </c>
      <c r="WMG85" s="70">
        <v>0</v>
      </c>
      <c r="WMH85" s="70">
        <v>0</v>
      </c>
      <c r="WMI85" s="70">
        <v>0</v>
      </c>
      <c r="WMJ85" s="70">
        <v>0</v>
      </c>
      <c r="WMK85" s="70">
        <v>0</v>
      </c>
      <c r="WML85" s="70">
        <v>0</v>
      </c>
      <c r="WMM85" s="70">
        <v>0</v>
      </c>
      <c r="WMN85" s="70">
        <v>0</v>
      </c>
      <c r="WMO85" s="70">
        <v>0</v>
      </c>
      <c r="WMP85" s="70">
        <v>0</v>
      </c>
      <c r="WMQ85" s="70">
        <v>0</v>
      </c>
      <c r="WMR85" s="70">
        <v>0</v>
      </c>
      <c r="WMS85" s="70">
        <v>0</v>
      </c>
      <c r="WMT85" s="70">
        <v>0</v>
      </c>
      <c r="WMU85" s="70">
        <v>0</v>
      </c>
      <c r="WMV85" s="70">
        <v>0</v>
      </c>
      <c r="WMW85" s="70">
        <v>0</v>
      </c>
      <c r="WMX85" s="70">
        <v>0</v>
      </c>
      <c r="WMY85" s="70">
        <v>0</v>
      </c>
      <c r="WMZ85" s="70">
        <v>0</v>
      </c>
      <c r="WNA85" s="70">
        <v>0</v>
      </c>
      <c r="WNB85" s="70">
        <v>0</v>
      </c>
      <c r="WNC85" s="70">
        <v>0</v>
      </c>
      <c r="WND85" s="70">
        <v>0</v>
      </c>
      <c r="WNE85" s="70">
        <v>0</v>
      </c>
      <c r="WNF85" s="70">
        <v>0</v>
      </c>
      <c r="WNG85" s="70">
        <v>0</v>
      </c>
      <c r="WNH85" s="70">
        <v>0</v>
      </c>
      <c r="WNI85" s="70">
        <v>0</v>
      </c>
      <c r="WNJ85" s="70">
        <v>0</v>
      </c>
      <c r="WNK85" s="70">
        <v>0</v>
      </c>
      <c r="WNL85" s="70">
        <v>0</v>
      </c>
      <c r="WNM85" s="70">
        <v>0</v>
      </c>
      <c r="WNN85" s="70">
        <v>0</v>
      </c>
      <c r="WNO85" s="70">
        <v>0</v>
      </c>
      <c r="WNP85" s="70">
        <v>0</v>
      </c>
      <c r="WNQ85" s="70">
        <v>0</v>
      </c>
      <c r="WNR85" s="70">
        <v>0</v>
      </c>
      <c r="WNS85" s="70">
        <v>0</v>
      </c>
      <c r="WNT85" s="70">
        <v>0</v>
      </c>
      <c r="WNU85" s="70">
        <v>0</v>
      </c>
      <c r="WNV85" s="70">
        <v>0</v>
      </c>
      <c r="WNW85" s="70">
        <v>0</v>
      </c>
      <c r="WNX85" s="70">
        <v>0</v>
      </c>
      <c r="WNY85" s="70">
        <v>0</v>
      </c>
      <c r="WNZ85" s="70">
        <v>0</v>
      </c>
      <c r="WOA85" s="70">
        <v>0</v>
      </c>
      <c r="WOB85" s="70">
        <v>0</v>
      </c>
      <c r="WOC85" s="70">
        <v>0</v>
      </c>
      <c r="WOD85" s="70">
        <v>0</v>
      </c>
      <c r="WOE85" s="70">
        <v>0</v>
      </c>
      <c r="WOF85" s="70">
        <v>0</v>
      </c>
      <c r="WOG85" s="70">
        <v>0</v>
      </c>
      <c r="WOH85" s="70">
        <v>0</v>
      </c>
      <c r="WOI85" s="70">
        <v>0</v>
      </c>
      <c r="WOJ85" s="70">
        <v>0</v>
      </c>
      <c r="WOK85" s="70">
        <v>0</v>
      </c>
      <c r="WOL85" s="70">
        <v>0</v>
      </c>
      <c r="WOM85" s="70">
        <v>0</v>
      </c>
      <c r="WON85" s="70">
        <v>0</v>
      </c>
      <c r="WOO85" s="70">
        <v>0</v>
      </c>
      <c r="WOP85" s="70">
        <v>0</v>
      </c>
      <c r="WOQ85" s="70">
        <v>0</v>
      </c>
      <c r="WOR85" s="70">
        <v>0</v>
      </c>
      <c r="WOS85" s="70">
        <v>0</v>
      </c>
      <c r="WOT85" s="70">
        <v>0</v>
      </c>
      <c r="WOU85" s="70">
        <v>0</v>
      </c>
      <c r="WOV85" s="70">
        <v>0</v>
      </c>
      <c r="WOW85" s="70">
        <v>0</v>
      </c>
      <c r="WOX85" s="70">
        <v>0</v>
      </c>
      <c r="WOY85" s="70">
        <v>0</v>
      </c>
      <c r="WOZ85" s="70">
        <v>0</v>
      </c>
      <c r="WPA85" s="70">
        <v>0</v>
      </c>
      <c r="WPB85" s="70">
        <v>0</v>
      </c>
      <c r="WPC85" s="70">
        <v>0</v>
      </c>
      <c r="WPD85" s="70">
        <v>0</v>
      </c>
      <c r="WPE85" s="70">
        <v>0</v>
      </c>
      <c r="WPF85" s="70">
        <v>0</v>
      </c>
      <c r="WPG85" s="70">
        <v>0</v>
      </c>
      <c r="WPH85" s="70">
        <v>0</v>
      </c>
      <c r="WPI85" s="70">
        <v>0</v>
      </c>
      <c r="WPJ85" s="70">
        <v>0</v>
      </c>
      <c r="WPK85" s="70">
        <v>0</v>
      </c>
      <c r="WPL85" s="70">
        <v>0</v>
      </c>
      <c r="WPM85" s="70">
        <v>0</v>
      </c>
      <c r="WPN85" s="70">
        <v>0</v>
      </c>
      <c r="WPO85" s="70">
        <v>0</v>
      </c>
      <c r="WPP85" s="70">
        <v>0</v>
      </c>
      <c r="WPQ85" s="70">
        <v>0</v>
      </c>
      <c r="WPR85" s="70">
        <v>0</v>
      </c>
      <c r="WPS85" s="70">
        <v>0</v>
      </c>
      <c r="WPT85" s="70">
        <v>0</v>
      </c>
      <c r="WPU85" s="70">
        <v>0</v>
      </c>
      <c r="WPV85" s="70">
        <v>0</v>
      </c>
      <c r="WPW85" s="70">
        <v>0</v>
      </c>
      <c r="WPX85" s="70">
        <v>0</v>
      </c>
      <c r="WPY85" s="70">
        <v>0</v>
      </c>
      <c r="WPZ85" s="70">
        <v>0</v>
      </c>
      <c r="WQA85" s="70">
        <v>0</v>
      </c>
      <c r="WQB85" s="70">
        <v>0</v>
      </c>
      <c r="WQC85" s="70">
        <v>0</v>
      </c>
      <c r="WQD85" s="70">
        <v>0</v>
      </c>
      <c r="WQE85" s="70">
        <v>0</v>
      </c>
      <c r="WQF85" s="70">
        <v>0</v>
      </c>
      <c r="WQG85" s="70">
        <v>0</v>
      </c>
      <c r="WQH85" s="70">
        <v>0</v>
      </c>
      <c r="WQI85" s="70">
        <v>0</v>
      </c>
      <c r="WQJ85" s="70">
        <v>0</v>
      </c>
      <c r="WQK85" s="70">
        <v>0</v>
      </c>
      <c r="WQL85" s="70">
        <v>0</v>
      </c>
      <c r="WQM85" s="70">
        <v>0</v>
      </c>
      <c r="WQN85" s="70">
        <v>0</v>
      </c>
      <c r="WQO85" s="70">
        <v>0</v>
      </c>
      <c r="WQP85" s="70">
        <v>0</v>
      </c>
      <c r="WQQ85" s="70">
        <v>0</v>
      </c>
      <c r="WQR85" s="70">
        <v>0</v>
      </c>
      <c r="WQS85" s="70">
        <v>0</v>
      </c>
      <c r="WQT85" s="70">
        <v>0</v>
      </c>
      <c r="WQU85" s="70">
        <v>0</v>
      </c>
      <c r="WQV85" s="70">
        <v>0</v>
      </c>
      <c r="WQW85" s="70">
        <v>0</v>
      </c>
      <c r="WQX85" s="70">
        <v>0</v>
      </c>
      <c r="WQY85" s="70">
        <v>0</v>
      </c>
      <c r="WQZ85" s="70">
        <v>0</v>
      </c>
      <c r="WRA85" s="70">
        <v>0</v>
      </c>
      <c r="WRB85" s="70">
        <v>0</v>
      </c>
      <c r="WRC85" s="70">
        <v>0</v>
      </c>
      <c r="WRD85" s="70">
        <v>0</v>
      </c>
      <c r="WRE85" s="70">
        <v>0</v>
      </c>
      <c r="WRF85" s="70">
        <v>0</v>
      </c>
      <c r="WRG85" s="70">
        <v>0</v>
      </c>
      <c r="WRH85" s="70">
        <v>0</v>
      </c>
      <c r="WRI85" s="70">
        <v>0</v>
      </c>
      <c r="WRJ85" s="70">
        <v>0</v>
      </c>
      <c r="WRK85" s="70">
        <v>0</v>
      </c>
      <c r="WRL85" s="70">
        <v>0</v>
      </c>
      <c r="WRM85" s="70">
        <v>0</v>
      </c>
      <c r="WRN85" s="70">
        <v>0</v>
      </c>
      <c r="WRO85" s="70">
        <v>0</v>
      </c>
      <c r="WRP85" s="70">
        <v>0</v>
      </c>
      <c r="WRQ85" s="70">
        <v>0</v>
      </c>
      <c r="WRR85" s="70">
        <v>0</v>
      </c>
      <c r="WRS85" s="70">
        <v>0</v>
      </c>
      <c r="WRT85" s="70">
        <v>0</v>
      </c>
      <c r="WRU85" s="70">
        <v>0</v>
      </c>
      <c r="WRV85" s="70">
        <v>0</v>
      </c>
      <c r="WRW85" s="70">
        <v>0</v>
      </c>
      <c r="WRX85" s="70">
        <v>0</v>
      </c>
      <c r="WRY85" s="70">
        <v>0</v>
      </c>
      <c r="WRZ85" s="70">
        <v>0</v>
      </c>
      <c r="WSA85" s="70">
        <v>0</v>
      </c>
      <c r="WSB85" s="70">
        <v>0</v>
      </c>
      <c r="WSC85" s="70">
        <v>0</v>
      </c>
      <c r="WSD85" s="70">
        <v>0</v>
      </c>
      <c r="WSE85" s="70">
        <v>0</v>
      </c>
      <c r="WSF85" s="70">
        <v>0</v>
      </c>
      <c r="WSG85" s="70">
        <v>0</v>
      </c>
      <c r="WSH85" s="70">
        <v>0</v>
      </c>
      <c r="WSI85" s="70">
        <v>0</v>
      </c>
      <c r="WSJ85" s="70">
        <v>0</v>
      </c>
      <c r="WSK85" s="70">
        <v>0</v>
      </c>
      <c r="WSL85" s="70">
        <v>0</v>
      </c>
      <c r="WSM85" s="70">
        <v>0</v>
      </c>
      <c r="WSN85" s="70">
        <v>0</v>
      </c>
      <c r="WSO85" s="70">
        <v>0</v>
      </c>
      <c r="WSP85" s="70">
        <v>0</v>
      </c>
      <c r="WSQ85" s="70">
        <v>0</v>
      </c>
      <c r="WSR85" s="70">
        <v>0</v>
      </c>
      <c r="WSS85" s="70">
        <v>0</v>
      </c>
      <c r="WST85" s="70">
        <v>0</v>
      </c>
      <c r="WSU85" s="70">
        <v>0</v>
      </c>
      <c r="WSV85" s="70">
        <v>0</v>
      </c>
      <c r="WSW85" s="70">
        <v>0</v>
      </c>
      <c r="WSX85" s="70">
        <v>0</v>
      </c>
      <c r="WSY85" s="70">
        <v>0</v>
      </c>
      <c r="WSZ85" s="70">
        <v>0</v>
      </c>
      <c r="WTA85" s="70">
        <v>0</v>
      </c>
      <c r="WTB85" s="70">
        <v>0</v>
      </c>
      <c r="WTC85" s="70">
        <v>0</v>
      </c>
      <c r="WTD85" s="70">
        <v>0</v>
      </c>
      <c r="WTE85" s="70">
        <v>0</v>
      </c>
      <c r="WTF85" s="70">
        <v>0</v>
      </c>
      <c r="WTG85" s="70">
        <v>0</v>
      </c>
      <c r="WTH85" s="70">
        <v>0</v>
      </c>
      <c r="WTI85" s="70">
        <v>0</v>
      </c>
      <c r="WTJ85" s="70">
        <v>0</v>
      </c>
      <c r="WTK85" s="70">
        <v>0</v>
      </c>
      <c r="WTL85" s="70">
        <v>0</v>
      </c>
      <c r="WTM85" s="70">
        <v>0</v>
      </c>
      <c r="WTN85" s="70">
        <v>0</v>
      </c>
      <c r="WTO85" s="70">
        <v>0</v>
      </c>
      <c r="WTP85" s="70">
        <v>0</v>
      </c>
      <c r="WTQ85" s="70">
        <v>0</v>
      </c>
      <c r="WTR85" s="70">
        <v>0</v>
      </c>
      <c r="WTS85" s="70">
        <v>0</v>
      </c>
      <c r="WTT85" s="70">
        <v>0</v>
      </c>
      <c r="WTU85" s="70">
        <v>0</v>
      </c>
      <c r="WTV85" s="70">
        <v>0</v>
      </c>
      <c r="WTW85" s="70">
        <v>0</v>
      </c>
      <c r="WTX85" s="70">
        <v>0</v>
      </c>
      <c r="WTY85" s="70">
        <v>0</v>
      </c>
      <c r="WTZ85" s="70">
        <v>0</v>
      </c>
      <c r="WUA85" s="70">
        <v>0</v>
      </c>
      <c r="WUB85" s="70">
        <v>0</v>
      </c>
      <c r="WUC85" s="70">
        <v>0</v>
      </c>
      <c r="WUD85" s="70">
        <v>0</v>
      </c>
      <c r="WUE85" s="70">
        <v>0</v>
      </c>
      <c r="WUF85" s="70">
        <v>0</v>
      </c>
      <c r="WUG85" s="70">
        <v>0</v>
      </c>
      <c r="WUH85" s="70">
        <v>0</v>
      </c>
      <c r="WUI85" s="70">
        <v>0</v>
      </c>
      <c r="WUJ85" s="70">
        <v>0</v>
      </c>
      <c r="WUK85" s="70">
        <v>0</v>
      </c>
      <c r="WUL85" s="70">
        <v>0</v>
      </c>
      <c r="WUM85" s="70">
        <v>0</v>
      </c>
      <c r="WUN85" s="70">
        <v>0</v>
      </c>
      <c r="WUO85" s="70">
        <v>0</v>
      </c>
      <c r="WUP85" s="70">
        <v>0</v>
      </c>
      <c r="WUQ85" s="70">
        <v>0</v>
      </c>
      <c r="WUR85" s="70">
        <v>0</v>
      </c>
      <c r="WUS85" s="70">
        <v>0</v>
      </c>
      <c r="WUT85" s="70">
        <v>0</v>
      </c>
      <c r="WUU85" s="70">
        <v>0</v>
      </c>
      <c r="WUV85" s="70">
        <v>0</v>
      </c>
      <c r="WUW85" s="70">
        <v>0</v>
      </c>
      <c r="WUX85" s="70">
        <v>0</v>
      </c>
      <c r="WUY85" s="70">
        <v>0</v>
      </c>
      <c r="WUZ85" s="70">
        <v>0</v>
      </c>
      <c r="WVA85" s="70">
        <v>0</v>
      </c>
      <c r="WVB85" s="70">
        <v>0</v>
      </c>
      <c r="WVC85" s="70">
        <v>0</v>
      </c>
      <c r="WVD85" s="70">
        <v>0</v>
      </c>
      <c r="WVE85" s="70">
        <v>0</v>
      </c>
      <c r="WVF85" s="70">
        <v>0</v>
      </c>
      <c r="WVG85" s="70">
        <v>0</v>
      </c>
      <c r="WVH85" s="70">
        <v>0</v>
      </c>
      <c r="WVI85" s="70">
        <v>0</v>
      </c>
      <c r="WVJ85" s="70">
        <v>0</v>
      </c>
      <c r="WVK85" s="70">
        <v>0</v>
      </c>
      <c r="WVL85" s="70">
        <v>0</v>
      </c>
      <c r="WVM85" s="70">
        <v>0</v>
      </c>
      <c r="WVN85" s="70">
        <v>0</v>
      </c>
      <c r="WVO85" s="70">
        <v>0</v>
      </c>
      <c r="WVP85" s="70">
        <v>0</v>
      </c>
      <c r="WVQ85" s="70">
        <v>0</v>
      </c>
      <c r="WVR85" s="70">
        <v>0</v>
      </c>
      <c r="WVS85" s="70">
        <v>0</v>
      </c>
      <c r="WVT85" s="70">
        <v>0</v>
      </c>
      <c r="WVU85" s="70">
        <v>0</v>
      </c>
      <c r="WVV85" s="70">
        <v>0</v>
      </c>
      <c r="WVW85" s="70">
        <v>0</v>
      </c>
      <c r="WVX85" s="70">
        <v>0</v>
      </c>
      <c r="WVY85" s="70">
        <v>0</v>
      </c>
      <c r="WVZ85" s="70">
        <v>0</v>
      </c>
      <c r="WWA85" s="70">
        <v>0</v>
      </c>
      <c r="WWB85" s="70">
        <v>0</v>
      </c>
      <c r="WWC85" s="70">
        <v>0</v>
      </c>
      <c r="WWD85" s="70">
        <v>0</v>
      </c>
      <c r="WWE85" s="70">
        <v>0</v>
      </c>
      <c r="WWF85" s="70">
        <v>0</v>
      </c>
      <c r="WWG85" s="70">
        <v>0</v>
      </c>
      <c r="WWH85" s="70">
        <v>0</v>
      </c>
      <c r="WWI85" s="70">
        <v>0</v>
      </c>
      <c r="WWJ85" s="70">
        <v>0</v>
      </c>
      <c r="WWK85" s="70">
        <v>0</v>
      </c>
      <c r="WWL85" s="70">
        <v>0</v>
      </c>
      <c r="WWM85" s="70">
        <v>0</v>
      </c>
      <c r="WWN85" s="70">
        <v>0</v>
      </c>
      <c r="WWO85" s="70">
        <v>0</v>
      </c>
      <c r="WWP85" s="70">
        <v>0</v>
      </c>
      <c r="WWQ85" s="70">
        <v>0</v>
      </c>
      <c r="WWR85" s="70">
        <v>0</v>
      </c>
      <c r="WWS85" s="70">
        <v>0</v>
      </c>
      <c r="WWT85" s="70">
        <v>0</v>
      </c>
      <c r="WWU85" s="70">
        <v>0</v>
      </c>
      <c r="WWV85" s="70">
        <v>0</v>
      </c>
      <c r="WWW85" s="70">
        <v>0</v>
      </c>
      <c r="WWX85" s="70">
        <v>0</v>
      </c>
      <c r="WWY85" s="70">
        <v>0</v>
      </c>
      <c r="WWZ85" s="70">
        <v>0</v>
      </c>
      <c r="WXA85" s="70">
        <v>0</v>
      </c>
      <c r="WXB85" s="70">
        <v>0</v>
      </c>
      <c r="WXC85" s="70">
        <v>0</v>
      </c>
      <c r="WXD85" s="70">
        <v>0</v>
      </c>
      <c r="WXE85" s="70">
        <v>0</v>
      </c>
      <c r="WXF85" s="70">
        <v>0</v>
      </c>
      <c r="WXG85" s="70">
        <v>0</v>
      </c>
      <c r="WXH85" s="70">
        <v>0</v>
      </c>
      <c r="WXI85" s="70">
        <v>0</v>
      </c>
      <c r="WXJ85" s="70">
        <v>0</v>
      </c>
      <c r="WXK85" s="70">
        <v>0</v>
      </c>
      <c r="WXL85" s="70">
        <v>0</v>
      </c>
      <c r="WXM85" s="70">
        <v>0</v>
      </c>
      <c r="WXN85" s="70">
        <v>0</v>
      </c>
      <c r="WXO85" s="70">
        <v>0</v>
      </c>
      <c r="WXP85" s="70">
        <v>0</v>
      </c>
      <c r="WXQ85" s="70">
        <v>0</v>
      </c>
      <c r="WXR85" s="70">
        <v>0</v>
      </c>
      <c r="WXS85" s="70">
        <v>0</v>
      </c>
      <c r="WXT85" s="70">
        <v>0</v>
      </c>
      <c r="WXU85" s="70">
        <v>0</v>
      </c>
      <c r="WXV85" s="70">
        <v>0</v>
      </c>
      <c r="WXW85" s="70">
        <v>0</v>
      </c>
      <c r="WXX85" s="70">
        <v>0</v>
      </c>
      <c r="WXY85" s="70">
        <v>0</v>
      </c>
      <c r="WXZ85" s="70">
        <v>0</v>
      </c>
      <c r="WYA85" s="70">
        <v>0</v>
      </c>
      <c r="WYB85" s="70">
        <v>0</v>
      </c>
      <c r="WYC85" s="70">
        <v>0</v>
      </c>
      <c r="WYD85" s="70">
        <v>0</v>
      </c>
      <c r="WYE85" s="70">
        <v>0</v>
      </c>
      <c r="WYF85" s="70">
        <v>0</v>
      </c>
      <c r="WYG85" s="70">
        <v>0</v>
      </c>
      <c r="WYH85" s="70">
        <v>0</v>
      </c>
      <c r="WYI85" s="70">
        <v>0</v>
      </c>
      <c r="WYJ85" s="70">
        <v>0</v>
      </c>
      <c r="WYK85" s="70">
        <v>0</v>
      </c>
      <c r="WYL85" s="70">
        <v>0</v>
      </c>
      <c r="WYM85" s="70">
        <v>0</v>
      </c>
      <c r="WYN85" s="70">
        <v>0</v>
      </c>
      <c r="WYO85" s="70">
        <v>0</v>
      </c>
      <c r="WYP85" s="70">
        <v>0</v>
      </c>
      <c r="WYQ85" s="70">
        <v>0</v>
      </c>
      <c r="WYR85" s="70">
        <v>0</v>
      </c>
      <c r="WYS85" s="70">
        <v>0</v>
      </c>
      <c r="WYT85" s="70">
        <v>0</v>
      </c>
      <c r="WYU85" s="70">
        <v>0</v>
      </c>
      <c r="WYV85" s="70">
        <v>0</v>
      </c>
      <c r="WYW85" s="70">
        <v>0</v>
      </c>
      <c r="WYX85" s="70">
        <v>0</v>
      </c>
      <c r="WYY85" s="70">
        <v>0</v>
      </c>
      <c r="WYZ85" s="70">
        <v>0</v>
      </c>
      <c r="WZA85" s="70">
        <v>0</v>
      </c>
      <c r="WZB85" s="70">
        <v>0</v>
      </c>
      <c r="WZC85" s="70">
        <v>0</v>
      </c>
      <c r="WZD85" s="70">
        <v>0</v>
      </c>
      <c r="WZE85" s="70">
        <v>0</v>
      </c>
      <c r="WZF85" s="70">
        <v>0</v>
      </c>
      <c r="WZG85" s="70">
        <v>0</v>
      </c>
      <c r="WZH85" s="70">
        <v>0</v>
      </c>
      <c r="WZI85" s="70">
        <v>0</v>
      </c>
      <c r="WZJ85" s="70">
        <v>0</v>
      </c>
      <c r="WZK85" s="70">
        <v>0</v>
      </c>
      <c r="WZL85" s="70">
        <v>0</v>
      </c>
      <c r="WZM85" s="70">
        <v>0</v>
      </c>
      <c r="WZN85" s="70">
        <v>0</v>
      </c>
      <c r="WZO85" s="70">
        <v>0</v>
      </c>
      <c r="WZP85" s="70">
        <v>0</v>
      </c>
      <c r="WZQ85" s="70">
        <v>0</v>
      </c>
      <c r="WZR85" s="70">
        <v>0</v>
      </c>
      <c r="WZS85" s="70">
        <v>0</v>
      </c>
      <c r="WZT85" s="70">
        <v>0</v>
      </c>
      <c r="WZU85" s="70">
        <v>0</v>
      </c>
      <c r="WZV85" s="70">
        <v>0</v>
      </c>
      <c r="WZW85" s="70">
        <v>0</v>
      </c>
      <c r="WZX85" s="70">
        <v>0</v>
      </c>
      <c r="WZY85" s="70">
        <v>0</v>
      </c>
      <c r="WZZ85" s="70">
        <v>0</v>
      </c>
      <c r="XAA85" s="70">
        <v>0</v>
      </c>
      <c r="XAB85" s="70">
        <v>0</v>
      </c>
      <c r="XAC85" s="70">
        <v>0</v>
      </c>
      <c r="XAD85" s="70">
        <v>0</v>
      </c>
      <c r="XAE85" s="70">
        <v>0</v>
      </c>
      <c r="XAF85" s="70">
        <v>0</v>
      </c>
      <c r="XAG85" s="70">
        <v>0</v>
      </c>
      <c r="XAH85" s="70">
        <v>0</v>
      </c>
      <c r="XAI85" s="70">
        <v>0</v>
      </c>
      <c r="XAJ85" s="70">
        <v>0</v>
      </c>
      <c r="XAK85" s="70">
        <v>0</v>
      </c>
      <c r="XAL85" s="70">
        <v>0</v>
      </c>
      <c r="XAM85" s="70">
        <v>0</v>
      </c>
      <c r="XAN85" s="70">
        <v>0</v>
      </c>
      <c r="XAO85" s="70">
        <v>0</v>
      </c>
      <c r="XAP85" s="70">
        <v>0</v>
      </c>
      <c r="XAQ85" s="70">
        <v>0</v>
      </c>
      <c r="XAR85" s="70">
        <v>0</v>
      </c>
      <c r="XAS85" s="70">
        <v>0</v>
      </c>
      <c r="XAT85" s="70">
        <v>0</v>
      </c>
      <c r="XAU85" s="70">
        <v>0</v>
      </c>
      <c r="XAV85" s="70">
        <v>0</v>
      </c>
      <c r="XAW85" s="70">
        <v>0</v>
      </c>
      <c r="XAX85" s="70">
        <v>0</v>
      </c>
      <c r="XAY85" s="70">
        <v>0</v>
      </c>
      <c r="XAZ85" s="70">
        <v>0</v>
      </c>
      <c r="XBA85" s="70">
        <v>0</v>
      </c>
      <c r="XBB85" s="70">
        <v>0</v>
      </c>
      <c r="XBC85" s="70">
        <v>0</v>
      </c>
      <c r="XBD85" s="70">
        <v>0</v>
      </c>
      <c r="XBE85" s="70">
        <v>0</v>
      </c>
      <c r="XBF85" s="70">
        <v>0</v>
      </c>
      <c r="XBG85" s="70">
        <v>0</v>
      </c>
      <c r="XBH85" s="70">
        <v>0</v>
      </c>
      <c r="XBI85" s="70">
        <v>0</v>
      </c>
      <c r="XBJ85" s="70">
        <v>0</v>
      </c>
      <c r="XBK85" s="70">
        <v>0</v>
      </c>
      <c r="XBL85" s="70">
        <v>0</v>
      </c>
      <c r="XBM85" s="70">
        <v>0</v>
      </c>
      <c r="XBN85" s="70">
        <v>0</v>
      </c>
      <c r="XBO85" s="70">
        <v>0</v>
      </c>
      <c r="XBP85" s="70">
        <v>0</v>
      </c>
      <c r="XBQ85" s="70">
        <v>0</v>
      </c>
      <c r="XBR85" s="70">
        <v>0</v>
      </c>
      <c r="XBS85" s="70">
        <v>0</v>
      </c>
      <c r="XBT85" s="70">
        <v>0</v>
      </c>
      <c r="XBU85" s="70">
        <v>0</v>
      </c>
      <c r="XBV85" s="70">
        <v>0</v>
      </c>
      <c r="XBW85" s="70">
        <v>0</v>
      </c>
      <c r="XBX85" s="70">
        <v>0</v>
      </c>
      <c r="XBY85" s="70">
        <v>0</v>
      </c>
      <c r="XBZ85" s="70">
        <v>0</v>
      </c>
      <c r="XCA85" s="70">
        <v>0</v>
      </c>
      <c r="XCB85" s="70">
        <v>0</v>
      </c>
      <c r="XCC85" s="70">
        <v>0</v>
      </c>
      <c r="XCD85" s="70">
        <v>0</v>
      </c>
      <c r="XCE85" s="70">
        <v>0</v>
      </c>
      <c r="XCF85" s="70">
        <v>0</v>
      </c>
      <c r="XCG85" s="70">
        <v>0</v>
      </c>
      <c r="XCH85" s="70">
        <v>0</v>
      </c>
      <c r="XCI85" s="70">
        <v>0</v>
      </c>
      <c r="XCJ85" s="70">
        <v>0</v>
      </c>
      <c r="XCK85" s="70">
        <v>0</v>
      </c>
      <c r="XCL85" s="70">
        <v>0</v>
      </c>
      <c r="XCM85" s="70">
        <v>0</v>
      </c>
      <c r="XCN85" s="70">
        <v>0</v>
      </c>
      <c r="XCO85" s="70">
        <v>0</v>
      </c>
      <c r="XCP85" s="70">
        <v>0</v>
      </c>
      <c r="XCQ85" s="70">
        <v>0</v>
      </c>
      <c r="XCR85" s="70">
        <v>0</v>
      </c>
      <c r="XCS85" s="70">
        <v>0</v>
      </c>
      <c r="XCT85" s="70">
        <v>0</v>
      </c>
      <c r="XCU85" s="70">
        <v>0</v>
      </c>
      <c r="XCV85" s="70">
        <v>0</v>
      </c>
      <c r="XCW85" s="70">
        <v>0</v>
      </c>
      <c r="XCX85" s="70">
        <v>0</v>
      </c>
      <c r="XCY85" s="70">
        <v>0</v>
      </c>
      <c r="XCZ85" s="70">
        <v>0</v>
      </c>
      <c r="XDA85" s="70">
        <v>0</v>
      </c>
      <c r="XDB85" s="70">
        <v>0</v>
      </c>
      <c r="XDC85" s="70">
        <v>0</v>
      </c>
      <c r="XDD85" s="70">
        <v>0</v>
      </c>
      <c r="XDE85" s="70">
        <v>0</v>
      </c>
      <c r="XDF85" s="70">
        <v>0</v>
      </c>
      <c r="XDG85" s="70">
        <v>0</v>
      </c>
      <c r="XDH85" s="70">
        <v>0</v>
      </c>
      <c r="XDI85" s="70">
        <v>0</v>
      </c>
      <c r="XDJ85" s="70">
        <v>0</v>
      </c>
      <c r="XDK85" s="70">
        <v>0</v>
      </c>
      <c r="XDL85" s="70">
        <v>0</v>
      </c>
      <c r="XDM85" s="70">
        <v>0</v>
      </c>
      <c r="XDN85" s="70">
        <v>0</v>
      </c>
      <c r="XDO85" s="70">
        <v>0</v>
      </c>
      <c r="XDP85" s="70">
        <v>0</v>
      </c>
      <c r="XDQ85" s="70">
        <v>0</v>
      </c>
      <c r="XDR85" s="70">
        <v>0</v>
      </c>
      <c r="XDS85" s="70">
        <v>0</v>
      </c>
      <c r="XDT85" s="70">
        <v>0</v>
      </c>
      <c r="XDU85" s="70">
        <v>0</v>
      </c>
      <c r="XDV85" s="70">
        <v>0</v>
      </c>
      <c r="XDW85" s="70">
        <v>0</v>
      </c>
      <c r="XDX85" s="70">
        <v>0</v>
      </c>
      <c r="XDY85" s="70">
        <v>0</v>
      </c>
      <c r="XDZ85" s="70">
        <v>0</v>
      </c>
      <c r="XEA85" s="70">
        <v>0</v>
      </c>
      <c r="XEB85" s="70">
        <v>0</v>
      </c>
      <c r="XEC85" s="70">
        <v>0</v>
      </c>
      <c r="XED85" s="70">
        <v>0</v>
      </c>
      <c r="XEE85" s="70">
        <v>0</v>
      </c>
      <c r="XEF85" s="70">
        <v>0</v>
      </c>
      <c r="XEG85" s="70">
        <v>0</v>
      </c>
      <c r="XEH85" s="70">
        <v>0</v>
      </c>
      <c r="XEI85" s="70">
        <v>0</v>
      </c>
      <c r="XEJ85" s="70">
        <v>0</v>
      </c>
      <c r="XEK85" s="70">
        <v>0</v>
      </c>
      <c r="XEL85" s="70">
        <v>0</v>
      </c>
      <c r="XEM85" s="70">
        <v>0</v>
      </c>
      <c r="XEN85" s="70">
        <v>0</v>
      </c>
      <c r="XEO85" s="70">
        <v>0</v>
      </c>
      <c r="XEP85" s="70">
        <v>0</v>
      </c>
      <c r="XEQ85" s="70">
        <v>0</v>
      </c>
      <c r="XER85" s="70">
        <v>0</v>
      </c>
      <c r="XES85" s="70">
        <v>0</v>
      </c>
      <c r="XET85" s="70">
        <v>0</v>
      </c>
      <c r="XEU85" s="70">
        <v>0</v>
      </c>
      <c r="XEV85" s="70">
        <v>0</v>
      </c>
      <c r="XEW85" s="70">
        <v>0</v>
      </c>
      <c r="XEX85" s="70">
        <v>0</v>
      </c>
      <c r="XEY85" s="70">
        <v>0</v>
      </c>
      <c r="XEZ85" s="70">
        <v>0</v>
      </c>
      <c r="XFA85" s="70">
        <v>0</v>
      </c>
      <c r="XFB85" s="70">
        <v>0</v>
      </c>
      <c r="XFC85" s="70">
        <v>0</v>
      </c>
      <c r="XFD85" s="70">
        <v>0</v>
      </c>
    </row>
    <row r="86" spans="1:16384" ht="15" x14ac:dyDescent="0.35">
      <c r="C86" s="20"/>
    </row>
    <row r="87" spans="1:16384" ht="15" x14ac:dyDescent="0.35">
      <c r="C87" s="20"/>
    </row>
    <row r="88" spans="1:16384" ht="15" x14ac:dyDescent="0.35">
      <c r="C88" s="20"/>
    </row>
  </sheetData>
  <mergeCells count="15">
    <mergeCell ref="C52:I54"/>
    <mergeCell ref="C55:I57"/>
    <mergeCell ref="C58:I62"/>
    <mergeCell ref="D17:D18"/>
    <mergeCell ref="E17:E18"/>
    <mergeCell ref="F17:F18"/>
    <mergeCell ref="G17:G18"/>
    <mergeCell ref="H17:H18"/>
    <mergeCell ref="D43:D44"/>
    <mergeCell ref="E43:E44"/>
    <mergeCell ref="F43:F44"/>
    <mergeCell ref="G43:G44"/>
    <mergeCell ref="H43:H44"/>
    <mergeCell ref="C26:I30"/>
    <mergeCell ref="C31:I33"/>
  </mergeCells>
  <hyperlinks>
    <hyperlink ref="D3" location="'Table of contents'!A1" display="Back to Table of contents" xr:uid="{75AFE274-E764-4A31-B9D7-DB4D1D7CB364}"/>
    <hyperlink ref="C7" location="'B. Annual data'!A67" display="Food delivery" xr:uid="{96E876C8-B931-40C9-9936-7648B6AFF464}"/>
    <hyperlink ref="C5" location="'B. Annual data'!A10" display="Company level" xr:uid="{C3E60FEE-FC31-48F4-8DE2-CDA30A8D0078}"/>
    <hyperlink ref="C64" location="'B. Annual data'!A1" display="Back to Top" xr:uid="{13FCC812-240D-4199-BF20-CF16E590460A}"/>
    <hyperlink ref="C80" location="'B. Annual data'!A1" display="Back to Top" xr:uid="{318470E1-AA32-4AF7-9C1C-C35902FA4BD0}"/>
    <hyperlink ref="C36" location="'B. Annual data'!A1" display="Back to Top" xr:uid="{C637BC08-DBFF-40DE-ACE4-20FEAC1208C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42DE9-45E9-4429-9A2D-63C92681D472}">
  <sheetPr codeName="Sheet5"/>
  <dimension ref="A1"/>
  <sheetViews>
    <sheetView view="pageBreakPreview" zoomScale="66" zoomScaleNormal="100" workbookViewId="0">
      <selection activeCell="G17" sqref="G17"/>
    </sheetView>
  </sheetViews>
  <sheetFormatPr defaultRowHeight="14.5" x14ac:dyDescent="0.35"/>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35DAA-1B23-4214-B34D-BBB744298CC9}">
  <sheetPr codeName="Sheet9">
    <tabColor rgb="FFF1C8C1"/>
    <pageSetUpPr fitToPage="1"/>
  </sheetPr>
  <dimension ref="A1:AA107"/>
  <sheetViews>
    <sheetView showGridLines="0" tabSelected="1" zoomScale="62" zoomScaleNormal="80" workbookViewId="0">
      <selection activeCell="E116" sqref="E116"/>
    </sheetView>
  </sheetViews>
  <sheetFormatPr defaultRowHeight="14.5" outlineLevelRow="1" x14ac:dyDescent="0.35"/>
  <cols>
    <col min="1" max="1" width="0.81640625" customWidth="1"/>
    <col min="2" max="2" width="1.7265625" customWidth="1"/>
    <col min="3" max="3" width="35.54296875" customWidth="1"/>
    <col min="4" max="4" width="8.7265625" customWidth="1"/>
    <col min="5" max="12" width="9.54296875" customWidth="1"/>
    <col min="14" max="15" width="11.453125" bestFit="1" customWidth="1"/>
    <col min="16" max="16" width="14.26953125" bestFit="1" customWidth="1"/>
    <col min="17" max="18" width="11.453125" bestFit="1" customWidth="1"/>
    <col min="20" max="24" width="11.453125" bestFit="1" customWidth="1"/>
    <col min="25" max="25" width="0.81640625" customWidth="1"/>
  </cols>
  <sheetData>
    <row r="1" spans="1:22" ht="5.15" customHeight="1" x14ac:dyDescent="0.35"/>
    <row r="2" spans="1:22" ht="15" thickBot="1" x14ac:dyDescent="0.4">
      <c r="A2" s="139"/>
      <c r="B2" s="140" t="s">
        <v>261</v>
      </c>
      <c r="C2" s="139"/>
      <c r="D2" s="139"/>
      <c r="E2" s="139"/>
      <c r="F2" s="139"/>
      <c r="G2" s="139"/>
      <c r="H2" s="139"/>
      <c r="I2" s="139"/>
      <c r="J2" s="139"/>
      <c r="K2" s="139"/>
      <c r="L2" s="139"/>
      <c r="M2" s="139"/>
      <c r="N2" s="139"/>
      <c r="O2" s="139"/>
      <c r="P2" s="139"/>
      <c r="Q2" s="139"/>
      <c r="R2" s="139"/>
      <c r="S2" s="139"/>
      <c r="T2" s="139"/>
      <c r="U2" s="139"/>
      <c r="V2" s="139"/>
    </row>
    <row r="3" spans="1:22" x14ac:dyDescent="0.35">
      <c r="B3" s="141" t="s">
        <v>262</v>
      </c>
    </row>
    <row r="4" spans="1:22" x14ac:dyDescent="0.35">
      <c r="F4">
        <v>0.25</v>
      </c>
      <c r="G4">
        <f>F4+1</f>
        <v>1.25</v>
      </c>
      <c r="H4">
        <f t="shared" ref="H4:K4" si="0">G4+1</f>
        <v>2.25</v>
      </c>
      <c r="I4">
        <f t="shared" si="0"/>
        <v>3.25</v>
      </c>
      <c r="J4">
        <f t="shared" si="0"/>
        <v>4.25</v>
      </c>
      <c r="K4">
        <f t="shared" si="0"/>
        <v>5.25</v>
      </c>
    </row>
    <row r="5" spans="1:22" ht="5.15" customHeight="1" x14ac:dyDescent="0.35"/>
    <row r="6" spans="1:22" x14ac:dyDescent="0.35">
      <c r="E6" s="142" t="s">
        <v>221</v>
      </c>
      <c r="F6" s="143"/>
      <c r="G6" s="143"/>
      <c r="H6" s="143"/>
      <c r="I6" s="144"/>
      <c r="J6" s="144"/>
      <c r="K6" s="143"/>
      <c r="L6" s="218"/>
      <c r="M6" s="218"/>
      <c r="N6" s="218"/>
      <c r="O6" s="218"/>
    </row>
    <row r="7" spans="1:22" ht="14.5" customHeight="1" x14ac:dyDescent="0.35">
      <c r="E7" s="214">
        <v>2024</v>
      </c>
      <c r="F7" s="145">
        <f>E7+1</f>
        <v>2025</v>
      </c>
      <c r="G7" s="145">
        <f t="shared" ref="G7:K7" si="1">F7+1</f>
        <v>2026</v>
      </c>
      <c r="H7" s="145">
        <f t="shared" si="1"/>
        <v>2027</v>
      </c>
      <c r="I7" s="145">
        <f t="shared" si="1"/>
        <v>2028</v>
      </c>
      <c r="J7" s="145">
        <f t="shared" si="1"/>
        <v>2029</v>
      </c>
      <c r="K7" s="145">
        <f t="shared" si="1"/>
        <v>2030</v>
      </c>
      <c r="L7" s="219"/>
      <c r="M7" s="219"/>
      <c r="N7" s="219"/>
      <c r="O7" s="219"/>
    </row>
    <row r="8" spans="1:22" ht="14.5" customHeight="1" x14ac:dyDescent="0.35">
      <c r="C8" s="148" t="s">
        <v>11</v>
      </c>
    </row>
    <row r="9" spans="1:22" ht="14.5" customHeight="1" x14ac:dyDescent="0.35">
      <c r="C9" s="319" t="s">
        <v>21</v>
      </c>
      <c r="D9" s="320"/>
      <c r="E9" s="325">
        <f>'B. Annual data'!I14</f>
        <v>77.92</v>
      </c>
      <c r="F9" s="322">
        <f>F13*F11</f>
        <v>93.379764705882337</v>
      </c>
      <c r="G9" s="322">
        <f t="shared" ref="G9:J9" si="2">G13*G11</f>
        <v>112.5197432470588</v>
      </c>
      <c r="H9" s="322">
        <f t="shared" si="2"/>
        <v>135.58052261647057</v>
      </c>
      <c r="I9" s="322">
        <f t="shared" si="2"/>
        <v>163.36482400376468</v>
      </c>
      <c r="J9" s="322">
        <f t="shared" si="2"/>
        <v>196.83962504131759</v>
      </c>
      <c r="K9" s="322">
        <f t="shared" ref="K9" si="3">K13*K11</f>
        <v>217.40560740592937</v>
      </c>
    </row>
    <row r="10" spans="1:22" ht="14.5" customHeight="1" x14ac:dyDescent="0.35">
      <c r="C10" s="312" t="s">
        <v>318</v>
      </c>
      <c r="D10" s="216"/>
      <c r="E10" s="231"/>
      <c r="F10" s="316">
        <f>F9/E9-1</f>
        <v>0.19840560454161116</v>
      </c>
      <c r="G10" s="316">
        <f t="shared" ref="G10:K10" si="4">G9/F9-1</f>
        <v>0.20496923076923079</v>
      </c>
      <c r="H10" s="316">
        <f t="shared" si="4"/>
        <v>0.20494873791861923</v>
      </c>
      <c r="I10" s="316">
        <f t="shared" si="4"/>
        <v>0.20492841339673973</v>
      </c>
      <c r="J10" s="316">
        <f t="shared" si="4"/>
        <v>0.20490825513809208</v>
      </c>
      <c r="K10" s="316">
        <f t="shared" si="4"/>
        <v>0.10448090601826165</v>
      </c>
      <c r="L10" s="246" t="s">
        <v>315</v>
      </c>
      <c r="M10" s="79"/>
      <c r="N10" s="79" t="s">
        <v>327</v>
      </c>
    </row>
    <row r="11" spans="1:22" ht="14.5" customHeight="1" x14ac:dyDescent="0.35">
      <c r="C11" s="228" t="s">
        <v>325</v>
      </c>
      <c r="D11" s="216"/>
      <c r="E11" s="249">
        <f>'B. Annual data'!I71</f>
        <v>322.24</v>
      </c>
      <c r="F11" s="233">
        <f>E11*(1+F12)</f>
        <v>386.68799999999999</v>
      </c>
      <c r="G11" s="233">
        <f t="shared" ref="G11:K11" si="5">F11*(1+G12)</f>
        <v>464.02559999999994</v>
      </c>
      <c r="H11" s="233">
        <f t="shared" si="5"/>
        <v>556.83071999999993</v>
      </c>
      <c r="I11" s="233">
        <f t="shared" si="5"/>
        <v>668.19686399999989</v>
      </c>
      <c r="J11" s="233">
        <f t="shared" si="5"/>
        <v>801.83623679999982</v>
      </c>
      <c r="K11" s="233">
        <f t="shared" si="5"/>
        <v>882.01986047999992</v>
      </c>
      <c r="L11" s="246"/>
      <c r="M11" s="79"/>
    </row>
    <row r="12" spans="1:22" ht="14.5" customHeight="1" x14ac:dyDescent="0.35">
      <c r="C12" s="225" t="s">
        <v>326</v>
      </c>
      <c r="D12" s="216"/>
      <c r="E12" s="231"/>
      <c r="F12" s="257">
        <v>0.2</v>
      </c>
      <c r="G12" s="257">
        <v>0.2</v>
      </c>
      <c r="H12" s="257">
        <v>0.2</v>
      </c>
      <c r="I12" s="257">
        <v>0.2</v>
      </c>
      <c r="J12" s="257">
        <v>0.2</v>
      </c>
      <c r="K12" s="257">
        <v>0.1</v>
      </c>
      <c r="L12" s="246" t="s">
        <v>315</v>
      </c>
      <c r="M12" s="224" t="s">
        <v>205</v>
      </c>
      <c r="N12" t="s">
        <v>321</v>
      </c>
    </row>
    <row r="13" spans="1:22" ht="14.5" customHeight="1" x14ac:dyDescent="0.35">
      <c r="C13" s="225" t="s">
        <v>201</v>
      </c>
      <c r="D13" s="216"/>
      <c r="E13" s="315">
        <f>'B. Annual data'!I14/'B. Annual data'!I71</f>
        <v>0.24180734856007943</v>
      </c>
      <c r="F13" s="238">
        <f>'A. Quarterly data'!P75/'A. Quarterly data'!P74</f>
        <v>0.24148606811145509</v>
      </c>
      <c r="G13" s="316">
        <f>F13+0.001</f>
        <v>0.24248606811145509</v>
      </c>
      <c r="H13" s="316">
        <f t="shared" ref="H13:K13" si="6">G13+0.001</f>
        <v>0.2434860681114551</v>
      </c>
      <c r="I13" s="316">
        <f t="shared" si="6"/>
        <v>0.2444860681114551</v>
      </c>
      <c r="J13" s="316">
        <f t="shared" si="6"/>
        <v>0.2454860681114551</v>
      </c>
      <c r="K13" s="316">
        <f t="shared" si="6"/>
        <v>0.2464860681114551</v>
      </c>
      <c r="L13" s="246" t="s">
        <v>315</v>
      </c>
      <c r="M13" s="79"/>
      <c r="N13" t="s">
        <v>319</v>
      </c>
    </row>
    <row r="14" spans="1:22" ht="14.5" customHeight="1" x14ac:dyDescent="0.35">
      <c r="C14" s="319" t="s">
        <v>15</v>
      </c>
      <c r="D14" s="320"/>
      <c r="E14" s="323">
        <f>'B. Annual data'!I15</f>
        <v>31.72</v>
      </c>
      <c r="F14" s="322">
        <f>E14*(1+F15)</f>
        <v>66.809986719787517</v>
      </c>
      <c r="G14" s="324">
        <f t="shared" ref="G14:K14" si="7">F14*(1+G15)</f>
        <v>120.67498398085391</v>
      </c>
      <c r="H14" s="324">
        <f t="shared" si="7"/>
        <v>187.79944220181093</v>
      </c>
      <c r="I14" s="322">
        <f t="shared" si="7"/>
        <v>245.31146261580506</v>
      </c>
      <c r="J14" s="322">
        <f t="shared" si="7"/>
        <v>294.37375513896603</v>
      </c>
      <c r="K14" s="322">
        <f t="shared" si="7"/>
        <v>338.5298184098109</v>
      </c>
      <c r="L14" s="246" t="s">
        <v>315</v>
      </c>
      <c r="M14" s="224" t="s">
        <v>205</v>
      </c>
      <c r="N14" t="s">
        <v>276</v>
      </c>
    </row>
    <row r="15" spans="1:22" ht="14.5" customHeight="1" x14ac:dyDescent="0.35">
      <c r="C15" s="312" t="s">
        <v>318</v>
      </c>
      <c r="D15" s="216"/>
      <c r="E15" s="231"/>
      <c r="F15" s="238">
        <f>'B. Annual data'!I15/'B. Annual data'!H15-1</f>
        <v>1.1062416998671978</v>
      </c>
      <c r="G15" s="256">
        <f>F15-0.3</f>
        <v>0.80624169986719774</v>
      </c>
      <c r="H15" s="256">
        <f t="shared" ref="H15:I15" si="8">G15-0.25</f>
        <v>0.55624169986719774</v>
      </c>
      <c r="I15" s="256">
        <f t="shared" si="8"/>
        <v>0.30624169986719774</v>
      </c>
      <c r="J15" s="256">
        <v>0.2</v>
      </c>
      <c r="K15" s="257">
        <v>0.15</v>
      </c>
      <c r="N15" t="s">
        <v>277</v>
      </c>
    </row>
    <row r="16" spans="1:22" ht="14.5" customHeight="1" x14ac:dyDescent="0.35">
      <c r="C16" s="319" t="s">
        <v>196</v>
      </c>
      <c r="D16" s="320"/>
      <c r="E16" s="325">
        <f>'B. Annual data'!I16</f>
        <v>23.01</v>
      </c>
      <c r="F16" s="321">
        <f>F23*F21</f>
        <v>48.259828897586438</v>
      </c>
      <c r="G16" s="321">
        <f>G23*G21</f>
        <v>99.013457795172869</v>
      </c>
      <c r="H16" s="321">
        <f t="shared" ref="H16:K16" si="9">H23*H21</f>
        <v>166.95852543561645</v>
      </c>
      <c r="I16" s="321">
        <f t="shared" si="9"/>
        <v>284.03968191123289</v>
      </c>
      <c r="J16" s="321">
        <f t="shared" si="9"/>
        <v>482.67342347726037</v>
      </c>
      <c r="K16" s="321">
        <f t="shared" si="9"/>
        <v>602.41003899178088</v>
      </c>
      <c r="L16" s="246" t="s">
        <v>315</v>
      </c>
    </row>
    <row r="17" spans="2:18" ht="14.5" customHeight="1" x14ac:dyDescent="0.35">
      <c r="C17" s="312" t="s">
        <v>318</v>
      </c>
      <c r="D17" s="216"/>
      <c r="E17" s="235"/>
      <c r="F17" s="234">
        <f>F16/E16-1</f>
        <v>1.097341542702583</v>
      </c>
      <c r="G17" s="234">
        <f t="shared" ref="G17:K17" si="10">G16/F16-1</f>
        <v>1.0516744476092561</v>
      </c>
      <c r="H17" s="234">
        <f t="shared" si="10"/>
        <v>0.68622053156652862</v>
      </c>
      <c r="I17" s="234">
        <f t="shared" si="10"/>
        <v>0.70125892745001495</v>
      </c>
      <c r="J17" s="234">
        <f t="shared" si="10"/>
        <v>0.69931687090152361</v>
      </c>
      <c r="K17" s="234">
        <f t="shared" si="10"/>
        <v>0.24806962573559121</v>
      </c>
    </row>
    <row r="18" spans="2:18" ht="14.5" customHeight="1" x14ac:dyDescent="0.35">
      <c r="C18" s="228" t="s">
        <v>259</v>
      </c>
      <c r="D18" s="216"/>
      <c r="E18" s="249">
        <f>'Key data collection'!C3*84</f>
        <v>280.56</v>
      </c>
      <c r="F18" s="236">
        <f>E18*(1+F19)</f>
        <v>561.12</v>
      </c>
      <c r="G18" s="236">
        <f t="shared" ref="G18:K18" si="11">F18*(1+G19)</f>
        <v>1122.24</v>
      </c>
      <c r="H18" s="236">
        <f t="shared" si="11"/>
        <v>1907.808</v>
      </c>
      <c r="I18" s="236">
        <f t="shared" si="11"/>
        <v>3243.2736</v>
      </c>
      <c r="J18" s="236">
        <f t="shared" si="11"/>
        <v>5513.5651200000002</v>
      </c>
      <c r="K18" s="236">
        <f t="shared" si="11"/>
        <v>6891.9564</v>
      </c>
      <c r="L18" s="246" t="s">
        <v>315</v>
      </c>
      <c r="N18" s="79" t="s">
        <v>363</v>
      </c>
    </row>
    <row r="19" spans="2:18" ht="14.5" customHeight="1" x14ac:dyDescent="0.35">
      <c r="C19" s="312" t="s">
        <v>256</v>
      </c>
      <c r="D19" s="216"/>
      <c r="E19" s="347"/>
      <c r="F19" s="257">
        <v>1</v>
      </c>
      <c r="G19" s="257">
        <v>1</v>
      </c>
      <c r="H19" s="257">
        <v>0.7</v>
      </c>
      <c r="I19" s="257">
        <v>0.7</v>
      </c>
      <c r="J19" s="257">
        <v>0.7</v>
      </c>
      <c r="K19" s="257">
        <v>0.25</v>
      </c>
      <c r="L19" s="246" t="s">
        <v>315</v>
      </c>
      <c r="M19" s="136">
        <v>0.71599999999999997</v>
      </c>
      <c r="N19" s="79" t="s">
        <v>278</v>
      </c>
      <c r="R19" t="s">
        <v>320</v>
      </c>
    </row>
    <row r="20" spans="2:18" ht="14.5" customHeight="1" x14ac:dyDescent="0.35">
      <c r="C20" s="225" t="s">
        <v>257</v>
      </c>
      <c r="D20" s="216"/>
      <c r="E20" s="257">
        <v>0.45</v>
      </c>
      <c r="F20" s="257">
        <f>E20</f>
        <v>0.45</v>
      </c>
      <c r="G20" s="232">
        <f>F20-0.01</f>
        <v>0.44</v>
      </c>
      <c r="H20" s="232">
        <f>G20-0.01</f>
        <v>0.43</v>
      </c>
      <c r="I20" s="232">
        <f t="shared" ref="I20:K20" si="12">H20-0.01</f>
        <v>0.42</v>
      </c>
      <c r="J20" s="232">
        <f t="shared" si="12"/>
        <v>0.41</v>
      </c>
      <c r="K20" s="232">
        <f t="shared" si="12"/>
        <v>0.39999999999999997</v>
      </c>
      <c r="L20" s="246" t="s">
        <v>315</v>
      </c>
      <c r="M20" s="79" t="s">
        <v>205</v>
      </c>
      <c r="N20" t="s">
        <v>206</v>
      </c>
      <c r="P20" s="135" t="s">
        <v>322</v>
      </c>
    </row>
    <row r="21" spans="2:18" ht="14.5" customHeight="1" x14ac:dyDescent="0.35">
      <c r="C21" s="225" t="s">
        <v>258</v>
      </c>
      <c r="D21" s="216"/>
      <c r="E21" s="249">
        <f>SUM('A. Quarterly data'!K105:N105,)</f>
        <v>124.69</v>
      </c>
      <c r="F21" s="229">
        <f>E21*(1+F22)</f>
        <v>249.38</v>
      </c>
      <c r="G21" s="229">
        <f>F21*(1+G22)</f>
        <v>498.76</v>
      </c>
      <c r="H21" s="229">
        <f>H20*H18</f>
        <v>820.35744</v>
      </c>
      <c r="I21" s="229">
        <f t="shared" ref="I21:K21" si="13">I20*I18</f>
        <v>1362.1749119999999</v>
      </c>
      <c r="J21" s="229">
        <f t="shared" si="13"/>
        <v>2260.5616992</v>
      </c>
      <c r="K21" s="229">
        <f t="shared" si="13"/>
        <v>2756.7825599999996</v>
      </c>
    </row>
    <row r="22" spans="2:18" ht="14.5" customHeight="1" x14ac:dyDescent="0.35">
      <c r="C22" s="312" t="s">
        <v>357</v>
      </c>
      <c r="D22" s="216"/>
      <c r="E22" s="346"/>
      <c r="F22" s="257">
        <v>1</v>
      </c>
      <c r="G22" s="257">
        <v>1</v>
      </c>
      <c r="H22" s="234">
        <f t="shared" ref="H22:K22" si="14">H21/G21-1</f>
        <v>0.64479396904322717</v>
      </c>
      <c r="I22" s="234">
        <f>I21/H21-1</f>
        <v>0.66046511627906979</v>
      </c>
      <c r="J22" s="234">
        <f t="shared" si="14"/>
        <v>0.65952380952380962</v>
      </c>
      <c r="K22" s="234">
        <f t="shared" si="14"/>
        <v>0.21951219512195097</v>
      </c>
      <c r="L22" s="246" t="s">
        <v>315</v>
      </c>
      <c r="N22" s="79" t="s">
        <v>360</v>
      </c>
    </row>
    <row r="23" spans="2:18" ht="14.5" customHeight="1" x14ac:dyDescent="0.35">
      <c r="C23" s="225" t="s">
        <v>201</v>
      </c>
      <c r="D23" s="216"/>
      <c r="E23" s="238">
        <f>'A. Quarterly data'!P106/'A. Quarterly data'!P105</f>
        <v>0.18851924331376388</v>
      </c>
      <c r="F23" s="232">
        <f>E23+0.005</f>
        <v>0.19351924331376388</v>
      </c>
      <c r="G23" s="232">
        <f t="shared" ref="G23:K23" si="15">F23+0.005</f>
        <v>0.19851924331376389</v>
      </c>
      <c r="H23" s="232">
        <f t="shared" si="15"/>
        <v>0.20351924331376389</v>
      </c>
      <c r="I23" s="232">
        <f t="shared" si="15"/>
        <v>0.2085192433137639</v>
      </c>
      <c r="J23" s="232">
        <f t="shared" si="15"/>
        <v>0.2135192433137639</v>
      </c>
      <c r="K23" s="232">
        <f t="shared" si="15"/>
        <v>0.21851924331376391</v>
      </c>
      <c r="L23" s="246" t="s">
        <v>315</v>
      </c>
      <c r="M23" s="245"/>
      <c r="N23" t="s">
        <v>319</v>
      </c>
    </row>
    <row r="24" spans="2:18" ht="14.5" customHeight="1" x14ac:dyDescent="0.35">
      <c r="C24" s="319" t="s">
        <v>121</v>
      </c>
      <c r="D24" s="320"/>
      <c r="E24" s="325">
        <f>'B. Annual data'!I17</f>
        <v>2.58</v>
      </c>
      <c r="F24" s="322">
        <f>F28*F26</f>
        <v>7.9991309528075405</v>
      </c>
      <c r="G24" s="322">
        <f t="shared" ref="G24:K24" si="16">G28*G26</f>
        <v>20.153763943634218</v>
      </c>
      <c r="H24" s="322">
        <f t="shared" si="16"/>
        <v>45.418879582183692</v>
      </c>
      <c r="I24" s="322">
        <f t="shared" si="16"/>
        <v>82.464661090855358</v>
      </c>
      <c r="J24" s="322">
        <f t="shared" si="16"/>
        <v>119.62479607804497</v>
      </c>
      <c r="K24" s="322">
        <f t="shared" si="16"/>
        <v>154.74883328611554</v>
      </c>
    </row>
    <row r="25" spans="2:18" ht="14.5" customHeight="1" x14ac:dyDescent="0.35">
      <c r="C25" s="312" t="s">
        <v>318</v>
      </c>
      <c r="D25" s="216"/>
      <c r="E25" s="235"/>
      <c r="F25" s="234">
        <f>F24/E24-1</f>
        <v>2.1004383538013722</v>
      </c>
      <c r="G25" s="234">
        <f t="shared" ref="G25" si="17">G24/F24-1</f>
        <v>1.5194941878730757</v>
      </c>
      <c r="H25" s="234">
        <f t="shared" ref="H25" si="18">H24/G24-1</f>
        <v>1.2536177216926139</v>
      </c>
      <c r="I25" s="234">
        <f t="shared" ref="I25" si="19">I24/H24-1</f>
        <v>0.81564719009941156</v>
      </c>
      <c r="J25" s="234">
        <f t="shared" ref="J25" si="20">J24/I24-1</f>
        <v>0.45061890142552663</v>
      </c>
      <c r="K25" s="234">
        <f t="shared" ref="K25" si="21">K24/J24-1</f>
        <v>0.29361836642258643</v>
      </c>
    </row>
    <row r="26" spans="2:18" ht="14.5" customHeight="1" x14ac:dyDescent="0.35">
      <c r="C26" s="225" t="s">
        <v>260</v>
      </c>
      <c r="D26" s="216"/>
      <c r="E26" s="235">
        <f>'A. Quarterly data'!K128+SUM('A. Quarterly data'!L128:N128)</f>
        <v>32.25</v>
      </c>
      <c r="F26" s="236">
        <f>E26*(1+F27)</f>
        <v>77.444722650231128</v>
      </c>
      <c r="G26" s="236">
        <f t="shared" ref="G26:K26" si="22">F26*(1+G27)</f>
        <v>170.3783898305085</v>
      </c>
      <c r="H26" s="236">
        <f t="shared" si="22"/>
        <v>340.75677966101699</v>
      </c>
      <c r="I26" s="236">
        <f t="shared" si="22"/>
        <v>596.32436440677975</v>
      </c>
      <c r="J26" s="236">
        <f t="shared" si="22"/>
        <v>834.85411016949161</v>
      </c>
      <c r="K26" s="236">
        <f t="shared" si="22"/>
        <v>1043.5676377118646</v>
      </c>
      <c r="N26" s="318" t="s">
        <v>329</v>
      </c>
    </row>
    <row r="27" spans="2:18" ht="14.5" customHeight="1" x14ac:dyDescent="0.35">
      <c r="C27" s="225" t="s">
        <v>333</v>
      </c>
      <c r="D27" s="216"/>
      <c r="E27" s="231"/>
      <c r="F27" s="257">
        <f>SUM('A. Quarterly data'!O128:P128)/SUM('A. Quarterly data'!K128:L128)-1</f>
        <v>1.4013867488443759</v>
      </c>
      <c r="G27" s="257">
        <v>1.2</v>
      </c>
      <c r="H27" s="257">
        <v>1</v>
      </c>
      <c r="I27" s="257">
        <f t="shared" ref="I27" si="23">H27-0.25</f>
        <v>0.75</v>
      </c>
      <c r="J27" s="257">
        <v>0.4</v>
      </c>
      <c r="K27" s="257">
        <v>0.25</v>
      </c>
      <c r="L27" s="246" t="s">
        <v>315</v>
      </c>
      <c r="M27" s="224" t="s">
        <v>205</v>
      </c>
      <c r="N27" t="s">
        <v>283</v>
      </c>
    </row>
    <row r="28" spans="2:18" ht="14.5" customHeight="1" x14ac:dyDescent="0.35">
      <c r="C28" s="225" t="s">
        <v>282</v>
      </c>
      <c r="D28" s="216"/>
      <c r="E28" s="238">
        <f>'A. Quarterly data'!P130/'A. Quarterly data'!P128</f>
        <v>8.328826392644674E-2</v>
      </c>
      <c r="F28" s="232">
        <f>E28+0.02</f>
        <v>0.10328826392644674</v>
      </c>
      <c r="G28" s="232">
        <f t="shared" ref="G28:H28" si="24">F28+0.015</f>
        <v>0.11828826392644674</v>
      </c>
      <c r="H28" s="232">
        <f t="shared" si="24"/>
        <v>0.13328826392644674</v>
      </c>
      <c r="I28" s="232">
        <f>H28+0.005</f>
        <v>0.13828826392644675</v>
      </c>
      <c r="J28" s="232">
        <f t="shared" ref="J28:K28" si="25">I28+0.005</f>
        <v>0.14328826392644675</v>
      </c>
      <c r="K28" s="232">
        <f t="shared" si="25"/>
        <v>0.14828826392644676</v>
      </c>
      <c r="L28" s="246" t="s">
        <v>315</v>
      </c>
      <c r="M28" s="224" t="s">
        <v>205</v>
      </c>
      <c r="N28" t="s">
        <v>323</v>
      </c>
    </row>
    <row r="29" spans="2:18" ht="14.5" customHeight="1" x14ac:dyDescent="0.35">
      <c r="C29" s="252" t="s">
        <v>271</v>
      </c>
      <c r="D29" s="226"/>
      <c r="E29" s="227">
        <v>0.22</v>
      </c>
      <c r="F29" s="230">
        <v>0</v>
      </c>
      <c r="G29" s="230">
        <v>0</v>
      </c>
      <c r="H29" s="230">
        <v>0</v>
      </c>
      <c r="I29" s="230">
        <v>0</v>
      </c>
      <c r="J29" s="230">
        <v>0</v>
      </c>
      <c r="K29" s="230">
        <v>0</v>
      </c>
    </row>
    <row r="30" spans="2:18" ht="14.5" customHeight="1" thickBot="1" x14ac:dyDescent="0.4">
      <c r="B30" s="148"/>
      <c r="C30" s="242" t="s">
        <v>255</v>
      </c>
      <c r="D30" s="241"/>
      <c r="E30" s="243">
        <f t="shared" ref="E30:K30" si="26">E9+E14+E16+E24+E29</f>
        <v>135.45000000000002</v>
      </c>
      <c r="F30" s="243">
        <f t="shared" si="26"/>
        <v>216.44871127606382</v>
      </c>
      <c r="G30" s="243">
        <f t="shared" si="26"/>
        <v>352.36194896671981</v>
      </c>
      <c r="H30" s="243">
        <f t="shared" si="26"/>
        <v>535.75736983608158</v>
      </c>
      <c r="I30" s="243">
        <f t="shared" si="26"/>
        <v>775.180629621658</v>
      </c>
      <c r="J30" s="243">
        <f t="shared" si="26"/>
        <v>1093.511599735589</v>
      </c>
      <c r="K30" s="243">
        <f t="shared" si="26"/>
        <v>1313.0942980936368</v>
      </c>
      <c r="L30" s="220"/>
      <c r="M30" s="220"/>
      <c r="N30" s="220"/>
      <c r="O30" s="220"/>
    </row>
    <row r="31" spans="2:18" ht="14.5" customHeight="1" x14ac:dyDescent="0.35">
      <c r="C31" s="135" t="s">
        <v>222</v>
      </c>
      <c r="E31" s="149"/>
      <c r="F31" s="149">
        <f>F30/E30-1</f>
        <v>0.59799713012966982</v>
      </c>
      <c r="G31" s="149">
        <f t="shared" ref="G31:K31" si="27">G30/F30-1</f>
        <v>0.6279235246511079</v>
      </c>
      <c r="H31" s="149">
        <f t="shared" si="27"/>
        <v>0.52047453309631697</v>
      </c>
      <c r="I31" s="149">
        <f t="shared" si="27"/>
        <v>0.44688747792462391</v>
      </c>
      <c r="J31" s="149">
        <f t="shared" si="27"/>
        <v>0.41065392754885877</v>
      </c>
      <c r="K31" s="149">
        <f t="shared" si="27"/>
        <v>0.20080509288711967</v>
      </c>
      <c r="L31" s="149"/>
      <c r="M31" s="149"/>
      <c r="N31" s="149"/>
      <c r="O31" s="149"/>
    </row>
    <row r="32" spans="2:18" ht="14.5" customHeight="1" x14ac:dyDescent="0.35">
      <c r="C32" s="135"/>
      <c r="E32" s="149"/>
      <c r="F32" s="149"/>
      <c r="G32" s="149"/>
      <c r="H32" s="149"/>
      <c r="I32" s="149"/>
      <c r="J32" s="149"/>
      <c r="K32" s="149"/>
      <c r="L32" s="149"/>
      <c r="M32" s="149"/>
      <c r="N32" s="149"/>
      <c r="O32" s="149"/>
    </row>
    <row r="33" spans="2:15" ht="14.5" customHeight="1" x14ac:dyDescent="0.35">
      <c r="B33" s="148"/>
      <c r="C33" s="148" t="s">
        <v>223</v>
      </c>
      <c r="L33" s="220"/>
      <c r="M33" s="220"/>
      <c r="N33" s="220"/>
      <c r="O33" s="220"/>
    </row>
    <row r="34" spans="2:15" ht="14.5" customHeight="1" x14ac:dyDescent="0.35">
      <c r="B34" s="148"/>
      <c r="C34" s="326" t="s">
        <v>21</v>
      </c>
      <c r="D34" s="320"/>
      <c r="E34" s="327">
        <f t="shared" ref="E34:K34" si="28">E35*E9</f>
        <v>9.120000000000001</v>
      </c>
      <c r="F34" s="327">
        <f t="shared" si="28"/>
        <v>13.287721087390569</v>
      </c>
      <c r="G34" s="327">
        <f t="shared" si="28"/>
        <v>16.011295057349098</v>
      </c>
      <c r="H34" s="327">
        <f t="shared" si="28"/>
        <v>19.292789771795423</v>
      </c>
      <c r="I34" s="327">
        <f t="shared" si="28"/>
        <v>23.246430569726307</v>
      </c>
      <c r="J34" s="327">
        <f t="shared" si="28"/>
        <v>28.009816095957728</v>
      </c>
      <c r="K34" s="327">
        <f t="shared" si="28"/>
        <v>32.610841110889403</v>
      </c>
      <c r="L34" s="246" t="s">
        <v>315</v>
      </c>
      <c r="M34" s="260" t="s">
        <v>284</v>
      </c>
      <c r="N34" s="220"/>
      <c r="O34" s="220"/>
    </row>
    <row r="35" spans="2:15" ht="14.5" customHeight="1" x14ac:dyDescent="0.35">
      <c r="B35" s="148"/>
      <c r="C35" s="225"/>
      <c r="E35" s="238">
        <f>SUM('A. Quarterly data'!K43:N43)/SUM('A. Quarterly data'!K31:N31)</f>
        <v>0.11704312114989734</v>
      </c>
      <c r="F35" s="239">
        <f>SUM('A. Quarterly data'!O43:P43)/SUM('A. Quarterly data'!O31:P31)</f>
        <v>0.14229765013054832</v>
      </c>
      <c r="G35" s="232">
        <f>F35</f>
        <v>0.14229765013054832</v>
      </c>
      <c r="H35" s="232">
        <f>G35+(G35-F35)</f>
        <v>0.14229765013054832</v>
      </c>
      <c r="I35" s="232">
        <f>H35</f>
        <v>0.14229765013054832</v>
      </c>
      <c r="J35" s="232">
        <f t="shared" ref="J35" si="29">I35</f>
        <v>0.14229765013054832</v>
      </c>
      <c r="K35" s="257">
        <v>0.15</v>
      </c>
      <c r="L35" s="220"/>
      <c r="M35" s="261" t="s">
        <v>285</v>
      </c>
      <c r="O35" s="220"/>
    </row>
    <row r="36" spans="2:15" ht="14.5" customHeight="1" x14ac:dyDescent="0.35">
      <c r="B36" s="148"/>
      <c r="C36" s="326" t="s">
        <v>15</v>
      </c>
      <c r="D36" s="320"/>
      <c r="E36" s="327">
        <f>E37*E14</f>
        <v>-1.26</v>
      </c>
      <c r="F36" s="327">
        <f t="shared" ref="F36:K36" si="30">F37*F14</f>
        <v>-0.95248453571998493</v>
      </c>
      <c r="G36" s="327">
        <f t="shared" si="30"/>
        <v>1.2964573126252639</v>
      </c>
      <c r="H36" s="327">
        <f t="shared" si="30"/>
        <v>6.7125869870504733</v>
      </c>
      <c r="I36" s="327">
        <f t="shared" si="30"/>
        <v>14.901047601866368</v>
      </c>
      <c r="J36" s="327">
        <f t="shared" si="30"/>
        <v>25.240601000713788</v>
      </c>
      <c r="K36" s="327">
        <f t="shared" si="30"/>
        <v>30.467683656882979</v>
      </c>
      <c r="L36" s="246" t="s">
        <v>315</v>
      </c>
      <c r="M36" s="260" t="s">
        <v>366</v>
      </c>
      <c r="O36" s="220"/>
    </row>
    <row r="37" spans="2:15" ht="14.5" customHeight="1" x14ac:dyDescent="0.35">
      <c r="B37" s="148"/>
      <c r="C37" s="225"/>
      <c r="E37" s="238">
        <f>'B. Annual data'!I41/'B. Annual data'!I15</f>
        <v>-3.9722572509457758E-2</v>
      </c>
      <c r="F37" s="238">
        <f>'A. Quarterly data'!P94/'A. Quarterly data'!P92</f>
        <v>-1.425661914460285E-2</v>
      </c>
      <c r="G37" s="232">
        <f>F37+0.025</f>
        <v>1.0743380855397151E-2</v>
      </c>
      <c r="H37" s="232">
        <f t="shared" ref="H37:J37" si="31">G37+0.025</f>
        <v>3.5743380855397154E-2</v>
      </c>
      <c r="I37" s="232">
        <f t="shared" si="31"/>
        <v>6.0743380855397155E-2</v>
      </c>
      <c r="J37" s="232">
        <f t="shared" si="31"/>
        <v>8.574338085539715E-2</v>
      </c>
      <c r="K37" s="257">
        <v>0.09</v>
      </c>
      <c r="L37" s="220"/>
      <c r="O37" s="220"/>
    </row>
    <row r="38" spans="2:15" ht="14.5" customHeight="1" x14ac:dyDescent="0.35">
      <c r="B38" s="148"/>
      <c r="C38" s="326" t="s">
        <v>196</v>
      </c>
      <c r="D38" s="320"/>
      <c r="E38" s="327">
        <f>E39*E16</f>
        <v>-3.8400000000000003</v>
      </c>
      <c r="F38" s="327">
        <f t="shared" ref="F38:K38" si="32">F39*F16</f>
        <v>-6.29612901468838E-2</v>
      </c>
      <c r="G38" s="327">
        <f>G39*G16</f>
        <v>0.86095850776885474</v>
      </c>
      <c r="H38" s="327">
        <f t="shared" si="32"/>
        <v>4.7909364213390528</v>
      </c>
      <c r="I38" s="327">
        <f t="shared" si="32"/>
        <v>16.671813814985477</v>
      </c>
      <c r="J38" s="327">
        <f t="shared" si="32"/>
        <v>42.810897188651722</v>
      </c>
      <c r="K38" s="327">
        <f t="shared" si="32"/>
        <v>54.216903509260277</v>
      </c>
      <c r="L38" s="246" t="s">
        <v>315</v>
      </c>
      <c r="M38" s="260" t="s">
        <v>331</v>
      </c>
      <c r="O38" s="220"/>
    </row>
    <row r="39" spans="2:15" ht="14.5" customHeight="1" x14ac:dyDescent="0.35">
      <c r="B39" s="148"/>
      <c r="C39" s="225"/>
      <c r="E39" s="238">
        <f>'B. Annual data'!I42/'B. Annual data'!I16</f>
        <v>-0.16688396349413298</v>
      </c>
      <c r="F39" s="239">
        <f>'A. Quarterly data'!P109/'A. Quarterly data'!P105</f>
        <v>-1.3046314416177429E-3</v>
      </c>
      <c r="G39" s="232">
        <f>F39+0.01</f>
        <v>8.6953685583822573E-3</v>
      </c>
      <c r="H39" s="232">
        <f>G39+0.02</f>
        <v>2.8695368558382256E-2</v>
      </c>
      <c r="I39" s="232">
        <f>H39+0.03</f>
        <v>5.8695368558382255E-2</v>
      </c>
      <c r="J39" s="232">
        <f>I39+0.03</f>
        <v>8.8695368558382254E-2</v>
      </c>
      <c r="K39" s="257">
        <v>0.09</v>
      </c>
      <c r="M39" s="260" t="s">
        <v>332</v>
      </c>
      <c r="O39" s="220"/>
    </row>
    <row r="40" spans="2:15" ht="14.5" customHeight="1" x14ac:dyDescent="0.35">
      <c r="B40" s="148"/>
      <c r="C40" s="326" t="s">
        <v>121</v>
      </c>
      <c r="D40" s="320"/>
      <c r="E40" s="327">
        <f>E41*E24</f>
        <v>-0.06</v>
      </c>
      <c r="F40" s="327">
        <f t="shared" ref="F40:J40" si="33">F41*F24</f>
        <v>6.9219088829053893E-2</v>
      </c>
      <c r="G40" s="327">
        <f t="shared" si="33"/>
        <v>0.57747237086735581</v>
      </c>
      <c r="H40" s="327">
        <f t="shared" si="33"/>
        <v>2.2097795604181965</v>
      </c>
      <c r="I40" s="327">
        <f t="shared" si="33"/>
        <v>5.6614732714295188</v>
      </c>
      <c r="J40" s="327">
        <f t="shared" si="33"/>
        <v>10.60513605901197</v>
      </c>
      <c r="K40" s="327">
        <f>K41*K24</f>
        <v>13.927394995750399</v>
      </c>
      <c r="L40" s="220"/>
      <c r="M40" s="317" t="s">
        <v>328</v>
      </c>
      <c r="N40" s="220"/>
      <c r="O40" s="220"/>
    </row>
    <row r="41" spans="2:15" ht="14.5" customHeight="1" x14ac:dyDescent="0.35">
      <c r="B41" s="148"/>
      <c r="C41" s="225"/>
      <c r="E41" s="238">
        <f>'B. Annual data'!I43/'B. Annual data'!I17</f>
        <v>-2.3255813953488372E-2</v>
      </c>
      <c r="F41" s="237">
        <f>'A. Quarterly data'!P132/'A. Quarterly data'!P128</f>
        <v>8.6533261222282321E-3</v>
      </c>
      <c r="G41" s="232">
        <f>F41+0.02</f>
        <v>2.8653326122228234E-2</v>
      </c>
      <c r="H41" s="232">
        <f t="shared" ref="H41:J41" si="34">G41+0.02</f>
        <v>4.8653326122228238E-2</v>
      </c>
      <c r="I41" s="232">
        <f t="shared" si="34"/>
        <v>6.8653326122228242E-2</v>
      </c>
      <c r="J41" s="232">
        <f t="shared" si="34"/>
        <v>8.8653326122228246E-2</v>
      </c>
      <c r="K41" s="257">
        <v>0.09</v>
      </c>
      <c r="L41" s="246" t="s">
        <v>315</v>
      </c>
      <c r="M41" s="260" t="s">
        <v>275</v>
      </c>
      <c r="N41" s="220"/>
      <c r="O41" s="220"/>
    </row>
    <row r="42" spans="2:15" ht="14.5" customHeight="1" x14ac:dyDescent="0.35">
      <c r="B42" s="148"/>
      <c r="C42" s="225"/>
      <c r="E42" s="238"/>
      <c r="F42" s="237"/>
      <c r="G42" s="232"/>
      <c r="H42" s="232"/>
      <c r="I42" s="232"/>
      <c r="J42" s="232"/>
      <c r="K42" s="257"/>
      <c r="L42" s="246"/>
      <c r="M42" t="s">
        <v>274</v>
      </c>
      <c r="N42" s="220"/>
      <c r="O42" s="220"/>
    </row>
    <row r="43" spans="2:15" ht="14.5" customHeight="1" thickBot="1" x14ac:dyDescent="0.4">
      <c r="B43" s="148"/>
      <c r="C43" s="240" t="s">
        <v>223</v>
      </c>
      <c r="D43" s="241"/>
      <c r="E43" s="251">
        <f>E40+E38+E36+E34-0.24</f>
        <v>3.7200000000000006</v>
      </c>
      <c r="F43" s="251">
        <f>F40+F38+F36+F34</f>
        <v>12.341494350352754</v>
      </c>
      <c r="G43" s="251">
        <f t="shared" ref="G43:K43" si="35">G40+G38+G36+G34</f>
        <v>18.746183248610574</v>
      </c>
      <c r="H43" s="251">
        <f t="shared" si="35"/>
        <v>33.006092740603144</v>
      </c>
      <c r="I43" s="251">
        <f t="shared" si="35"/>
        <v>60.480765258007672</v>
      </c>
      <c r="J43" s="251">
        <f t="shared" si="35"/>
        <v>106.66645034433522</v>
      </c>
      <c r="K43" s="251">
        <f t="shared" si="35"/>
        <v>131.22282327278307</v>
      </c>
      <c r="L43" s="220"/>
      <c r="M43" s="260" t="s">
        <v>330</v>
      </c>
      <c r="N43" s="220"/>
      <c r="O43" s="220"/>
    </row>
    <row r="44" spans="2:15" ht="14.5" customHeight="1" x14ac:dyDescent="0.35">
      <c r="C44" s="135" t="s">
        <v>224</v>
      </c>
      <c r="E44" s="248">
        <f>E43/E30</f>
        <v>2.7464008859357698E-2</v>
      </c>
      <c r="F44" s="248">
        <f t="shared" ref="F44:K44" si="36">F43/F30</f>
        <v>5.7018100397059512E-2</v>
      </c>
      <c r="G44" s="248">
        <f t="shared" si="36"/>
        <v>5.3201497220635281E-2</v>
      </c>
      <c r="H44" s="248">
        <f t="shared" si="36"/>
        <v>6.1606418500041484E-2</v>
      </c>
      <c r="I44" s="248">
        <f t="shared" si="36"/>
        <v>7.8021512595750089E-2</v>
      </c>
      <c r="J44" s="248">
        <f t="shared" si="36"/>
        <v>9.7544873204936419E-2</v>
      </c>
      <c r="K44" s="248">
        <f t="shared" si="36"/>
        <v>9.9934043932178876E-2</v>
      </c>
      <c r="L44" s="151"/>
      <c r="M44" s="151"/>
      <c r="N44" s="151"/>
      <c r="O44" s="151"/>
    </row>
    <row r="45" spans="2:15" ht="14.5" customHeight="1" x14ac:dyDescent="0.35">
      <c r="C45" s="253" t="s">
        <v>273</v>
      </c>
    </row>
    <row r="46" spans="2:15" ht="14.5" customHeight="1" x14ac:dyDescent="0.35">
      <c r="C46" s="253" t="s">
        <v>334</v>
      </c>
      <c r="F46" s="249">
        <f>5.26*1.05</f>
        <v>5.5229999999999997</v>
      </c>
      <c r="G46" s="334">
        <f>F46*1.05</f>
        <v>5.79915</v>
      </c>
      <c r="H46" s="334">
        <f t="shared" ref="H46:K46" si="37">G46*1.05</f>
        <v>6.0891074999999999</v>
      </c>
      <c r="I46" s="334">
        <f t="shared" si="37"/>
        <v>6.3935628749999998</v>
      </c>
      <c r="J46" s="334">
        <f t="shared" si="37"/>
        <v>6.7132410187499998</v>
      </c>
      <c r="K46" s="334">
        <f t="shared" si="37"/>
        <v>7.0489030696875004</v>
      </c>
      <c r="L46" s="246" t="s">
        <v>315</v>
      </c>
      <c r="M46" t="s">
        <v>341</v>
      </c>
    </row>
    <row r="47" spans="2:15" ht="14.5" customHeight="1" thickBot="1" x14ac:dyDescent="0.4">
      <c r="C47" s="240" t="s">
        <v>335</v>
      </c>
      <c r="D47" s="335"/>
      <c r="E47" s="335"/>
      <c r="F47" s="336">
        <f>F43-F46</f>
        <v>6.8184943503527542</v>
      </c>
      <c r="G47" s="336">
        <f t="shared" ref="G47:K47" si="38">G43-G46</f>
        <v>12.947033248610573</v>
      </c>
      <c r="H47" s="336">
        <f t="shared" si="38"/>
        <v>26.916985240603143</v>
      </c>
      <c r="I47" s="336">
        <f t="shared" si="38"/>
        <v>54.087202383007671</v>
      </c>
      <c r="J47" s="336">
        <f t="shared" si="38"/>
        <v>99.95320932558522</v>
      </c>
      <c r="K47" s="336">
        <f t="shared" si="38"/>
        <v>124.17392020309558</v>
      </c>
      <c r="L47" s="246"/>
    </row>
    <row r="48" spans="2:15" ht="14.5" customHeight="1" x14ac:dyDescent="0.35">
      <c r="C48" s="135" t="s">
        <v>339</v>
      </c>
      <c r="F48" s="316">
        <f>F47/F30</f>
        <v>3.1501662958188209E-2</v>
      </c>
      <c r="G48" s="316">
        <f t="shared" ref="G48:K48" si="39">G47/G30</f>
        <v>3.6743562369821625E-2</v>
      </c>
      <c r="H48" s="316">
        <f t="shared" si="39"/>
        <v>5.0240998549098012E-2</v>
      </c>
      <c r="I48" s="316">
        <f t="shared" si="39"/>
        <v>6.9773676374506391E-2</v>
      </c>
      <c r="J48" s="316">
        <f t="shared" si="39"/>
        <v>9.1405714717387454E-2</v>
      </c>
      <c r="K48" s="316">
        <f t="shared" si="39"/>
        <v>9.456588181318927E-2</v>
      </c>
      <c r="L48" s="246"/>
    </row>
    <row r="49" spans="2:27" ht="14.5" customHeight="1" x14ac:dyDescent="0.35">
      <c r="C49" t="s">
        <v>353</v>
      </c>
      <c r="F49" s="345">
        <f>T68</f>
        <v>1.03</v>
      </c>
      <c r="G49" s="345">
        <f>F49</f>
        <v>1.03</v>
      </c>
      <c r="H49" s="345">
        <f t="shared" ref="H49:K49" si="40">G49</f>
        <v>1.03</v>
      </c>
      <c r="I49" s="345">
        <f t="shared" si="40"/>
        <v>1.03</v>
      </c>
      <c r="J49" s="345">
        <f t="shared" si="40"/>
        <v>1.03</v>
      </c>
      <c r="K49" s="345">
        <f t="shared" si="40"/>
        <v>1.03</v>
      </c>
      <c r="L49" s="246" t="s">
        <v>315</v>
      </c>
      <c r="M49" t="s">
        <v>354</v>
      </c>
    </row>
    <row r="50" spans="2:27" ht="14.5" customHeight="1" x14ac:dyDescent="0.35">
      <c r="C50" t="s">
        <v>272</v>
      </c>
      <c r="E50" s="249"/>
      <c r="F50" s="249">
        <f>$M$50*F47</f>
        <v>1.7046235875881885</v>
      </c>
      <c r="G50" s="249">
        <f t="shared" ref="G50:K50" si="41">$M$50*G47</f>
        <v>3.2367583121526433</v>
      </c>
      <c r="H50" s="249">
        <f t="shared" si="41"/>
        <v>6.7292463101507858</v>
      </c>
      <c r="I50" s="249">
        <f t="shared" si="41"/>
        <v>13.521800595751918</v>
      </c>
      <c r="J50" s="249">
        <f t="shared" si="41"/>
        <v>24.988302331396305</v>
      </c>
      <c r="K50" s="249">
        <f t="shared" si="41"/>
        <v>31.043480050773894</v>
      </c>
      <c r="L50" s="246" t="s">
        <v>315</v>
      </c>
      <c r="M50" s="255">
        <v>0.25</v>
      </c>
      <c r="N50" s="244" t="s">
        <v>205</v>
      </c>
      <c r="O50" s="260" t="s">
        <v>338</v>
      </c>
      <c r="P50" s="220"/>
    </row>
    <row r="51" spans="2:27" ht="14.5" customHeight="1" thickBot="1" x14ac:dyDescent="0.4">
      <c r="C51" s="240" t="s">
        <v>340</v>
      </c>
      <c r="D51" s="335"/>
      <c r="E51" s="336"/>
      <c r="F51" s="336">
        <f>F47-F49-F50</f>
        <v>4.0838707627645654</v>
      </c>
      <c r="G51" s="336">
        <f t="shared" ref="G51:K51" si="42">G47-G49-G50</f>
        <v>8.6802749364579306</v>
      </c>
      <c r="H51" s="336">
        <f t="shared" si="42"/>
        <v>19.157738930452357</v>
      </c>
      <c r="I51" s="336">
        <f t="shared" si="42"/>
        <v>39.535401787255751</v>
      </c>
      <c r="J51" s="336">
        <f t="shared" si="42"/>
        <v>73.934906994188907</v>
      </c>
      <c r="K51" s="336">
        <f t="shared" si="42"/>
        <v>92.100440152321681</v>
      </c>
      <c r="L51" s="246"/>
      <c r="M51" s="255"/>
      <c r="N51" s="244"/>
      <c r="O51" s="260"/>
      <c r="P51" s="220"/>
    </row>
    <row r="52" spans="2:27" ht="14.5" customHeight="1" x14ac:dyDescent="0.35">
      <c r="C52" t="s">
        <v>336</v>
      </c>
      <c r="E52" s="249"/>
      <c r="F52" s="249">
        <f>F46</f>
        <v>5.5229999999999997</v>
      </c>
      <c r="G52" s="249">
        <f t="shared" ref="G52:K52" si="43">G46</f>
        <v>5.79915</v>
      </c>
      <c r="H52" s="249">
        <f t="shared" si="43"/>
        <v>6.0891074999999999</v>
      </c>
      <c r="I52" s="249">
        <f t="shared" si="43"/>
        <v>6.3935628749999998</v>
      </c>
      <c r="J52" s="249">
        <f t="shared" si="43"/>
        <v>6.7132410187499998</v>
      </c>
      <c r="K52" s="249">
        <f t="shared" si="43"/>
        <v>7.0489030696875004</v>
      </c>
      <c r="L52" s="246"/>
      <c r="M52" s="255"/>
      <c r="N52" s="244"/>
      <c r="O52" s="260"/>
      <c r="P52" s="220"/>
    </row>
    <row r="53" spans="2:27" ht="14.5" customHeight="1" x14ac:dyDescent="0.35">
      <c r="C53" t="s">
        <v>337</v>
      </c>
      <c r="E53" s="249"/>
      <c r="F53" s="249">
        <f>$M$53*F30</f>
        <v>2.7056088909507978</v>
      </c>
      <c r="G53" s="249">
        <f>$M$53*G30</f>
        <v>4.4045243620839978</v>
      </c>
      <c r="H53" s="249">
        <f>$S$53*H30</f>
        <v>2.6787868491804079</v>
      </c>
      <c r="I53" s="249">
        <f>$W$53*I30</f>
        <v>1.9379515740541451</v>
      </c>
      <c r="J53" s="249">
        <f>$Z$53*J30</f>
        <v>1.0935115997355891</v>
      </c>
      <c r="K53" s="249">
        <f>$Z$53*K30</f>
        <v>1.3130942980936369</v>
      </c>
      <c r="L53" s="246" t="s">
        <v>315</v>
      </c>
      <c r="M53" s="255">
        <v>1.2500000000000001E-2</v>
      </c>
      <c r="N53" s="260" t="s">
        <v>316</v>
      </c>
      <c r="O53" s="220"/>
      <c r="P53" s="220"/>
      <c r="S53" s="255">
        <v>5.0000000000000001E-3</v>
      </c>
      <c r="T53" t="s">
        <v>317</v>
      </c>
      <c r="W53" s="255">
        <v>2.5000000000000001E-3</v>
      </c>
      <c r="X53" t="s">
        <v>362</v>
      </c>
      <c r="Z53" s="255">
        <v>1E-3</v>
      </c>
      <c r="AA53" t="s">
        <v>361</v>
      </c>
    </row>
    <row r="54" spans="2:27" ht="14.5" customHeight="1" x14ac:dyDescent="0.35">
      <c r="C54" s="161" t="s">
        <v>355</v>
      </c>
      <c r="D54" s="161"/>
      <c r="E54" s="250"/>
      <c r="F54" s="250">
        <f>$M$54*F30</f>
        <v>5.4112177819015956</v>
      </c>
      <c r="G54" s="250">
        <f>$M$54*G30</f>
        <v>8.8090487241679956</v>
      </c>
      <c r="H54" s="250">
        <f>$S$54*H30</f>
        <v>4.0181802737706116</v>
      </c>
      <c r="I54" s="250">
        <f>$W$54*I30</f>
        <v>3.8759031481082902</v>
      </c>
      <c r="J54" s="250">
        <f>$Z$54*J30</f>
        <v>2.1870231994711782</v>
      </c>
      <c r="K54" s="250">
        <f>$Z$54*K30</f>
        <v>2.6261885961872737</v>
      </c>
      <c r="L54" s="246" t="s">
        <v>315</v>
      </c>
      <c r="M54" s="255">
        <v>2.5000000000000001E-2</v>
      </c>
      <c r="N54" s="260" t="s">
        <v>316</v>
      </c>
      <c r="P54" s="220"/>
      <c r="S54" s="255">
        <v>7.4999999999999997E-3</v>
      </c>
      <c r="T54" t="s">
        <v>317</v>
      </c>
      <c r="W54" s="255">
        <v>5.0000000000000001E-3</v>
      </c>
      <c r="X54" t="s">
        <v>362</v>
      </c>
      <c r="Z54" s="255">
        <v>2E-3</v>
      </c>
      <c r="AA54" t="s">
        <v>361</v>
      </c>
    </row>
    <row r="55" spans="2:27" ht="14.5" customHeight="1" x14ac:dyDescent="0.35">
      <c r="C55" s="148" t="s">
        <v>225</v>
      </c>
      <c r="E55" s="221"/>
      <c r="F55" s="221">
        <f>F51+F52-F53-F54</f>
        <v>1.4900440899121721</v>
      </c>
      <c r="G55" s="221">
        <f t="shared" ref="G55:K55" si="44">G51+G52-G53-G54</f>
        <v>1.265851850205939</v>
      </c>
      <c r="H55" s="221">
        <f t="shared" si="44"/>
        <v>18.549879307501339</v>
      </c>
      <c r="I55" s="221">
        <f>I51+I52-I53-I54</f>
        <v>40.115109940093312</v>
      </c>
      <c r="J55" s="221">
        <f t="shared" si="44"/>
        <v>77.367613213732128</v>
      </c>
      <c r="K55" s="221">
        <f t="shared" si="44"/>
        <v>95.210060327728272</v>
      </c>
      <c r="L55" s="221"/>
      <c r="M55" s="313" t="s">
        <v>324</v>
      </c>
      <c r="N55" s="221"/>
      <c r="O55" s="221"/>
      <c r="P55" s="79" t="s">
        <v>342</v>
      </c>
    </row>
    <row r="56" spans="2:27" ht="14.5" customHeight="1" x14ac:dyDescent="0.35">
      <c r="C56" s="135" t="s">
        <v>226</v>
      </c>
      <c r="F56" s="248"/>
      <c r="G56" s="248">
        <f t="shared" ref="G56:I56" si="45">G55/F55-1</f>
        <v>-0.1504601382093651</v>
      </c>
      <c r="H56" s="248">
        <f t="shared" si="45"/>
        <v>13.654068171155648</v>
      </c>
      <c r="I56" s="248">
        <f t="shared" si="45"/>
        <v>1.1625536897089819</v>
      </c>
      <c r="J56" s="248">
        <f t="shared" ref="J56" si="46">J55/I55-1</f>
        <v>0.92864018892807665</v>
      </c>
      <c r="K56" s="248">
        <f t="shared" ref="K56" si="47">K55/J55-1</f>
        <v>0.23061907137687498</v>
      </c>
      <c r="L56" s="151"/>
      <c r="M56" s="151" t="s">
        <v>364</v>
      </c>
      <c r="N56" s="151"/>
      <c r="O56" s="151"/>
    </row>
    <row r="57" spans="2:27" ht="14.5" customHeight="1" x14ac:dyDescent="0.35"/>
    <row r="58" spans="2:27" ht="14.5" customHeight="1" x14ac:dyDescent="0.35">
      <c r="B58" t="s">
        <v>227</v>
      </c>
      <c r="E58" s="254"/>
      <c r="F58" s="338">
        <v>0.25</v>
      </c>
      <c r="G58" s="338">
        <f>F58+1</f>
        <v>1.25</v>
      </c>
      <c r="H58" s="338">
        <f t="shared" ref="H58:I58" si="48">G58+1</f>
        <v>2.25</v>
      </c>
      <c r="I58" s="338">
        <f t="shared" si="48"/>
        <v>3.25</v>
      </c>
      <c r="J58" s="338">
        <f t="shared" ref="J58" si="49">I58+1</f>
        <v>4.25</v>
      </c>
      <c r="K58" s="339">
        <f t="shared" ref="K58" si="50">J58+1</f>
        <v>5.25</v>
      </c>
      <c r="L58" s="223"/>
      <c r="M58" s="222"/>
      <c r="N58" s="222"/>
      <c r="O58" s="222"/>
    </row>
    <row r="59" spans="2:27" ht="14.5" customHeight="1" x14ac:dyDescent="0.35">
      <c r="B59" t="s">
        <v>228</v>
      </c>
      <c r="E59" s="153"/>
      <c r="F59" s="154">
        <f t="shared" ref="F59:K59" si="51">(F55)/(1+$E$64)^F58</f>
        <v>1.4537417762494136</v>
      </c>
      <c r="G59" s="154">
        <f t="shared" si="51"/>
        <v>1.1189833883780311</v>
      </c>
      <c r="H59" s="154">
        <f t="shared" si="51"/>
        <v>14.85711393392933</v>
      </c>
      <c r="I59" s="154">
        <f t="shared" si="51"/>
        <v>29.110787846331132</v>
      </c>
      <c r="J59" s="154">
        <f t="shared" si="51"/>
        <v>50.869536254745043</v>
      </c>
      <c r="K59" s="154">
        <f t="shared" si="51"/>
        <v>56.719713253214991</v>
      </c>
      <c r="L59" s="181"/>
      <c r="M59" s="27"/>
      <c r="N59" s="176"/>
      <c r="O59" s="176"/>
    </row>
    <row r="60" spans="2:27" ht="14.5" customHeight="1" x14ac:dyDescent="0.35">
      <c r="E60" s="176"/>
      <c r="F60" s="176"/>
      <c r="G60" s="176"/>
      <c r="H60" s="176"/>
      <c r="I60" s="176"/>
      <c r="J60" s="176"/>
      <c r="K60" s="176"/>
      <c r="L60" s="176"/>
      <c r="M60" s="176"/>
      <c r="N60" s="176"/>
      <c r="O60" s="176"/>
    </row>
    <row r="61" spans="2:27" ht="14.5" customHeight="1" x14ac:dyDescent="0.35">
      <c r="C61" s="348" t="s">
        <v>365</v>
      </c>
      <c r="D61" s="320"/>
      <c r="E61" s="349"/>
      <c r="F61" s="349">
        <f t="shared" ref="F61:J61" si="52">F51/$E$72</f>
        <v>0.46941043250167425</v>
      </c>
      <c r="G61" s="349">
        <f t="shared" si="52"/>
        <v>0.99773275131700356</v>
      </c>
      <c r="H61" s="349">
        <f t="shared" si="52"/>
        <v>2.2020389575232597</v>
      </c>
      <c r="I61" s="349">
        <f t="shared" si="52"/>
        <v>4.544299056006408</v>
      </c>
      <c r="J61" s="349">
        <f t="shared" si="52"/>
        <v>8.4982651717458513</v>
      </c>
      <c r="K61" s="350">
        <f>K51/$E$72</f>
        <v>10.586257488772608</v>
      </c>
      <c r="L61" s="176"/>
      <c r="M61" s="176"/>
      <c r="N61" s="176"/>
      <c r="O61" s="176"/>
    </row>
    <row r="62" spans="2:27" ht="14.5" customHeight="1" thickBot="1" x14ac:dyDescent="0.4">
      <c r="B62" s="139"/>
      <c r="C62" s="139"/>
      <c r="D62" s="139"/>
      <c r="E62" s="139"/>
      <c r="F62" s="139"/>
      <c r="G62" s="139"/>
      <c r="H62" s="139"/>
      <c r="I62" s="139"/>
      <c r="P62" s="337"/>
    </row>
    <row r="64" spans="2:27" x14ac:dyDescent="0.35">
      <c r="B64" s="330" t="s">
        <v>229</v>
      </c>
      <c r="C64" s="331"/>
      <c r="D64" s="331"/>
      <c r="E64" s="332">
        <f>I72</f>
        <v>0.10369072543994691</v>
      </c>
      <c r="G64" s="156" t="s">
        <v>230</v>
      </c>
      <c r="H64" s="157"/>
      <c r="I64" s="158">
        <v>11.98</v>
      </c>
      <c r="J64" s="79" t="s">
        <v>205</v>
      </c>
      <c r="K64" s="246" t="s">
        <v>279</v>
      </c>
    </row>
    <row r="65" spans="2:22" x14ac:dyDescent="0.35">
      <c r="B65" s="146" t="s">
        <v>231</v>
      </c>
      <c r="E65" s="159">
        <v>0.04</v>
      </c>
      <c r="G65" s="160" t="s">
        <v>232</v>
      </c>
      <c r="H65" s="161"/>
      <c r="I65" s="162">
        <v>34.39</v>
      </c>
      <c r="J65" s="79" t="s">
        <v>205</v>
      </c>
      <c r="K65" s="246" t="s">
        <v>279</v>
      </c>
      <c r="M65" s="217">
        <v>0.04</v>
      </c>
      <c r="N65" t="s">
        <v>280</v>
      </c>
      <c r="P65" t="s">
        <v>343</v>
      </c>
    </row>
    <row r="66" spans="2:22" x14ac:dyDescent="0.35">
      <c r="B66" s="146" t="s">
        <v>233</v>
      </c>
      <c r="E66" s="163">
        <f>(K55*(1+E65))/(E64-E65)</f>
        <v>1554.6763215030501</v>
      </c>
      <c r="G66" s="160" t="s">
        <v>234</v>
      </c>
      <c r="H66" s="161"/>
      <c r="I66" s="155">
        <f>I64-I65</f>
        <v>-22.41</v>
      </c>
      <c r="M66" s="217"/>
    </row>
    <row r="67" spans="2:22" x14ac:dyDescent="0.35">
      <c r="B67" s="146" t="s">
        <v>235</v>
      </c>
      <c r="E67" s="163">
        <f>(E66)/(1+E64)^K58</f>
        <v>926.17098291591935</v>
      </c>
    </row>
    <row r="68" spans="2:22" x14ac:dyDescent="0.35">
      <c r="B68" s="146" t="s">
        <v>236</v>
      </c>
      <c r="E68" s="163">
        <f>SUM(F59:K59)</f>
        <v>154.12987645284795</v>
      </c>
      <c r="G68" s="156" t="s">
        <v>349</v>
      </c>
      <c r="H68" s="157"/>
      <c r="I68" s="259">
        <v>248</v>
      </c>
      <c r="K68" s="156" t="s">
        <v>254</v>
      </c>
      <c r="L68" s="157"/>
      <c r="M68" s="259">
        <v>0.79</v>
      </c>
      <c r="N68" s="247" t="s">
        <v>268</v>
      </c>
      <c r="O68" s="164"/>
      <c r="R68" s="156" t="s">
        <v>344</v>
      </c>
      <c r="S68" s="157"/>
      <c r="T68" s="259">
        <f>0.3+0.25+0.3+0.18</f>
        <v>1.03</v>
      </c>
      <c r="U68" s="247" t="s">
        <v>268</v>
      </c>
    </row>
    <row r="69" spans="2:22" x14ac:dyDescent="0.35">
      <c r="B69" s="146" t="s">
        <v>237</v>
      </c>
      <c r="E69" s="163">
        <f>E68+E67</f>
        <v>1080.3008593687673</v>
      </c>
      <c r="G69" s="146" t="s">
        <v>350</v>
      </c>
      <c r="I69" s="343">
        <f>I68*E72</f>
        <v>2157.6</v>
      </c>
      <c r="K69" s="146" t="s">
        <v>265</v>
      </c>
      <c r="M69" s="258">
        <v>6.8849999999999995E-2</v>
      </c>
      <c r="N69" s="247" t="s">
        <v>269</v>
      </c>
      <c r="R69" s="146" t="s">
        <v>345</v>
      </c>
      <c r="T69" s="163">
        <f>I64</f>
        <v>11.98</v>
      </c>
    </row>
    <row r="70" spans="2:22" x14ac:dyDescent="0.35">
      <c r="B70" s="146" t="s">
        <v>234</v>
      </c>
      <c r="E70" s="163">
        <f>I66</f>
        <v>-22.41</v>
      </c>
      <c r="G70" s="146" t="s">
        <v>351</v>
      </c>
      <c r="I70" s="163">
        <f>I64</f>
        <v>11.98</v>
      </c>
      <c r="K70" s="146" t="s">
        <v>266</v>
      </c>
      <c r="M70" s="258">
        <v>0.10050000000000001</v>
      </c>
      <c r="N70" s="246" t="s">
        <v>281</v>
      </c>
      <c r="R70" s="146" t="s">
        <v>346</v>
      </c>
      <c r="T70" s="258">
        <f>M50</f>
        <v>0.25</v>
      </c>
    </row>
    <row r="71" spans="2:22" x14ac:dyDescent="0.35">
      <c r="B71" s="165" t="s">
        <v>238</v>
      </c>
      <c r="C71" s="166"/>
      <c r="D71" s="166"/>
      <c r="E71" s="183">
        <f>E69-E70</f>
        <v>1102.7108593687674</v>
      </c>
      <c r="G71" s="146" t="s">
        <v>356</v>
      </c>
      <c r="I71" s="159">
        <v>0.01</v>
      </c>
      <c r="K71" s="146"/>
      <c r="M71" s="147"/>
      <c r="R71" s="146" t="s">
        <v>347</v>
      </c>
      <c r="T71" s="258">
        <f>T68/12</f>
        <v>8.5833333333333331E-2</v>
      </c>
    </row>
    <row r="72" spans="2:22" x14ac:dyDescent="0.35">
      <c r="B72" s="156" t="s">
        <v>263</v>
      </c>
      <c r="E72" s="259">
        <v>8.6999999999999993</v>
      </c>
      <c r="G72" s="329" t="s">
        <v>270</v>
      </c>
      <c r="H72" s="328"/>
      <c r="I72" s="342">
        <f>I69/SUM(I69:I70)*M72+I70/SUM(I69:I70)*T72+I71</f>
        <v>0.10369072543994691</v>
      </c>
      <c r="K72" s="329" t="s">
        <v>267</v>
      </c>
      <c r="L72" s="328"/>
      <c r="M72" s="342">
        <f>M69+M68*(M70-M69)</f>
        <v>9.3853500000000006E-2</v>
      </c>
      <c r="R72" s="341" t="s">
        <v>348</v>
      </c>
      <c r="T72" s="340">
        <f>T71*(1-T70)</f>
        <v>6.4375000000000002E-2</v>
      </c>
    </row>
    <row r="73" spans="2:22" ht="14.5" customHeight="1" x14ac:dyDescent="0.35">
      <c r="B73" s="329" t="s">
        <v>264</v>
      </c>
      <c r="C73" s="328"/>
      <c r="D73" s="161"/>
      <c r="E73" s="155">
        <f>E71/E72</f>
        <v>126.74837464008822</v>
      </c>
      <c r="G73" t="s">
        <v>367</v>
      </c>
      <c r="R73" s="157"/>
      <c r="S73" s="157"/>
      <c r="T73" s="157"/>
    </row>
    <row r="74" spans="2:22" ht="14.5" customHeight="1" x14ac:dyDescent="0.35">
      <c r="E74" s="176"/>
      <c r="G74" t="s">
        <v>368</v>
      </c>
    </row>
    <row r="75" spans="2:22" ht="14.5" customHeight="1" x14ac:dyDescent="0.35">
      <c r="B75" s="165" t="s">
        <v>352</v>
      </c>
      <c r="C75" s="166"/>
      <c r="D75" s="166"/>
      <c r="E75" s="344">
        <f>E73/I68-1</f>
        <v>-0.48891784419319273</v>
      </c>
      <c r="I75" s="245"/>
    </row>
    <row r="76" spans="2:22" ht="14.5" customHeight="1" x14ac:dyDescent="0.35">
      <c r="E76" s="176"/>
      <c r="I76" s="245"/>
    </row>
    <row r="77" spans="2:22" hidden="1" outlineLevel="1" x14ac:dyDescent="0.35">
      <c r="B77" s="167" t="s">
        <v>239</v>
      </c>
      <c r="C77" s="167"/>
      <c r="D77" s="167"/>
      <c r="E77" s="167"/>
      <c r="F77" s="167"/>
      <c r="G77" s="167"/>
      <c r="H77" s="167"/>
      <c r="I77" s="167"/>
      <c r="J77" s="167"/>
      <c r="K77" s="167"/>
      <c r="L77" s="167"/>
      <c r="M77" s="167"/>
      <c r="N77" s="167"/>
      <c r="O77" s="167"/>
      <c r="P77" s="167"/>
      <c r="Q77" s="167"/>
      <c r="R77" s="167"/>
      <c r="S77" s="167"/>
      <c r="T77" s="167"/>
      <c r="U77" s="167"/>
      <c r="V77" s="167"/>
    </row>
    <row r="78" spans="2:22" hidden="1" outlineLevel="1" x14ac:dyDescent="0.35"/>
    <row r="79" spans="2:22" hidden="1" outlineLevel="1" x14ac:dyDescent="0.35">
      <c r="F79" s="130" t="s">
        <v>240</v>
      </c>
      <c r="G79" s="130" t="s">
        <v>241</v>
      </c>
      <c r="H79" s="168" t="s">
        <v>242</v>
      </c>
      <c r="I79" s="168"/>
      <c r="J79" s="168"/>
      <c r="K79" s="168"/>
      <c r="L79" s="168"/>
      <c r="M79" s="169" t="s">
        <v>243</v>
      </c>
      <c r="N79" s="168" t="s">
        <v>244</v>
      </c>
      <c r="O79" s="168"/>
      <c r="P79" s="168"/>
      <c r="Q79" s="168"/>
      <c r="R79" s="168"/>
    </row>
    <row r="80" spans="2:22" hidden="1" outlineLevel="1" x14ac:dyDescent="0.35">
      <c r="F80" s="170" t="s">
        <v>245</v>
      </c>
      <c r="H80" s="171" t="s">
        <v>246</v>
      </c>
      <c r="I80" s="171"/>
      <c r="J80" s="171"/>
      <c r="K80" s="171"/>
      <c r="L80" s="171"/>
      <c r="N80" s="171" t="s">
        <v>237</v>
      </c>
      <c r="O80" s="171"/>
      <c r="P80" s="171"/>
      <c r="Q80" s="171"/>
      <c r="R80" s="171"/>
    </row>
    <row r="81" spans="4:18" hidden="1" outlineLevel="1" x14ac:dyDescent="0.35">
      <c r="E81" s="172">
        <f>E68</f>
        <v>154.12987645284795</v>
      </c>
      <c r="F81" s="170" t="s">
        <v>247</v>
      </c>
      <c r="G81" s="172">
        <f>E67</f>
        <v>926.17098291591935</v>
      </c>
      <c r="H81" s="173">
        <f>I81-1%</f>
        <v>1.9999999999999997E-2</v>
      </c>
      <c r="I81" s="174">
        <f>J81-1%</f>
        <v>0.03</v>
      </c>
      <c r="J81" s="174">
        <f>E65</f>
        <v>0.04</v>
      </c>
      <c r="K81" s="174">
        <f>J81+1%</f>
        <v>0.05</v>
      </c>
      <c r="L81" s="175">
        <f>K81+1%</f>
        <v>6.0000000000000005E-2</v>
      </c>
      <c r="M81" s="176"/>
      <c r="N81" s="173">
        <f>O81-1%</f>
        <v>1.9999999999999997E-2</v>
      </c>
      <c r="O81" s="174">
        <f>P81-1%</f>
        <v>0.03</v>
      </c>
      <c r="P81" s="177">
        <f>J81</f>
        <v>0.04</v>
      </c>
      <c r="Q81" s="174">
        <f>P81+1%</f>
        <v>0.05</v>
      </c>
      <c r="R81" s="175">
        <f>Q81+1%</f>
        <v>6.0000000000000005E-2</v>
      </c>
    </row>
    <row r="82" spans="4:18" hidden="1" outlineLevel="1" x14ac:dyDescent="0.35">
      <c r="E82" s="178">
        <f>E83-0.01</f>
        <v>8.369072543994692E-2</v>
      </c>
      <c r="F82" s="179">
        <f t="dataTable" ref="F82:F86" dt2D="1" dtr="1" r1="E65" r2="E64" ca="1"/>
        <v>166.39590831052737</v>
      </c>
      <c r="G82" s="180">
        <f>E82</f>
        <v>8.369072543994692E-2</v>
      </c>
      <c r="H82" s="181">
        <f t="dataTable" ref="H82:L86" dt2D="1" dtr="1" r1="E65" r2="E64" ca="1"/>
        <v>999.89338362590672</v>
      </c>
      <c r="I82" s="182">
        <v>855.73296077185307</v>
      </c>
      <c r="J82" s="182">
        <v>855.73296077185307</v>
      </c>
      <c r="K82" s="182">
        <v>999.89338362590672</v>
      </c>
      <c r="L82" s="183">
        <v>1486.1881765309356</v>
      </c>
      <c r="M82" s="180"/>
      <c r="N82" s="184">
        <f>$F82+H82</f>
        <v>1166.289291936434</v>
      </c>
      <c r="O82" s="176">
        <f t="shared" ref="O82:R86" si="53">$F82+I82</f>
        <v>1022.1288690823804</v>
      </c>
      <c r="P82" s="176">
        <f t="shared" si="53"/>
        <v>1022.1288690823804</v>
      </c>
      <c r="Q82" s="176">
        <f t="shared" si="53"/>
        <v>1166.289291936434</v>
      </c>
      <c r="R82" s="185">
        <f t="shared" si="53"/>
        <v>1652.584084841463</v>
      </c>
    </row>
    <row r="83" spans="4:18" hidden="1" outlineLevel="1" x14ac:dyDescent="0.35">
      <c r="D83" s="138" t="s">
        <v>248</v>
      </c>
      <c r="E83" s="178">
        <f>E84-0.01</f>
        <v>9.3690725439946915E-2</v>
      </c>
      <c r="F83" s="179">
        <v>173.00730728457319</v>
      </c>
      <c r="G83" s="180">
        <f>E83</f>
        <v>9.3690725439946915E-2</v>
      </c>
      <c r="H83" s="181">
        <v>1245.2826328424424</v>
      </c>
      <c r="I83" s="176">
        <v>1039.4705983865313</v>
      </c>
      <c r="J83" s="176">
        <v>1039.4705983865313</v>
      </c>
      <c r="K83" s="176">
        <v>1245.2826328424424</v>
      </c>
      <c r="L83" s="163">
        <v>2023.4384966651819</v>
      </c>
      <c r="M83" s="180"/>
      <c r="N83" s="184">
        <f>$F83+H83</f>
        <v>1418.2899401270156</v>
      </c>
      <c r="O83" s="176">
        <f t="shared" si="53"/>
        <v>1212.4779056711045</v>
      </c>
      <c r="P83" s="176">
        <f t="shared" si="53"/>
        <v>1212.4779056711045</v>
      </c>
      <c r="Q83" s="176">
        <f t="shared" si="53"/>
        <v>1418.2899401270156</v>
      </c>
      <c r="R83" s="185">
        <f t="shared" si="53"/>
        <v>2196.4458039497549</v>
      </c>
    </row>
    <row r="84" spans="4:18" hidden="1" outlineLevel="1" x14ac:dyDescent="0.35">
      <c r="D84" s="138" t="s">
        <v>249</v>
      </c>
      <c r="E84" s="178">
        <f>E64</f>
        <v>0.10369072543994691</v>
      </c>
      <c r="F84" s="179">
        <v>173.00730728457319</v>
      </c>
      <c r="G84" s="180">
        <f>E84</f>
        <v>0.10369072543994691</v>
      </c>
      <c r="H84" s="181">
        <v>1245.2826328424424</v>
      </c>
      <c r="I84" s="176">
        <v>1039.4705983865313</v>
      </c>
      <c r="J84" s="186">
        <v>1039.4705983865313</v>
      </c>
      <c r="K84" s="176">
        <v>1245.2826328424424</v>
      </c>
      <c r="L84" s="163">
        <v>2023.4384966651819</v>
      </c>
      <c r="M84" s="180"/>
      <c r="N84" s="184">
        <f t="shared" ref="N84:N86" si="54">$F84+H84</f>
        <v>1418.2899401270156</v>
      </c>
      <c r="O84" s="176">
        <f t="shared" si="53"/>
        <v>1212.4779056711045</v>
      </c>
      <c r="P84" s="176">
        <f>$F84+J84</f>
        <v>1212.4779056711045</v>
      </c>
      <c r="Q84" s="176">
        <f t="shared" si="53"/>
        <v>1418.2899401270156</v>
      </c>
      <c r="R84" s="185">
        <f t="shared" si="53"/>
        <v>2196.4458039497549</v>
      </c>
    </row>
    <row r="85" spans="4:18" hidden="1" outlineLevel="1" x14ac:dyDescent="0.35">
      <c r="E85" s="178">
        <f>E84+0.01</f>
        <v>0.1136907254399469</v>
      </c>
      <c r="F85" s="179">
        <v>166.39590831052737</v>
      </c>
      <c r="G85" s="180">
        <f>E85</f>
        <v>0.1136907254399469</v>
      </c>
      <c r="H85" s="181">
        <v>999.89338362590672</v>
      </c>
      <c r="I85" s="176">
        <v>855.73296077185307</v>
      </c>
      <c r="J85" s="176">
        <v>855.73296077185307</v>
      </c>
      <c r="K85" s="176">
        <v>999.89338362590672</v>
      </c>
      <c r="L85" s="163">
        <v>1486.1881765309356</v>
      </c>
      <c r="M85" s="180"/>
      <c r="N85" s="184">
        <f t="shared" si="54"/>
        <v>1166.289291936434</v>
      </c>
      <c r="O85" s="176">
        <f t="shared" si="53"/>
        <v>1022.1288690823804</v>
      </c>
      <c r="P85" s="186">
        <f>$F85+J85</f>
        <v>1022.1288690823804</v>
      </c>
      <c r="Q85" s="176">
        <f t="shared" si="53"/>
        <v>1166.289291936434</v>
      </c>
      <c r="R85" s="185">
        <f t="shared" si="53"/>
        <v>1652.584084841463</v>
      </c>
    </row>
    <row r="86" spans="4:18" hidden="1" outlineLevel="1" x14ac:dyDescent="0.35">
      <c r="E86" s="178">
        <f>E85+0.01</f>
        <v>0.1236907254399469</v>
      </c>
      <c r="F86" s="187">
        <v>154.12987645284795</v>
      </c>
      <c r="G86" s="180">
        <f>E86</f>
        <v>0.1236907254399469</v>
      </c>
      <c r="H86" s="153">
        <v>691.28457441551359</v>
      </c>
      <c r="I86" s="154">
        <v>611.44697211749542</v>
      </c>
      <c r="J86" s="154">
        <v>611.44697211749542</v>
      </c>
      <c r="K86" s="154">
        <v>691.28457441551359</v>
      </c>
      <c r="L86" s="155">
        <v>926.17098291591935</v>
      </c>
      <c r="M86" s="180"/>
      <c r="N86" s="188">
        <f t="shared" si="54"/>
        <v>845.41445086836154</v>
      </c>
      <c r="O86" s="189">
        <f t="shared" si="53"/>
        <v>765.57684857034337</v>
      </c>
      <c r="P86" s="189">
        <f t="shared" si="53"/>
        <v>765.57684857034337</v>
      </c>
      <c r="Q86" s="189">
        <f t="shared" si="53"/>
        <v>845.41445086836154</v>
      </c>
      <c r="R86" s="190">
        <f t="shared" si="53"/>
        <v>1080.3008593687673</v>
      </c>
    </row>
    <row r="87" spans="4:18" hidden="1" outlineLevel="1" x14ac:dyDescent="0.35"/>
    <row r="88" spans="4:18" hidden="1" outlineLevel="1" x14ac:dyDescent="0.35">
      <c r="F88" s="130" t="s">
        <v>250</v>
      </c>
    </row>
    <row r="89" spans="4:18" hidden="1" outlineLevel="1" x14ac:dyDescent="0.35">
      <c r="F89" s="191" t="s">
        <v>234</v>
      </c>
      <c r="H89" s="171" t="s">
        <v>238</v>
      </c>
      <c r="I89" s="171"/>
      <c r="J89" s="171"/>
      <c r="K89" s="171"/>
      <c r="L89" s="171"/>
    </row>
    <row r="90" spans="4:18" hidden="1" outlineLevel="1" x14ac:dyDescent="0.35">
      <c r="F90" s="191"/>
      <c r="G90" s="176"/>
      <c r="H90" s="173">
        <f>I90-1%</f>
        <v>1.9999999999999997E-2</v>
      </c>
      <c r="I90" s="174">
        <f>J90-1%</f>
        <v>0.03</v>
      </c>
      <c r="J90" s="174">
        <f>J81</f>
        <v>0.04</v>
      </c>
      <c r="K90" s="174">
        <f>J90+1%</f>
        <v>0.05</v>
      </c>
      <c r="L90" s="175">
        <f>K90+1%</f>
        <v>6.0000000000000005E-2</v>
      </c>
    </row>
    <row r="91" spans="4:18" hidden="1" outlineLevel="1" x14ac:dyDescent="0.35">
      <c r="E91" s="178">
        <f>E92-0.005</f>
        <v>9.3690725439946901E-2</v>
      </c>
      <c r="F91" s="192">
        <f>$I$66</f>
        <v>-22.41</v>
      </c>
      <c r="H91" s="193">
        <f>N82-$F91</f>
        <v>1188.6992919364341</v>
      </c>
      <c r="I91" s="182">
        <f t="shared" ref="I91:L91" si="55">O82-$F91</f>
        <v>1044.5388690823804</v>
      </c>
      <c r="J91" s="182">
        <f t="shared" si="55"/>
        <v>1044.5388690823804</v>
      </c>
      <c r="K91" s="182">
        <f t="shared" si="55"/>
        <v>1188.6992919364341</v>
      </c>
      <c r="L91" s="183">
        <f t="shared" si="55"/>
        <v>1674.9940848414631</v>
      </c>
    </row>
    <row r="92" spans="4:18" hidden="1" outlineLevel="1" x14ac:dyDescent="0.35">
      <c r="D92" s="138" t="s">
        <v>248</v>
      </c>
      <c r="E92" s="178">
        <f>E93-0.005</f>
        <v>9.8690725439946905E-2</v>
      </c>
      <c r="F92" s="194">
        <f t="shared" ref="F92:F95" si="56">$I$66</f>
        <v>-22.41</v>
      </c>
      <c r="H92" s="181">
        <f t="shared" ref="H92:L92" si="57">N83-$F92</f>
        <v>1440.6999401270157</v>
      </c>
      <c r="I92" s="176">
        <f t="shared" si="57"/>
        <v>1234.8879056711046</v>
      </c>
      <c r="J92" s="176">
        <f t="shared" si="57"/>
        <v>1234.8879056711046</v>
      </c>
      <c r="K92" s="176">
        <f t="shared" si="57"/>
        <v>1440.6999401270157</v>
      </c>
      <c r="L92" s="163">
        <f t="shared" si="57"/>
        <v>2218.8558039497548</v>
      </c>
    </row>
    <row r="93" spans="4:18" hidden="1" outlineLevel="1" x14ac:dyDescent="0.35">
      <c r="D93" s="138" t="s">
        <v>249</v>
      </c>
      <c r="E93" s="178">
        <f>E64</f>
        <v>0.10369072543994691</v>
      </c>
      <c r="F93" s="194">
        <f t="shared" si="56"/>
        <v>-22.41</v>
      </c>
      <c r="H93" s="181">
        <f t="shared" ref="H93:L93" si="58">N84-$F93</f>
        <v>1440.6999401270157</v>
      </c>
      <c r="I93" s="176">
        <f t="shared" si="58"/>
        <v>1234.8879056711046</v>
      </c>
      <c r="J93" s="195">
        <f t="shared" si="58"/>
        <v>1234.8879056711046</v>
      </c>
      <c r="K93" s="176">
        <f t="shared" si="58"/>
        <v>1440.6999401270157</v>
      </c>
      <c r="L93" s="163">
        <f t="shared" si="58"/>
        <v>2218.8558039497548</v>
      </c>
    </row>
    <row r="94" spans="4:18" hidden="1" outlineLevel="1" x14ac:dyDescent="0.35">
      <c r="E94" s="178">
        <f>E93+0.005</f>
        <v>0.10869072543994691</v>
      </c>
      <c r="F94" s="194">
        <f t="shared" si="56"/>
        <v>-22.41</v>
      </c>
      <c r="H94" s="181">
        <f t="shared" ref="H94:L94" si="59">N85-$F94</f>
        <v>1188.6992919364341</v>
      </c>
      <c r="I94" s="176">
        <f t="shared" si="59"/>
        <v>1044.5388690823804</v>
      </c>
      <c r="J94" s="176">
        <f t="shared" si="59"/>
        <v>1044.5388690823804</v>
      </c>
      <c r="K94" s="176">
        <f t="shared" si="59"/>
        <v>1188.6992919364341</v>
      </c>
      <c r="L94" s="163">
        <f t="shared" si="59"/>
        <v>1674.9940848414631</v>
      </c>
    </row>
    <row r="95" spans="4:18" hidden="1" outlineLevel="1" x14ac:dyDescent="0.35">
      <c r="E95" s="178">
        <f>E94+0.005</f>
        <v>0.11369072543994692</v>
      </c>
      <c r="F95" s="196">
        <f t="shared" si="56"/>
        <v>-22.41</v>
      </c>
      <c r="H95" s="153">
        <f t="shared" ref="H95:L95" si="60">N86-$F95</f>
        <v>867.82445086836151</v>
      </c>
      <c r="I95" s="154">
        <f t="shared" si="60"/>
        <v>787.98684857034334</v>
      </c>
      <c r="J95" s="154">
        <f t="shared" si="60"/>
        <v>787.98684857034334</v>
      </c>
      <c r="K95" s="154">
        <f t="shared" si="60"/>
        <v>867.82445086836151</v>
      </c>
      <c r="L95" s="155">
        <f t="shared" si="60"/>
        <v>1102.7108593687674</v>
      </c>
    </row>
    <row r="96" spans="4:18" hidden="1" outlineLevel="1" x14ac:dyDescent="0.35"/>
    <row r="97" spans="4:24" hidden="1" outlineLevel="1" x14ac:dyDescent="0.35"/>
    <row r="98" spans="4:24" hidden="1" outlineLevel="1" x14ac:dyDescent="0.35">
      <c r="H98" s="171" t="s">
        <v>251</v>
      </c>
      <c r="I98" s="171"/>
      <c r="J98" s="171"/>
      <c r="K98" s="171"/>
      <c r="L98" s="171"/>
      <c r="N98" s="171" t="s">
        <v>252</v>
      </c>
      <c r="O98" s="171"/>
      <c r="P98" s="171"/>
      <c r="Q98" s="171"/>
      <c r="R98" s="171"/>
      <c r="T98" s="171" t="s">
        <v>253</v>
      </c>
      <c r="U98" s="171"/>
      <c r="V98" s="171"/>
      <c r="W98" s="171"/>
      <c r="X98" s="171"/>
    </row>
    <row r="99" spans="4:24" hidden="1" outlineLevel="1" x14ac:dyDescent="0.35">
      <c r="G99" s="151"/>
      <c r="H99" s="173">
        <f>I99-1%</f>
        <v>1.9999999999999997E-2</v>
      </c>
      <c r="I99" s="174">
        <f>J99-1%</f>
        <v>0.03</v>
      </c>
      <c r="J99" s="174">
        <f>J90</f>
        <v>0.04</v>
      </c>
      <c r="K99" s="174">
        <f>J99+1%</f>
        <v>0.05</v>
      </c>
      <c r="L99" s="175">
        <f>K99+1%</f>
        <v>6.0000000000000005E-2</v>
      </c>
      <c r="M99" s="197"/>
      <c r="N99" s="173">
        <f>O99-1%</f>
        <v>1.9999999999999997E-2</v>
      </c>
      <c r="O99" s="174">
        <f>P99-1%</f>
        <v>0.03</v>
      </c>
      <c r="P99" s="174">
        <f>J99</f>
        <v>0.04</v>
      </c>
      <c r="Q99" s="174">
        <f>P99+1%</f>
        <v>0.05</v>
      </c>
      <c r="R99" s="175">
        <f>Q99+1%</f>
        <v>6.0000000000000005E-2</v>
      </c>
      <c r="S99" s="197"/>
      <c r="T99" s="173">
        <f>U99-1%</f>
        <v>1.9999999999999997E-2</v>
      </c>
      <c r="U99" s="174">
        <f>V99-1%</f>
        <v>0.03</v>
      </c>
      <c r="V99" s="174">
        <f>P99</f>
        <v>0.04</v>
      </c>
      <c r="W99" s="174">
        <f>V99+1%</f>
        <v>0.05</v>
      </c>
      <c r="X99" s="175">
        <f>W99+1%</f>
        <v>6.0000000000000005E-2</v>
      </c>
    </row>
    <row r="100" spans="4:24" hidden="1" outlineLevel="1" x14ac:dyDescent="0.35">
      <c r="E100" s="178">
        <f>E101-0.005</f>
        <v>9.3690725439946901E-2</v>
      </c>
      <c r="H100" s="198">
        <f>$E$66/N82</f>
        <v>1.3330108852510876</v>
      </c>
      <c r="I100" s="199">
        <f t="shared" ref="I100:L104" si="61">$E$66/O82</f>
        <v>1.5210179151859451</v>
      </c>
      <c r="J100" s="199">
        <f t="shared" si="61"/>
        <v>1.5210179151859451</v>
      </c>
      <c r="K100" s="199">
        <f t="shared" si="61"/>
        <v>1.3330108852510876</v>
      </c>
      <c r="L100" s="200">
        <f t="shared" si="61"/>
        <v>0.94075474631730738</v>
      </c>
      <c r="N100" s="201">
        <f>N82/$E$30</f>
        <v>8.6104783457839336</v>
      </c>
      <c r="O100" s="202">
        <f t="shared" ref="O100:R100" si="62">O82/$E$30</f>
        <v>7.5461710526569235</v>
      </c>
      <c r="P100" s="202">
        <f t="shared" si="62"/>
        <v>7.5461710526569235</v>
      </c>
      <c r="Q100" s="202">
        <f t="shared" si="62"/>
        <v>8.6104783457839336</v>
      </c>
      <c r="R100" s="203">
        <f t="shared" si="62"/>
        <v>12.200694609386954</v>
      </c>
      <c r="T100" s="201">
        <f>N82/$E$43</f>
        <v>313.51862686463272</v>
      </c>
      <c r="U100" s="202">
        <f t="shared" ref="U100:X100" si="63">O82/$E$43</f>
        <v>274.76582502214524</v>
      </c>
      <c r="V100" s="202">
        <f t="shared" si="63"/>
        <v>274.76582502214524</v>
      </c>
      <c r="W100" s="202">
        <f t="shared" si="63"/>
        <v>313.51862686463272</v>
      </c>
      <c r="X100" s="203">
        <f t="shared" si="63"/>
        <v>444.24303355953299</v>
      </c>
    </row>
    <row r="101" spans="4:24" hidden="1" outlineLevel="1" x14ac:dyDescent="0.35">
      <c r="D101" s="138" t="s">
        <v>248</v>
      </c>
      <c r="E101" s="178">
        <f>E102-0.005</f>
        <v>9.8690725439946905E-2</v>
      </c>
      <c r="H101" s="150">
        <f t="shared" ref="H101:H104" si="64">$E$66/N83</f>
        <v>1.0961625528866266</v>
      </c>
      <c r="I101" s="151">
        <f t="shared" si="61"/>
        <v>1.2822306404359092</v>
      </c>
      <c r="J101" s="151">
        <f t="shared" si="61"/>
        <v>1.2822306404359092</v>
      </c>
      <c r="K101" s="151">
        <f t="shared" si="61"/>
        <v>1.0961625528866266</v>
      </c>
      <c r="L101" s="152">
        <f t="shared" si="61"/>
        <v>0.70781456055385295</v>
      </c>
      <c r="N101" s="204">
        <f t="shared" ref="N101:R101" si="65">N83/$E$30</f>
        <v>10.470948247523186</v>
      </c>
      <c r="O101" s="197">
        <f t="shared" si="65"/>
        <v>8.9514795546039458</v>
      </c>
      <c r="P101" s="197">
        <f t="shared" si="65"/>
        <v>8.9514795546039458</v>
      </c>
      <c r="Q101" s="197">
        <f t="shared" si="65"/>
        <v>10.470948247523186</v>
      </c>
      <c r="R101" s="205">
        <f t="shared" si="65"/>
        <v>16.215915865262122</v>
      </c>
      <c r="T101" s="204">
        <f t="shared" ref="T101:X101" si="66">N83/$E$43</f>
        <v>381.2607365932837</v>
      </c>
      <c r="U101" s="197">
        <f t="shared" si="66"/>
        <v>325.93492087932913</v>
      </c>
      <c r="V101" s="197">
        <f t="shared" si="66"/>
        <v>325.93492087932913</v>
      </c>
      <c r="W101" s="197">
        <f t="shared" si="66"/>
        <v>381.2607365932837</v>
      </c>
      <c r="X101" s="205">
        <f t="shared" si="66"/>
        <v>590.44242041660073</v>
      </c>
    </row>
    <row r="102" spans="4:24" hidden="1" outlineLevel="1" x14ac:dyDescent="0.35">
      <c r="D102" s="138" t="s">
        <v>249</v>
      </c>
      <c r="E102" s="178">
        <f>E64</f>
        <v>0.10369072543994691</v>
      </c>
      <c r="H102" s="150">
        <f t="shared" si="64"/>
        <v>1.0961625528866266</v>
      </c>
      <c r="I102" s="151">
        <f t="shared" si="61"/>
        <v>1.2822306404359092</v>
      </c>
      <c r="J102" s="206">
        <f>$E$66/P84</f>
        <v>1.2822306404359092</v>
      </c>
      <c r="K102" s="151">
        <f t="shared" si="61"/>
        <v>1.0961625528866266</v>
      </c>
      <c r="L102" s="152">
        <f t="shared" si="61"/>
        <v>0.70781456055385295</v>
      </c>
      <c r="N102" s="204">
        <f t="shared" ref="N102:R102" si="67">N84/$E$30</f>
        <v>10.470948247523186</v>
      </c>
      <c r="O102" s="197">
        <f t="shared" si="67"/>
        <v>8.9514795546039458</v>
      </c>
      <c r="P102" s="207">
        <f t="shared" si="67"/>
        <v>8.9514795546039458</v>
      </c>
      <c r="Q102" s="197">
        <f t="shared" si="67"/>
        <v>10.470948247523186</v>
      </c>
      <c r="R102" s="205">
        <f t="shared" si="67"/>
        <v>16.215915865262122</v>
      </c>
      <c r="T102" s="204">
        <f t="shared" ref="T102:X102" si="68">N84/$E$43</f>
        <v>381.2607365932837</v>
      </c>
      <c r="U102" s="197">
        <f t="shared" si="68"/>
        <v>325.93492087932913</v>
      </c>
      <c r="V102" s="207">
        <f t="shared" si="68"/>
        <v>325.93492087932913</v>
      </c>
      <c r="W102" s="197">
        <f t="shared" si="68"/>
        <v>381.2607365932837</v>
      </c>
      <c r="X102" s="205">
        <f t="shared" si="68"/>
        <v>590.44242041660073</v>
      </c>
    </row>
    <row r="103" spans="4:24" hidden="1" outlineLevel="1" x14ac:dyDescent="0.35">
      <c r="E103" s="178">
        <f>E102+0.005</f>
        <v>0.10869072543994691</v>
      </c>
      <c r="H103" s="150">
        <f t="shared" si="64"/>
        <v>1.3330108852510876</v>
      </c>
      <c r="I103" s="151">
        <f t="shared" si="61"/>
        <v>1.5210179151859451</v>
      </c>
      <c r="J103" s="151">
        <f t="shared" si="61"/>
        <v>1.5210179151859451</v>
      </c>
      <c r="K103" s="151">
        <f t="shared" si="61"/>
        <v>1.3330108852510876</v>
      </c>
      <c r="L103" s="152">
        <f t="shared" si="61"/>
        <v>0.94075474631730738</v>
      </c>
      <c r="N103" s="204">
        <f t="shared" ref="N103:R103" si="69">N85/$E$30</f>
        <v>8.6104783457839336</v>
      </c>
      <c r="O103" s="197">
        <f t="shared" si="69"/>
        <v>7.5461710526569235</v>
      </c>
      <c r="P103" s="197">
        <f t="shared" si="69"/>
        <v>7.5461710526569235</v>
      </c>
      <c r="Q103" s="197">
        <f t="shared" si="69"/>
        <v>8.6104783457839336</v>
      </c>
      <c r="R103" s="205">
        <f t="shared" si="69"/>
        <v>12.200694609386954</v>
      </c>
      <c r="T103" s="204">
        <f t="shared" ref="T103:X103" si="70">N85/$E$43</f>
        <v>313.51862686463272</v>
      </c>
      <c r="U103" s="197">
        <f t="shared" si="70"/>
        <v>274.76582502214524</v>
      </c>
      <c r="V103" s="197">
        <f t="shared" si="70"/>
        <v>274.76582502214524</v>
      </c>
      <c r="W103" s="197">
        <f t="shared" si="70"/>
        <v>313.51862686463272</v>
      </c>
      <c r="X103" s="205">
        <f t="shared" si="70"/>
        <v>444.24303355953299</v>
      </c>
    </row>
    <row r="104" spans="4:24" hidden="1" outlineLevel="1" x14ac:dyDescent="0.35">
      <c r="E104" s="178">
        <f>E103+0.005</f>
        <v>0.11369072543994692</v>
      </c>
      <c r="H104" s="208">
        <f t="shared" si="64"/>
        <v>1.838951676194055</v>
      </c>
      <c r="I104" s="209">
        <f t="shared" si="61"/>
        <v>2.0307253601075974</v>
      </c>
      <c r="J104" s="209">
        <f t="shared" si="61"/>
        <v>2.0307253601075974</v>
      </c>
      <c r="K104" s="209">
        <f t="shared" si="61"/>
        <v>1.838951676194055</v>
      </c>
      <c r="L104" s="210">
        <f t="shared" si="61"/>
        <v>1.4391142134344557</v>
      </c>
      <c r="N104" s="211">
        <f t="shared" ref="N104:R104" si="71">N86/$E$30</f>
        <v>6.2415241850746508</v>
      </c>
      <c r="O104" s="212">
        <f t="shared" si="71"/>
        <v>5.6520992880793157</v>
      </c>
      <c r="P104" s="212">
        <f t="shared" si="71"/>
        <v>5.6520992880793157</v>
      </c>
      <c r="Q104" s="212">
        <f t="shared" si="71"/>
        <v>6.2415241850746508</v>
      </c>
      <c r="R104" s="213">
        <f t="shared" si="71"/>
        <v>7.975643110880525</v>
      </c>
      <c r="T104" s="211">
        <f t="shared" ref="T104:X104" si="72">N86/$E$43</f>
        <v>227.26194915816166</v>
      </c>
      <c r="U104" s="212">
        <f t="shared" si="72"/>
        <v>205.80022811030733</v>
      </c>
      <c r="V104" s="212">
        <f t="shared" si="72"/>
        <v>205.80022811030733</v>
      </c>
      <c r="W104" s="212">
        <f t="shared" si="72"/>
        <v>227.26194915816166</v>
      </c>
      <c r="X104" s="213">
        <f t="shared" si="72"/>
        <v>290.40345681956103</v>
      </c>
    </row>
    <row r="105" spans="4:24" ht="5.15" hidden="1" customHeight="1" outlineLevel="1" x14ac:dyDescent="0.35"/>
    <row r="106" spans="4:24" hidden="1" outlineLevel="1" x14ac:dyDescent="0.35"/>
    <row r="107" spans="4:24" collapsed="1" x14ac:dyDescent="0.35"/>
  </sheetData>
  <hyperlinks>
    <hyperlink ref="M12" r:id="rId1" xr:uid="{3E7C1CA3-A43C-4634-AC89-2FC87AF3924B}"/>
    <hyperlink ref="M27" r:id="rId2" xr:uid="{83BD30FF-ED77-4784-B491-FFD30C822D70}"/>
    <hyperlink ref="M14" r:id="rId3" xr:uid="{F515B5D2-3DF4-48AD-A915-8AC48EAA7355}"/>
    <hyperlink ref="M28" r:id="rId4" xr:uid="{23791184-2509-4DBB-801A-F0FC23F57704}"/>
    <hyperlink ref="N50" r:id="rId5" xr:uid="{013C6F39-EA1E-4349-8CAD-4A53779438DC}"/>
    <hyperlink ref="N68" r:id="rId6" xr:uid="{F5823E18-73AD-42CD-A207-1F352EC6E226}"/>
    <hyperlink ref="N69" r:id="rId7" display="Link" xr:uid="{0D1925AA-7F27-458A-9F2E-9FC4F3ECE3B4}"/>
    <hyperlink ref="M20" r:id="rId8" xr:uid="{EDD38827-F0A6-4CC5-B187-4435013FAAAB}"/>
    <hyperlink ref="N19" r:id="rId9" display="Based on motilal oswal's report of " xr:uid="{11D4344F-0BD7-4264-BD9E-8F4AB5EFE70F}"/>
    <hyperlink ref="J64" r:id="rId10" xr:uid="{713AF91A-6C03-4F88-BC22-4EDF096B81B1}"/>
    <hyperlink ref="J65" r:id="rId11" xr:uid="{9D15FABC-1615-4678-92D6-A8D707F9B741}"/>
    <hyperlink ref="N18" r:id="rId12" display="HSBC also project quick commerce to grow by 70% over the next 5 years" xr:uid="{08962C81-14D3-42CC-B2F2-155BEB6C16A1}"/>
    <hyperlink ref="M55" r:id="rId13" display="Link" xr:uid="{30E30718-D499-4E8D-B7FD-02CCFD459BE3}"/>
    <hyperlink ref="N10" r:id="rId14" xr:uid="{A2DE9A47-B984-4AC8-B1C3-F89DEF8208B7}"/>
    <hyperlink ref="P55" r:id="rId15" xr:uid="{AC06364F-907D-4BB8-ADB9-B6C2140218DF}"/>
    <hyperlink ref="U68" r:id="rId16" location="z" xr:uid="{33E6BAEF-AB9C-42CD-9D28-5707C4F650E1}"/>
    <hyperlink ref="N22" r:id="rId17" xr:uid="{A54D8396-4B5B-4536-A004-36C254C2B449}"/>
  </hyperlinks>
  <pageMargins left="0.7" right="0.7" top="0.75" bottom="0.75" header="0.3" footer="0.3"/>
  <pageSetup scale="40" orientation="landscape" r:id="rId18"/>
  <ignoredErrors>
    <ignoredError sqref="G35:J35 E37:F37 H38:J38 G37:J37 H40:J40" formula="1"/>
    <ignoredError sqref="E21 E35:F35" formulaRange="1"/>
  </ignoredErrors>
  <drawing r:id="rId1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Cover</vt:lpstr>
      <vt:lpstr>Table of contents</vt:lpstr>
      <vt:lpstr>C. Reconciliation appendix</vt:lpstr>
      <vt:lpstr>D. Glossary</vt:lpstr>
      <vt:lpstr>Key data collection</vt:lpstr>
      <vt:lpstr>Swiggy Quarterly numbers</vt:lpstr>
      <vt:lpstr>A. Quarterly data</vt:lpstr>
      <vt:lpstr>B. Annual data</vt:lpstr>
      <vt:lpstr>Valuation</vt:lpstr>
      <vt:lpstr>DCF - Perpetuity Growth</vt:lpstr>
      <vt:lpstr>'DCF - Perpetuity Growth'!Print_Area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bhavesh shah</dc:creator>
  <cp:lastModifiedBy>bhavesh shah</cp:lastModifiedBy>
  <cp:lastPrinted>2023-02-09T14:52:13Z</cp:lastPrinted>
  <dcterms:created xsi:type="dcterms:W3CDTF">2021-09-22T14:39:48Z</dcterms:created>
  <dcterms:modified xsi:type="dcterms:W3CDTF">2025-01-20T16:19:41Z</dcterms:modified>
</cp:coreProperties>
</file>